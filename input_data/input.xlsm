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tonk1x - NextCloud\TT data\Прайс-листы\"/>
    </mc:Choice>
  </mc:AlternateContent>
  <xr:revisionPtr revIDLastSave="0" documentId="13_ncr:1_{3972AFE6-53D2-449E-A6B6-8A04F3951555}" xr6:coauthVersionLast="47" xr6:coauthVersionMax="47" xr10:uidLastSave="{00000000-0000-0000-0000-000000000000}"/>
  <bookViews>
    <workbookView xWindow="28680" yWindow="-120" windowWidth="29040" windowHeight="15990" activeTab="4" xr2:uid="{00000000-000D-0000-FFFF-FFFF00000000}"/>
  </bookViews>
  <sheets>
    <sheet name="Кат" sheetId="1" r:id="rId1"/>
    <sheet name="Прайс" sheetId="2" r:id="rId2"/>
    <sheet name="Наценка" sheetId="3" r:id="rId3"/>
    <sheet name="Выгр Кат" sheetId="4" r:id="rId4"/>
    <sheet name="Ссылки" sheetId="6" r:id="rId5"/>
    <sheet name="Из ГУГЛа" sheetId="7" r:id="rId6"/>
  </sheets>
  <definedNames>
    <definedName name="_xlnm._FilterDatabase" localSheetId="3" hidden="1">'Выгр Кат'!$A$1:$Q$287</definedName>
    <definedName name="_xlnm._FilterDatabase" localSheetId="0" hidden="1">Кат!$A$2:$AR$2</definedName>
    <definedName name="_xlnm._FilterDatabase" localSheetId="1" hidden="1">Прайс!$A$1:$G$485</definedName>
    <definedName name="ExternalData_1" localSheetId="5" hidden="1">'Из ГУГЛа'!$A$1:$AA$280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6" l="1" a="1"/>
  <c r="C1" i="6" s="1"/>
  <c r="B1" i="6" a="1"/>
  <c r="B1" i="6" s="1"/>
  <c r="H1" i="6" a="1"/>
  <c r="H1" i="6" s="1"/>
  <c r="F1" i="6" a="1"/>
  <c r="F1" i="6" s="1"/>
  <c r="D1" i="6" a="1"/>
  <c r="D1" i="6" s="1"/>
  <c r="A1" i="6" a="1"/>
  <c r="A1" i="6" s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1" i="1"/>
  <c r="W250" i="1"/>
  <c r="W249" i="1"/>
  <c r="W248" i="1"/>
  <c r="W246" i="1"/>
  <c r="W243" i="1"/>
  <c r="W240" i="1"/>
  <c r="W239" i="1"/>
  <c r="W238" i="1"/>
  <c r="W237" i="1"/>
  <c r="W236" i="1"/>
  <c r="W235" i="1"/>
  <c r="W234" i="1"/>
  <c r="W233" i="1"/>
  <c r="W232" i="1"/>
  <c r="W231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0" i="1"/>
  <c r="W209" i="1"/>
  <c r="W208" i="1"/>
  <c r="W207" i="1"/>
  <c r="W206" i="1"/>
  <c r="W205" i="1"/>
  <c r="W204" i="1"/>
  <c r="W203" i="1"/>
  <c r="W202" i="1"/>
  <c r="W198" i="1"/>
  <c r="W197" i="1"/>
  <c r="W196" i="1"/>
  <c r="W195" i="1"/>
  <c r="W194" i="1"/>
  <c r="W193" i="1"/>
  <c r="W190" i="1"/>
  <c r="W189" i="1"/>
  <c r="W188" i="1"/>
  <c r="W187" i="1"/>
  <c r="W186" i="1"/>
  <c r="W185" i="1"/>
  <c r="W183" i="1"/>
  <c r="W182" i="1"/>
  <c r="W181" i="1"/>
  <c r="W180" i="1"/>
  <c r="W179" i="1"/>
  <c r="W178" i="1"/>
  <c r="W177" i="1"/>
  <c r="W176" i="1"/>
  <c r="W174" i="1"/>
  <c r="W173" i="1"/>
  <c r="W170" i="1"/>
  <c r="W169" i="1"/>
  <c r="W168" i="1"/>
  <c r="W167" i="1"/>
  <c r="W166" i="1"/>
  <c r="W165" i="1"/>
  <c r="W164" i="1"/>
  <c r="W163" i="1"/>
  <c r="W161" i="1"/>
  <c r="W160" i="1"/>
  <c r="W159" i="1"/>
  <c r="W158" i="1"/>
  <c r="W156" i="1"/>
  <c r="W155" i="1"/>
  <c r="W152" i="1"/>
  <c r="W151" i="1"/>
  <c r="W150" i="1"/>
  <c r="W149" i="1"/>
  <c r="W148" i="1"/>
  <c r="W147" i="1"/>
  <c r="W146" i="1"/>
  <c r="W145" i="1"/>
  <c r="W143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4" i="1"/>
  <c r="W123" i="1"/>
  <c r="W122" i="1"/>
  <c r="W121" i="1"/>
  <c r="W119" i="1"/>
  <c r="W118" i="1"/>
  <c r="W116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99" i="1"/>
  <c r="W98" i="1"/>
  <c r="W97" i="1"/>
  <c r="W96" i="1"/>
  <c r="W95" i="1"/>
  <c r="W94" i="1"/>
  <c r="W92" i="1"/>
  <c r="W90" i="1"/>
  <c r="W89" i="1"/>
  <c r="W88" i="1"/>
  <c r="W87" i="1"/>
  <c r="W85" i="1"/>
  <c r="W84" i="1"/>
  <c r="W83" i="1"/>
  <c r="W82" i="1"/>
  <c r="W81" i="1"/>
  <c r="W80" i="1"/>
  <c r="W79" i="1"/>
  <c r="W78" i="1"/>
  <c r="W77" i="1"/>
  <c r="W76" i="1"/>
  <c r="W75" i="1"/>
  <c r="W73" i="1"/>
  <c r="W72" i="1"/>
  <c r="W71" i="1"/>
  <c r="W69" i="1"/>
  <c r="W68" i="1"/>
  <c r="W66" i="1"/>
  <c r="W63" i="1"/>
  <c r="W62" i="1"/>
  <c r="W60" i="1"/>
  <c r="W59" i="1"/>
  <c r="W58" i="1"/>
  <c r="W57" i="1"/>
  <c r="W56" i="1"/>
  <c r="W54" i="1"/>
  <c r="W53" i="1"/>
  <c r="W52" i="1"/>
  <c r="W51" i="1"/>
  <c r="W50" i="1"/>
  <c r="W49" i="1"/>
  <c r="W45" i="1"/>
  <c r="W44" i="1"/>
  <c r="W43" i="1"/>
  <c r="W42" i="1"/>
  <c r="W41" i="1"/>
  <c r="W40" i="1"/>
  <c r="W39" i="1"/>
  <c r="W38" i="1"/>
  <c r="W36" i="1"/>
  <c r="W34" i="1"/>
  <c r="W33" i="1"/>
  <c r="W32" i="1"/>
  <c r="W31" i="1"/>
  <c r="W30" i="1"/>
  <c r="W29" i="1"/>
  <c r="W28" i="1"/>
  <c r="W26" i="1"/>
  <c r="W25" i="1"/>
  <c r="W24" i="1"/>
  <c r="W22" i="1"/>
  <c r="W21" i="1"/>
  <c r="W20" i="1"/>
  <c r="W18" i="1"/>
  <c r="W17" i="1"/>
  <c r="W16" i="1"/>
  <c r="W15" i="1"/>
  <c r="W14" i="1"/>
  <c r="W13" i="1"/>
  <c r="W12" i="1"/>
  <c r="W10" i="1"/>
  <c r="W9" i="1"/>
  <c r="W8" i="1"/>
  <c r="W7" i="1"/>
  <c r="W6" i="1"/>
  <c r="W5" i="1"/>
  <c r="W4" i="1"/>
  <c r="W1" i="1"/>
  <c r="G211" i="1"/>
  <c r="H3" i="2" l="1"/>
  <c r="H4" i="2"/>
  <c r="H5" i="2"/>
  <c r="H6" i="2"/>
  <c r="H7" i="2"/>
  <c r="H8" i="2"/>
  <c r="H9" i="2"/>
  <c r="H10" i="2"/>
  <c r="H11" i="2"/>
  <c r="H12" i="2"/>
  <c r="H13" i="2"/>
  <c r="H14" i="2"/>
  <c r="H29" i="2"/>
  <c r="H32" i="2"/>
  <c r="H33" i="2"/>
  <c r="H34" i="2"/>
  <c r="H37" i="2"/>
  <c r="H44" i="2"/>
  <c r="H50" i="2"/>
  <c r="H55" i="2"/>
  <c r="H61" i="2"/>
  <c r="H69" i="2"/>
  <c r="H70" i="2"/>
  <c r="H86" i="2"/>
  <c r="H87" i="2"/>
  <c r="H90" i="2"/>
  <c r="H93" i="2"/>
  <c r="H115" i="2"/>
  <c r="H124" i="2"/>
  <c r="H146" i="2"/>
  <c r="H150" i="2"/>
  <c r="H157" i="2"/>
  <c r="H163" i="2"/>
  <c r="H175" i="2"/>
  <c r="H177" i="2"/>
  <c r="H180" i="2"/>
  <c r="H192" i="2"/>
  <c r="H193" i="2"/>
  <c r="H225" i="2"/>
  <c r="H226" i="2"/>
  <c r="H235" i="2"/>
  <c r="H259" i="2"/>
  <c r="H260" i="2"/>
  <c r="H262" i="2"/>
  <c r="H263" i="2"/>
  <c r="H264" i="2"/>
  <c r="H265" i="2"/>
  <c r="H266" i="2"/>
  <c r="H267" i="2"/>
  <c r="H268" i="2"/>
  <c r="H269" i="2"/>
  <c r="H270" i="2"/>
  <c r="H271" i="2"/>
  <c r="H272" i="2"/>
  <c r="H280" i="2"/>
  <c r="H281" i="2"/>
  <c r="H284" i="2"/>
  <c r="H285" i="2"/>
  <c r="H286" i="2"/>
  <c r="H287" i="2"/>
  <c r="H288" i="2"/>
  <c r="H289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2" i="2"/>
  <c r="G2" i="2"/>
  <c r="AD4" i="1"/>
  <c r="AI4" i="1"/>
  <c r="AN4" i="1"/>
  <c r="AD5" i="1"/>
  <c r="AI5" i="1"/>
  <c r="AN5" i="1"/>
  <c r="AD6" i="1"/>
  <c r="AI6" i="1"/>
  <c r="AN6" i="1"/>
  <c r="AD7" i="1"/>
  <c r="AI7" i="1"/>
  <c r="AN7" i="1"/>
  <c r="AD8" i="1"/>
  <c r="AI8" i="1"/>
  <c r="AN8" i="1"/>
  <c r="AD9" i="1"/>
  <c r="AI9" i="1"/>
  <c r="AN9" i="1"/>
  <c r="AD10" i="1"/>
  <c r="AI10" i="1"/>
  <c r="AN10" i="1"/>
  <c r="AD11" i="1"/>
  <c r="AI11" i="1"/>
  <c r="AN11" i="1"/>
  <c r="AD12" i="1"/>
  <c r="AI12" i="1"/>
  <c r="AN12" i="1"/>
  <c r="AD13" i="1"/>
  <c r="AI13" i="1"/>
  <c r="AN13" i="1"/>
  <c r="AD14" i="1"/>
  <c r="AI14" i="1"/>
  <c r="AN14" i="1"/>
  <c r="AD15" i="1"/>
  <c r="AI15" i="1"/>
  <c r="AN15" i="1"/>
  <c r="AD16" i="1"/>
  <c r="AI16" i="1"/>
  <c r="AN16" i="1"/>
  <c r="AD17" i="1"/>
  <c r="AI17" i="1"/>
  <c r="AN17" i="1"/>
  <c r="AD18" i="1"/>
  <c r="AI18" i="1"/>
  <c r="AN18" i="1"/>
  <c r="AD19" i="1"/>
  <c r="AI19" i="1"/>
  <c r="AN19" i="1"/>
  <c r="AD20" i="1"/>
  <c r="AI20" i="1"/>
  <c r="AN20" i="1"/>
  <c r="AD21" i="1"/>
  <c r="AI21" i="1"/>
  <c r="AN21" i="1"/>
  <c r="AD22" i="1"/>
  <c r="AI22" i="1"/>
  <c r="AN22" i="1"/>
  <c r="AD23" i="1"/>
  <c r="AI23" i="1"/>
  <c r="AN23" i="1"/>
  <c r="AD24" i="1"/>
  <c r="AI24" i="1"/>
  <c r="AN24" i="1"/>
  <c r="AD25" i="1"/>
  <c r="AI25" i="1"/>
  <c r="AN25" i="1"/>
  <c r="AD26" i="1"/>
  <c r="AI26" i="1"/>
  <c r="AN26" i="1"/>
  <c r="AD27" i="1"/>
  <c r="AI27" i="1"/>
  <c r="AN27" i="1"/>
  <c r="AD28" i="1"/>
  <c r="AI28" i="1"/>
  <c r="AN28" i="1"/>
  <c r="AD29" i="1"/>
  <c r="AI29" i="1"/>
  <c r="AN29" i="1"/>
  <c r="AD30" i="1"/>
  <c r="AI30" i="1"/>
  <c r="AN30" i="1"/>
  <c r="AD31" i="1"/>
  <c r="AI31" i="1"/>
  <c r="AN31" i="1"/>
  <c r="AD32" i="1"/>
  <c r="AI32" i="1"/>
  <c r="AN32" i="1"/>
  <c r="AD33" i="1"/>
  <c r="AI33" i="1"/>
  <c r="AN33" i="1"/>
  <c r="AD34" i="1"/>
  <c r="AI34" i="1"/>
  <c r="AN34" i="1"/>
  <c r="AD35" i="1"/>
  <c r="AI35" i="1"/>
  <c r="AN35" i="1"/>
  <c r="AD36" i="1"/>
  <c r="AI36" i="1"/>
  <c r="AN36" i="1"/>
  <c r="AD37" i="1"/>
  <c r="AI37" i="1"/>
  <c r="AN37" i="1"/>
  <c r="AD38" i="1"/>
  <c r="AI38" i="1"/>
  <c r="AN38" i="1"/>
  <c r="AD39" i="1"/>
  <c r="AI39" i="1"/>
  <c r="AN39" i="1"/>
  <c r="AD40" i="1"/>
  <c r="AI40" i="1"/>
  <c r="AN40" i="1"/>
  <c r="AD41" i="1"/>
  <c r="AI41" i="1"/>
  <c r="AN41" i="1"/>
  <c r="AD42" i="1"/>
  <c r="AI42" i="1"/>
  <c r="AN42" i="1"/>
  <c r="AD43" i="1"/>
  <c r="AI43" i="1"/>
  <c r="AN43" i="1"/>
  <c r="AD44" i="1"/>
  <c r="AI44" i="1"/>
  <c r="AN44" i="1"/>
  <c r="AD45" i="1"/>
  <c r="AI45" i="1"/>
  <c r="AN45" i="1"/>
  <c r="AD46" i="1"/>
  <c r="AI46" i="1"/>
  <c r="AN46" i="1"/>
  <c r="AD47" i="1"/>
  <c r="AI47" i="1"/>
  <c r="AN47" i="1"/>
  <c r="AD48" i="1"/>
  <c r="AI48" i="1"/>
  <c r="AN48" i="1"/>
  <c r="AD49" i="1"/>
  <c r="AI49" i="1"/>
  <c r="AN49" i="1"/>
  <c r="AD50" i="1"/>
  <c r="AI50" i="1"/>
  <c r="AN50" i="1"/>
  <c r="AD51" i="1"/>
  <c r="AI51" i="1"/>
  <c r="AN51" i="1"/>
  <c r="AD52" i="1"/>
  <c r="AI52" i="1"/>
  <c r="AN52" i="1"/>
  <c r="AD53" i="1"/>
  <c r="AI53" i="1"/>
  <c r="AN53" i="1"/>
  <c r="AD54" i="1"/>
  <c r="AI54" i="1"/>
  <c r="AN54" i="1"/>
  <c r="AD55" i="1"/>
  <c r="AI55" i="1"/>
  <c r="AN55" i="1"/>
  <c r="AD56" i="1"/>
  <c r="AI56" i="1"/>
  <c r="AN56" i="1"/>
  <c r="AD57" i="1"/>
  <c r="AI57" i="1"/>
  <c r="AN57" i="1"/>
  <c r="AD58" i="1"/>
  <c r="AI58" i="1"/>
  <c r="AN58" i="1"/>
  <c r="AD59" i="1"/>
  <c r="AI59" i="1"/>
  <c r="AN59" i="1"/>
  <c r="AD60" i="1"/>
  <c r="AI60" i="1"/>
  <c r="AN60" i="1"/>
  <c r="AD61" i="1"/>
  <c r="AI61" i="1"/>
  <c r="AN61" i="1"/>
  <c r="AD62" i="1"/>
  <c r="AI62" i="1"/>
  <c r="AN62" i="1"/>
  <c r="AD63" i="1"/>
  <c r="AI63" i="1"/>
  <c r="AN63" i="1"/>
  <c r="AD64" i="1"/>
  <c r="AI64" i="1"/>
  <c r="AN64" i="1"/>
  <c r="AD65" i="1"/>
  <c r="AI65" i="1"/>
  <c r="AN65" i="1"/>
  <c r="AD66" i="1"/>
  <c r="AI66" i="1"/>
  <c r="AN66" i="1"/>
  <c r="AD67" i="1"/>
  <c r="AI67" i="1"/>
  <c r="AN67" i="1"/>
  <c r="AD68" i="1"/>
  <c r="AI68" i="1"/>
  <c r="AN68" i="1"/>
  <c r="AD69" i="1"/>
  <c r="AI69" i="1"/>
  <c r="AN69" i="1"/>
  <c r="AD70" i="1"/>
  <c r="AI70" i="1"/>
  <c r="AN70" i="1"/>
  <c r="AD71" i="1"/>
  <c r="AI71" i="1"/>
  <c r="AN71" i="1"/>
  <c r="AD72" i="1"/>
  <c r="AI72" i="1"/>
  <c r="AN72" i="1"/>
  <c r="AD73" i="1"/>
  <c r="AI73" i="1"/>
  <c r="AN73" i="1"/>
  <c r="AD74" i="1"/>
  <c r="AI74" i="1"/>
  <c r="AN74" i="1"/>
  <c r="AD75" i="1"/>
  <c r="AI75" i="1"/>
  <c r="AN75" i="1"/>
  <c r="AD76" i="1"/>
  <c r="AI76" i="1"/>
  <c r="AN76" i="1"/>
  <c r="AD77" i="1"/>
  <c r="AI77" i="1"/>
  <c r="AN77" i="1"/>
  <c r="AD78" i="1"/>
  <c r="AI78" i="1"/>
  <c r="AN78" i="1"/>
  <c r="AD79" i="1"/>
  <c r="AI79" i="1"/>
  <c r="AN79" i="1"/>
  <c r="AD80" i="1"/>
  <c r="AI80" i="1"/>
  <c r="AN80" i="1"/>
  <c r="AD81" i="1"/>
  <c r="AI81" i="1"/>
  <c r="AN81" i="1"/>
  <c r="AD82" i="1"/>
  <c r="AI82" i="1"/>
  <c r="AN82" i="1"/>
  <c r="AD83" i="1"/>
  <c r="AI83" i="1"/>
  <c r="AN83" i="1"/>
  <c r="AD84" i="1"/>
  <c r="AI84" i="1"/>
  <c r="AN84" i="1"/>
  <c r="AD85" i="1"/>
  <c r="AI85" i="1"/>
  <c r="AN85" i="1"/>
  <c r="AD86" i="1"/>
  <c r="AI86" i="1"/>
  <c r="AN86" i="1"/>
  <c r="AD87" i="1"/>
  <c r="AI87" i="1"/>
  <c r="AN87" i="1"/>
  <c r="AD88" i="1"/>
  <c r="AI88" i="1"/>
  <c r="AN88" i="1"/>
  <c r="AD89" i="1"/>
  <c r="AI89" i="1"/>
  <c r="AN89" i="1"/>
  <c r="AD90" i="1"/>
  <c r="AI90" i="1"/>
  <c r="AN90" i="1"/>
  <c r="AD91" i="1"/>
  <c r="AI91" i="1"/>
  <c r="AN91" i="1"/>
  <c r="AD92" i="1"/>
  <c r="AI92" i="1"/>
  <c r="AN92" i="1"/>
  <c r="AD93" i="1"/>
  <c r="AI93" i="1"/>
  <c r="AN93" i="1"/>
  <c r="AD94" i="1"/>
  <c r="AI94" i="1"/>
  <c r="AN94" i="1"/>
  <c r="AD95" i="1"/>
  <c r="AI95" i="1"/>
  <c r="AN95" i="1"/>
  <c r="AD96" i="1"/>
  <c r="AI96" i="1"/>
  <c r="AN96" i="1"/>
  <c r="AD97" i="1"/>
  <c r="AI97" i="1"/>
  <c r="AN97" i="1"/>
  <c r="AD98" i="1"/>
  <c r="AI98" i="1"/>
  <c r="AN98" i="1"/>
  <c r="AD99" i="1"/>
  <c r="AI99" i="1"/>
  <c r="AN99" i="1"/>
  <c r="AD100" i="1"/>
  <c r="AI100" i="1"/>
  <c r="AN100" i="1"/>
  <c r="AD101" i="1"/>
  <c r="AI101" i="1"/>
  <c r="AN101" i="1"/>
  <c r="AD102" i="1"/>
  <c r="AI102" i="1"/>
  <c r="AN102" i="1"/>
  <c r="AD103" i="1"/>
  <c r="AI103" i="1"/>
  <c r="AN103" i="1"/>
  <c r="AD104" i="1"/>
  <c r="AI104" i="1"/>
  <c r="AN104" i="1"/>
  <c r="AD105" i="1"/>
  <c r="AI105" i="1"/>
  <c r="AN105" i="1"/>
  <c r="AD106" i="1"/>
  <c r="AI106" i="1"/>
  <c r="AN106" i="1"/>
  <c r="AD107" i="1"/>
  <c r="AI107" i="1"/>
  <c r="AN107" i="1"/>
  <c r="AD108" i="1"/>
  <c r="AI108" i="1"/>
  <c r="AN108" i="1"/>
  <c r="AD109" i="1"/>
  <c r="AI109" i="1"/>
  <c r="AN109" i="1"/>
  <c r="AD110" i="1"/>
  <c r="AI110" i="1"/>
  <c r="AN110" i="1"/>
  <c r="AD111" i="1"/>
  <c r="AI111" i="1"/>
  <c r="AN111" i="1"/>
  <c r="AD112" i="1"/>
  <c r="AI112" i="1"/>
  <c r="AN112" i="1"/>
  <c r="AD113" i="1"/>
  <c r="AI113" i="1"/>
  <c r="AN113" i="1"/>
  <c r="AD114" i="1"/>
  <c r="AI114" i="1"/>
  <c r="AN114" i="1"/>
  <c r="AD115" i="1"/>
  <c r="AI115" i="1"/>
  <c r="AN115" i="1"/>
  <c r="AD116" i="1"/>
  <c r="AI116" i="1"/>
  <c r="AN116" i="1"/>
  <c r="AD117" i="1"/>
  <c r="AI117" i="1"/>
  <c r="AN117" i="1"/>
  <c r="AD118" i="1"/>
  <c r="AI118" i="1"/>
  <c r="AN118" i="1"/>
  <c r="AD119" i="1"/>
  <c r="AI119" i="1"/>
  <c r="AN119" i="1"/>
  <c r="AD120" i="1"/>
  <c r="AI120" i="1"/>
  <c r="AN120" i="1"/>
  <c r="AD121" i="1"/>
  <c r="AI121" i="1"/>
  <c r="AN121" i="1"/>
  <c r="AD122" i="1"/>
  <c r="AI122" i="1"/>
  <c r="AN122" i="1"/>
  <c r="AD123" i="1"/>
  <c r="AI123" i="1"/>
  <c r="AN123" i="1"/>
  <c r="AD124" i="1"/>
  <c r="AI124" i="1"/>
  <c r="AN124" i="1"/>
  <c r="AD125" i="1"/>
  <c r="AI125" i="1"/>
  <c r="AN125" i="1"/>
  <c r="AD126" i="1"/>
  <c r="AI126" i="1"/>
  <c r="AN126" i="1"/>
  <c r="AD127" i="1"/>
  <c r="AI127" i="1"/>
  <c r="AN127" i="1"/>
  <c r="AD128" i="1"/>
  <c r="AI128" i="1"/>
  <c r="AN128" i="1"/>
  <c r="AD129" i="1"/>
  <c r="AI129" i="1"/>
  <c r="AN129" i="1"/>
  <c r="AD130" i="1"/>
  <c r="AI130" i="1"/>
  <c r="AN130" i="1"/>
  <c r="AD131" i="1"/>
  <c r="AI131" i="1"/>
  <c r="AN131" i="1"/>
  <c r="AD132" i="1"/>
  <c r="AI132" i="1"/>
  <c r="AN132" i="1"/>
  <c r="AD133" i="1"/>
  <c r="AI133" i="1"/>
  <c r="AN133" i="1"/>
  <c r="AD134" i="1"/>
  <c r="AI134" i="1"/>
  <c r="AN134" i="1"/>
  <c r="AD135" i="1"/>
  <c r="AI135" i="1"/>
  <c r="AN135" i="1"/>
  <c r="AD136" i="1"/>
  <c r="AI136" i="1"/>
  <c r="AN136" i="1"/>
  <c r="AD137" i="1"/>
  <c r="AI137" i="1"/>
  <c r="AN137" i="1"/>
  <c r="AD138" i="1"/>
  <c r="AI138" i="1"/>
  <c r="AN138" i="1"/>
  <c r="AD139" i="1"/>
  <c r="AI139" i="1"/>
  <c r="AN139" i="1"/>
  <c r="AD140" i="1"/>
  <c r="AI140" i="1"/>
  <c r="AN140" i="1"/>
  <c r="AD141" i="1"/>
  <c r="AI141" i="1"/>
  <c r="AN141" i="1"/>
  <c r="AD142" i="1"/>
  <c r="AI142" i="1"/>
  <c r="AN142" i="1"/>
  <c r="AD143" i="1"/>
  <c r="AI143" i="1"/>
  <c r="AN143" i="1"/>
  <c r="AD144" i="1"/>
  <c r="AI144" i="1"/>
  <c r="AN144" i="1"/>
  <c r="AD145" i="1"/>
  <c r="AI145" i="1"/>
  <c r="AN145" i="1"/>
  <c r="AD146" i="1"/>
  <c r="AI146" i="1"/>
  <c r="AN146" i="1"/>
  <c r="AD147" i="1"/>
  <c r="AI147" i="1"/>
  <c r="AN147" i="1"/>
  <c r="AD148" i="1"/>
  <c r="AI148" i="1"/>
  <c r="AN148" i="1"/>
  <c r="AD149" i="1"/>
  <c r="AI149" i="1"/>
  <c r="AN149" i="1"/>
  <c r="AD150" i="1"/>
  <c r="AI150" i="1"/>
  <c r="AN150" i="1"/>
  <c r="AD151" i="1"/>
  <c r="AI151" i="1"/>
  <c r="AN151" i="1"/>
  <c r="AD152" i="1"/>
  <c r="AI152" i="1"/>
  <c r="AN152" i="1"/>
  <c r="AD153" i="1"/>
  <c r="AI153" i="1"/>
  <c r="AN153" i="1"/>
  <c r="AD154" i="1"/>
  <c r="AI154" i="1"/>
  <c r="AN154" i="1"/>
  <c r="AD155" i="1"/>
  <c r="AI155" i="1"/>
  <c r="AN155" i="1"/>
  <c r="AD156" i="1"/>
  <c r="AI156" i="1"/>
  <c r="AN156" i="1"/>
  <c r="AD157" i="1"/>
  <c r="AI157" i="1"/>
  <c r="AN157" i="1"/>
  <c r="AD158" i="1"/>
  <c r="AI158" i="1"/>
  <c r="AN158" i="1"/>
  <c r="AD159" i="1"/>
  <c r="AI159" i="1"/>
  <c r="AN159" i="1"/>
  <c r="AD160" i="1"/>
  <c r="AI160" i="1"/>
  <c r="AN160" i="1"/>
  <c r="AD161" i="1"/>
  <c r="AI161" i="1"/>
  <c r="AN161" i="1"/>
  <c r="AD162" i="1"/>
  <c r="AI162" i="1"/>
  <c r="AN162" i="1"/>
  <c r="AD163" i="1"/>
  <c r="AI163" i="1"/>
  <c r="AN163" i="1"/>
  <c r="AD164" i="1"/>
  <c r="AI164" i="1"/>
  <c r="AN164" i="1"/>
  <c r="AD165" i="1"/>
  <c r="AI165" i="1"/>
  <c r="AN165" i="1"/>
  <c r="AD166" i="1"/>
  <c r="AI166" i="1"/>
  <c r="AN166" i="1"/>
  <c r="AD167" i="1"/>
  <c r="AI167" i="1"/>
  <c r="AN167" i="1"/>
  <c r="AD168" i="1"/>
  <c r="AI168" i="1"/>
  <c r="AN168" i="1"/>
  <c r="AD169" i="1"/>
  <c r="AI169" i="1"/>
  <c r="AN169" i="1"/>
  <c r="AD170" i="1"/>
  <c r="AI170" i="1"/>
  <c r="AN170" i="1"/>
  <c r="AD171" i="1"/>
  <c r="AI171" i="1"/>
  <c r="AN171" i="1"/>
  <c r="AD172" i="1"/>
  <c r="AI172" i="1"/>
  <c r="AN172" i="1"/>
  <c r="AD173" i="1"/>
  <c r="AI173" i="1"/>
  <c r="AN173" i="1"/>
  <c r="AD174" i="1"/>
  <c r="AI174" i="1"/>
  <c r="AN174" i="1"/>
  <c r="AD175" i="1"/>
  <c r="AI175" i="1"/>
  <c r="AN175" i="1"/>
  <c r="AD176" i="1"/>
  <c r="AI176" i="1"/>
  <c r="AN176" i="1"/>
  <c r="AD177" i="1"/>
  <c r="AI177" i="1"/>
  <c r="AN177" i="1"/>
  <c r="AD178" i="1"/>
  <c r="AI178" i="1"/>
  <c r="AN178" i="1"/>
  <c r="AD179" i="1"/>
  <c r="AI179" i="1"/>
  <c r="AN179" i="1"/>
  <c r="AD180" i="1"/>
  <c r="AI180" i="1"/>
  <c r="AN180" i="1"/>
  <c r="AD181" i="1"/>
  <c r="AI181" i="1"/>
  <c r="AN181" i="1"/>
  <c r="AD182" i="1"/>
  <c r="AI182" i="1"/>
  <c r="AN182" i="1"/>
  <c r="AD183" i="1"/>
  <c r="AI183" i="1"/>
  <c r="AN183" i="1"/>
  <c r="AD184" i="1"/>
  <c r="AI184" i="1"/>
  <c r="AN184" i="1"/>
  <c r="AD185" i="1"/>
  <c r="AI185" i="1"/>
  <c r="AN185" i="1"/>
  <c r="AD186" i="1"/>
  <c r="AI186" i="1"/>
  <c r="AN186" i="1"/>
  <c r="AD187" i="1"/>
  <c r="AI187" i="1"/>
  <c r="AN187" i="1"/>
  <c r="AD188" i="1"/>
  <c r="AI188" i="1"/>
  <c r="AN188" i="1"/>
  <c r="AD189" i="1"/>
  <c r="AI189" i="1"/>
  <c r="AN189" i="1"/>
  <c r="AD190" i="1"/>
  <c r="AI190" i="1"/>
  <c r="AN190" i="1"/>
  <c r="AD191" i="1"/>
  <c r="AI191" i="1"/>
  <c r="AN191" i="1"/>
  <c r="AD192" i="1"/>
  <c r="AI192" i="1"/>
  <c r="AN192" i="1"/>
  <c r="AD193" i="1"/>
  <c r="AI193" i="1"/>
  <c r="AN193" i="1"/>
  <c r="AD194" i="1"/>
  <c r="AI194" i="1"/>
  <c r="AN194" i="1"/>
  <c r="AD195" i="1"/>
  <c r="AI195" i="1"/>
  <c r="AN195" i="1"/>
  <c r="AD196" i="1"/>
  <c r="AI196" i="1"/>
  <c r="AN196" i="1"/>
  <c r="AD197" i="1"/>
  <c r="AI197" i="1"/>
  <c r="AN197" i="1"/>
  <c r="AD198" i="1"/>
  <c r="AI198" i="1"/>
  <c r="AN198" i="1"/>
  <c r="AD199" i="1"/>
  <c r="AI199" i="1"/>
  <c r="AN199" i="1"/>
  <c r="AD200" i="1"/>
  <c r="AI200" i="1"/>
  <c r="AN200" i="1"/>
  <c r="AD201" i="1"/>
  <c r="AI201" i="1"/>
  <c r="AN201" i="1"/>
  <c r="AD202" i="1"/>
  <c r="AI202" i="1"/>
  <c r="AN202" i="1"/>
  <c r="AD203" i="1"/>
  <c r="AI203" i="1"/>
  <c r="AN203" i="1"/>
  <c r="AD204" i="1"/>
  <c r="AI204" i="1"/>
  <c r="AN204" i="1"/>
  <c r="AD205" i="1"/>
  <c r="AI205" i="1"/>
  <c r="AN205" i="1"/>
  <c r="AD206" i="1"/>
  <c r="AI206" i="1"/>
  <c r="AN206" i="1"/>
  <c r="AD207" i="1"/>
  <c r="AI207" i="1"/>
  <c r="AN207" i="1"/>
  <c r="AD208" i="1"/>
  <c r="AI208" i="1"/>
  <c r="AN208" i="1"/>
  <c r="AD209" i="1"/>
  <c r="AI209" i="1"/>
  <c r="AN209" i="1"/>
  <c r="AD210" i="1"/>
  <c r="AI210" i="1"/>
  <c r="AN210" i="1"/>
  <c r="AD211" i="1"/>
  <c r="AI211" i="1"/>
  <c r="AN211" i="1"/>
  <c r="AD212" i="1"/>
  <c r="AI212" i="1"/>
  <c r="AN212" i="1"/>
  <c r="AD213" i="1"/>
  <c r="AI213" i="1"/>
  <c r="AN213" i="1"/>
  <c r="AD214" i="1"/>
  <c r="AI214" i="1"/>
  <c r="AN214" i="1"/>
  <c r="AD215" i="1"/>
  <c r="AI215" i="1"/>
  <c r="AN215" i="1"/>
  <c r="AD216" i="1"/>
  <c r="AI216" i="1"/>
  <c r="AN216" i="1"/>
  <c r="AD217" i="1"/>
  <c r="AI217" i="1"/>
  <c r="AN217" i="1"/>
  <c r="AD218" i="1"/>
  <c r="AI218" i="1"/>
  <c r="AN218" i="1"/>
  <c r="AD219" i="1"/>
  <c r="AI219" i="1"/>
  <c r="AN219" i="1"/>
  <c r="AD220" i="1"/>
  <c r="AI220" i="1"/>
  <c r="AN220" i="1"/>
  <c r="AD221" i="1"/>
  <c r="AI221" i="1"/>
  <c r="AN221" i="1"/>
  <c r="AD222" i="1"/>
  <c r="AI222" i="1"/>
  <c r="AN222" i="1"/>
  <c r="AD223" i="1"/>
  <c r="AI223" i="1"/>
  <c r="AN223" i="1"/>
  <c r="AD224" i="1"/>
  <c r="AI224" i="1"/>
  <c r="AN224" i="1"/>
  <c r="AD225" i="1"/>
  <c r="AI225" i="1"/>
  <c r="AN225" i="1"/>
  <c r="AD226" i="1"/>
  <c r="AI226" i="1"/>
  <c r="AN226" i="1"/>
  <c r="AD227" i="1"/>
  <c r="AI227" i="1"/>
  <c r="AN227" i="1"/>
  <c r="AD228" i="1"/>
  <c r="AI228" i="1"/>
  <c r="AN228" i="1"/>
  <c r="AD229" i="1"/>
  <c r="AI229" i="1"/>
  <c r="AN229" i="1"/>
  <c r="AD230" i="1"/>
  <c r="AI230" i="1"/>
  <c r="AN230" i="1"/>
  <c r="AD231" i="1"/>
  <c r="AI231" i="1"/>
  <c r="AN231" i="1"/>
  <c r="AD232" i="1"/>
  <c r="AI232" i="1"/>
  <c r="AN232" i="1"/>
  <c r="AD233" i="1"/>
  <c r="AI233" i="1"/>
  <c r="AN233" i="1"/>
  <c r="AD234" i="1"/>
  <c r="AI234" i="1"/>
  <c r="AN234" i="1"/>
  <c r="AD235" i="1"/>
  <c r="AI235" i="1"/>
  <c r="AN235" i="1"/>
  <c r="AD236" i="1"/>
  <c r="AI236" i="1"/>
  <c r="AN236" i="1"/>
  <c r="AD237" i="1"/>
  <c r="AI237" i="1"/>
  <c r="AN237" i="1"/>
  <c r="AD238" i="1"/>
  <c r="AI238" i="1"/>
  <c r="AN238" i="1"/>
  <c r="AD239" i="1"/>
  <c r="AI239" i="1"/>
  <c r="AN239" i="1"/>
  <c r="AD240" i="1"/>
  <c r="AI240" i="1"/>
  <c r="AN240" i="1"/>
  <c r="AD241" i="1"/>
  <c r="AI241" i="1"/>
  <c r="AN241" i="1"/>
  <c r="AD242" i="1"/>
  <c r="AI242" i="1"/>
  <c r="AN242" i="1"/>
  <c r="AD243" i="1"/>
  <c r="AI243" i="1"/>
  <c r="AN243" i="1"/>
  <c r="AD244" i="1"/>
  <c r="AI244" i="1"/>
  <c r="AN244" i="1"/>
  <c r="AD245" i="1"/>
  <c r="AI245" i="1"/>
  <c r="AN245" i="1"/>
  <c r="AD246" i="1"/>
  <c r="AI246" i="1"/>
  <c r="AN246" i="1"/>
  <c r="AD247" i="1"/>
  <c r="AI247" i="1"/>
  <c r="AN247" i="1"/>
  <c r="AD248" i="1"/>
  <c r="AI248" i="1"/>
  <c r="AN248" i="1"/>
  <c r="AD249" i="1"/>
  <c r="AI249" i="1"/>
  <c r="AN249" i="1"/>
  <c r="AD250" i="1"/>
  <c r="AI250" i="1"/>
  <c r="AN250" i="1"/>
  <c r="AD251" i="1"/>
  <c r="AI251" i="1"/>
  <c r="AN251" i="1"/>
  <c r="AD252" i="1"/>
  <c r="AI252" i="1"/>
  <c r="AN252" i="1"/>
  <c r="AD253" i="1"/>
  <c r="AI253" i="1"/>
  <c r="AN253" i="1"/>
  <c r="AD254" i="1"/>
  <c r="AI254" i="1"/>
  <c r="AN254" i="1"/>
  <c r="AD255" i="1"/>
  <c r="AI255" i="1"/>
  <c r="AN255" i="1"/>
  <c r="AD256" i="1"/>
  <c r="AI256" i="1"/>
  <c r="AN256" i="1"/>
  <c r="AD257" i="1"/>
  <c r="AI257" i="1"/>
  <c r="AN257" i="1"/>
  <c r="AD258" i="1"/>
  <c r="AI258" i="1"/>
  <c r="AN258" i="1"/>
  <c r="AD259" i="1"/>
  <c r="AI259" i="1"/>
  <c r="AN259" i="1"/>
  <c r="AD260" i="1"/>
  <c r="AI260" i="1"/>
  <c r="AN260" i="1"/>
  <c r="AD261" i="1"/>
  <c r="AI261" i="1"/>
  <c r="AN261" i="1"/>
  <c r="AD262" i="1"/>
  <c r="AI262" i="1"/>
  <c r="AN262" i="1"/>
  <c r="AD263" i="1"/>
  <c r="AI263" i="1"/>
  <c r="AN263" i="1"/>
  <c r="AD264" i="1"/>
  <c r="AI264" i="1"/>
  <c r="AN264" i="1"/>
  <c r="AD265" i="1"/>
  <c r="AI265" i="1"/>
  <c r="AN265" i="1"/>
  <c r="AD266" i="1"/>
  <c r="AI266" i="1"/>
  <c r="AN266" i="1"/>
  <c r="AD267" i="1"/>
  <c r="AI267" i="1"/>
  <c r="AN267" i="1"/>
  <c r="AD268" i="1"/>
  <c r="AI268" i="1"/>
  <c r="AN268" i="1"/>
  <c r="AD269" i="1"/>
  <c r="AI269" i="1"/>
  <c r="AN269" i="1"/>
  <c r="AD270" i="1"/>
  <c r="AI270" i="1"/>
  <c r="AN270" i="1"/>
  <c r="AD271" i="1"/>
  <c r="AI271" i="1"/>
  <c r="AN271" i="1"/>
  <c r="AD272" i="1"/>
  <c r="AI272" i="1"/>
  <c r="AN272" i="1"/>
  <c r="AD273" i="1"/>
  <c r="AI273" i="1"/>
  <c r="AN273" i="1"/>
  <c r="AD274" i="1"/>
  <c r="AI274" i="1"/>
  <c r="AN274" i="1"/>
  <c r="AD275" i="1"/>
  <c r="AI275" i="1"/>
  <c r="AN275" i="1"/>
  <c r="AD276" i="1"/>
  <c r="AI276" i="1"/>
  <c r="AN276" i="1"/>
  <c r="AD277" i="1"/>
  <c r="AI277" i="1"/>
  <c r="AN277" i="1"/>
  <c r="AD278" i="1"/>
  <c r="AI278" i="1"/>
  <c r="AN278" i="1"/>
  <c r="AD279" i="1"/>
  <c r="AI279" i="1"/>
  <c r="AN279" i="1"/>
  <c r="AD280" i="1"/>
  <c r="AI280" i="1"/>
  <c r="AN280" i="1"/>
  <c r="AD281" i="1"/>
  <c r="AI281" i="1"/>
  <c r="AN281" i="1"/>
  <c r="AD282" i="1"/>
  <c r="AI282" i="1"/>
  <c r="AN282" i="1"/>
  <c r="AD283" i="1"/>
  <c r="AI283" i="1"/>
  <c r="AN283" i="1"/>
  <c r="AD284" i="1"/>
  <c r="AI284" i="1"/>
  <c r="AN284" i="1"/>
  <c r="AD285" i="1"/>
  <c r="AI285" i="1"/>
  <c r="AN285" i="1"/>
  <c r="AD286" i="1"/>
  <c r="AI286" i="1"/>
  <c r="AN286" i="1"/>
  <c r="AD287" i="1"/>
  <c r="AI287" i="1"/>
  <c r="AN287" i="1"/>
  <c r="AD288" i="1"/>
  <c r="AI288" i="1"/>
  <c r="AN288" i="1"/>
  <c r="AN3" i="1"/>
  <c r="AP1" i="1"/>
  <c r="AI3" i="1"/>
  <c r="AK1" i="1"/>
  <c r="AD3" i="1"/>
  <c r="AF1" i="1"/>
  <c r="V11" i="1"/>
  <c r="V19" i="1"/>
  <c r="V37" i="1"/>
  <c r="V48" i="1"/>
  <c r="V55" i="1"/>
  <c r="V61" i="1"/>
  <c r="V64" i="1"/>
  <c r="V100" i="1"/>
  <c r="V115" i="1"/>
  <c r="V120" i="1"/>
  <c r="V192" i="1"/>
  <c r="V211" i="1"/>
  <c r="V230" i="1"/>
  <c r="V241" i="1"/>
  <c r="V242" i="1"/>
  <c r="V244" i="1"/>
  <c r="V245" i="1"/>
  <c r="V204" i="1"/>
  <c r="V201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3" i="1"/>
  <c r="V3" i="1"/>
  <c r="Z1" i="1"/>
  <c r="B282" i="1" l="1"/>
  <c r="C282" i="1"/>
  <c r="D282" i="1"/>
  <c r="F282" i="1"/>
  <c r="G282" i="1"/>
  <c r="H282" i="1"/>
  <c r="O282" i="1"/>
  <c r="K282" i="1" s="1"/>
  <c r="V282" i="1" s="1"/>
  <c r="P282" i="1"/>
  <c r="X282" i="1"/>
  <c r="B283" i="1"/>
  <c r="C283" i="1"/>
  <c r="D283" i="1"/>
  <c r="F283" i="1"/>
  <c r="G283" i="1"/>
  <c r="H283" i="1"/>
  <c r="O283" i="1"/>
  <c r="K283" i="1" s="1"/>
  <c r="V283" i="1" s="1"/>
  <c r="P283" i="1"/>
  <c r="X283" i="1"/>
  <c r="B284" i="1"/>
  <c r="C284" i="1"/>
  <c r="D284" i="1"/>
  <c r="F284" i="1"/>
  <c r="G284" i="1"/>
  <c r="H284" i="1"/>
  <c r="O284" i="1"/>
  <c r="K284" i="1" s="1"/>
  <c r="V284" i="1" s="1"/>
  <c r="P284" i="1"/>
  <c r="X284" i="1"/>
  <c r="B285" i="1"/>
  <c r="C285" i="1"/>
  <c r="D285" i="1"/>
  <c r="F285" i="1"/>
  <c r="G285" i="1"/>
  <c r="H285" i="1"/>
  <c r="O285" i="1"/>
  <c r="K285" i="1" s="1"/>
  <c r="V285" i="1" s="1"/>
  <c r="P285" i="1"/>
  <c r="X285" i="1"/>
  <c r="B286" i="1"/>
  <c r="C286" i="1"/>
  <c r="D286" i="1"/>
  <c r="F286" i="1"/>
  <c r="G286" i="1"/>
  <c r="H286" i="1"/>
  <c r="O286" i="1"/>
  <c r="K286" i="1" s="1"/>
  <c r="V286" i="1" s="1"/>
  <c r="P286" i="1"/>
  <c r="X286" i="1"/>
  <c r="B287" i="1"/>
  <c r="C287" i="1"/>
  <c r="D287" i="1"/>
  <c r="F287" i="1"/>
  <c r="G287" i="1"/>
  <c r="H287" i="1"/>
  <c r="O287" i="1"/>
  <c r="K287" i="1" s="1"/>
  <c r="V287" i="1" s="1"/>
  <c r="P287" i="1"/>
  <c r="X287" i="1"/>
  <c r="Q287" i="4"/>
  <c r="P287" i="4"/>
  <c r="Q286" i="4"/>
  <c r="P286" i="4"/>
  <c r="Q285" i="4"/>
  <c r="P285" i="4"/>
  <c r="Q284" i="4"/>
  <c r="P284" i="4"/>
  <c r="Q283" i="4"/>
  <c r="P283" i="4"/>
  <c r="Q282" i="4"/>
  <c r="P282" i="4"/>
  <c r="P2" i="1" l="1"/>
  <c r="O2" i="1"/>
  <c r="H2" i="1"/>
  <c r="G2" i="1"/>
  <c r="F2" i="1"/>
  <c r="P281" i="1"/>
  <c r="O281" i="1"/>
  <c r="H281" i="1"/>
  <c r="G281" i="1"/>
  <c r="F281" i="1"/>
  <c r="D281" i="1"/>
  <c r="C281" i="1"/>
  <c r="B281" i="1"/>
  <c r="H312" i="2" s="1"/>
  <c r="P280" i="1"/>
  <c r="O280" i="1"/>
  <c r="H280" i="1"/>
  <c r="G280" i="1"/>
  <c r="F280" i="1"/>
  <c r="D280" i="1"/>
  <c r="C280" i="1"/>
  <c r="B280" i="1"/>
  <c r="H154" i="2" s="1"/>
  <c r="P279" i="1"/>
  <c r="O279" i="1"/>
  <c r="H279" i="1"/>
  <c r="G279" i="1"/>
  <c r="F279" i="1"/>
  <c r="D279" i="1"/>
  <c r="C279" i="1"/>
  <c r="B279" i="1"/>
  <c r="H145" i="2" s="1"/>
  <c r="Q281" i="4"/>
  <c r="P281" i="4"/>
  <c r="Q280" i="4"/>
  <c r="P280" i="4"/>
  <c r="Q279" i="4"/>
  <c r="P279" i="4"/>
  <c r="H288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288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I478" i="2"/>
  <c r="I479" i="2"/>
  <c r="I480" i="2"/>
  <c r="I481" i="2"/>
  <c r="I482" i="2"/>
  <c r="I483" i="2"/>
  <c r="I484" i="2"/>
  <c r="I485" i="2"/>
  <c r="A478" i="2"/>
  <c r="F478" i="2" s="1"/>
  <c r="A479" i="2"/>
  <c r="F479" i="2" s="1"/>
  <c r="A480" i="2"/>
  <c r="G480" i="2" s="1"/>
  <c r="A481" i="2"/>
  <c r="G481" i="2" s="1"/>
  <c r="A482" i="2"/>
  <c r="F482" i="2" s="1"/>
  <c r="A483" i="2"/>
  <c r="F483" i="2" s="1"/>
  <c r="A484" i="2"/>
  <c r="G484" i="2" s="1"/>
  <c r="A485" i="2"/>
  <c r="G485" i="2" s="1"/>
  <c r="B249" i="1"/>
  <c r="H274" i="2" s="1"/>
  <c r="C249" i="1"/>
  <c r="D249" i="1"/>
  <c r="F249" i="1"/>
  <c r="O249" i="1"/>
  <c r="P249" i="1"/>
  <c r="B250" i="1"/>
  <c r="H276" i="2" s="1"/>
  <c r="C250" i="1"/>
  <c r="D250" i="1"/>
  <c r="F250" i="1"/>
  <c r="O250" i="1"/>
  <c r="P250" i="1"/>
  <c r="B251" i="1"/>
  <c r="H273" i="2" s="1"/>
  <c r="C251" i="1"/>
  <c r="D251" i="1"/>
  <c r="F251" i="1"/>
  <c r="O251" i="1"/>
  <c r="P251" i="1"/>
  <c r="B252" i="1"/>
  <c r="H261" i="2" s="1"/>
  <c r="C252" i="1"/>
  <c r="D252" i="1"/>
  <c r="F252" i="1"/>
  <c r="O252" i="1"/>
  <c r="P252" i="1"/>
  <c r="B253" i="1"/>
  <c r="H58" i="2" s="1"/>
  <c r="C253" i="1"/>
  <c r="D253" i="1"/>
  <c r="F253" i="1"/>
  <c r="O253" i="1"/>
  <c r="P253" i="1"/>
  <c r="B254" i="1"/>
  <c r="H216" i="2" s="1"/>
  <c r="C254" i="1"/>
  <c r="D254" i="1"/>
  <c r="F254" i="1"/>
  <c r="O254" i="1"/>
  <c r="P254" i="1"/>
  <c r="B255" i="1"/>
  <c r="H279" i="2" s="1"/>
  <c r="C255" i="1"/>
  <c r="D255" i="1"/>
  <c r="F255" i="1"/>
  <c r="O255" i="1"/>
  <c r="P255" i="1"/>
  <c r="B256" i="1"/>
  <c r="H174" i="2" s="1"/>
  <c r="C256" i="1"/>
  <c r="D256" i="1"/>
  <c r="F256" i="1"/>
  <c r="O256" i="1"/>
  <c r="P256" i="1"/>
  <c r="B257" i="1"/>
  <c r="H96" i="2" s="1"/>
  <c r="C257" i="1"/>
  <c r="D257" i="1"/>
  <c r="F257" i="1"/>
  <c r="O257" i="1"/>
  <c r="P257" i="1"/>
  <c r="B258" i="1"/>
  <c r="H109" i="2" s="1"/>
  <c r="C258" i="1"/>
  <c r="D258" i="1"/>
  <c r="F258" i="1"/>
  <c r="O258" i="1"/>
  <c r="P258" i="1"/>
  <c r="B259" i="1"/>
  <c r="H110" i="2" s="1"/>
  <c r="C259" i="1"/>
  <c r="D259" i="1"/>
  <c r="F259" i="1"/>
  <c r="O259" i="1"/>
  <c r="P259" i="1"/>
  <c r="B260" i="1"/>
  <c r="H111" i="2" s="1"/>
  <c r="C260" i="1"/>
  <c r="D260" i="1"/>
  <c r="F260" i="1"/>
  <c r="O260" i="1"/>
  <c r="P260" i="1"/>
  <c r="B261" i="1"/>
  <c r="H74" i="2" s="1"/>
  <c r="C261" i="1"/>
  <c r="D261" i="1"/>
  <c r="F261" i="1"/>
  <c r="O261" i="1"/>
  <c r="P261" i="1"/>
  <c r="B262" i="1"/>
  <c r="H105" i="2" s="1"/>
  <c r="C262" i="1"/>
  <c r="D262" i="1"/>
  <c r="F262" i="1"/>
  <c r="O262" i="1"/>
  <c r="P262" i="1"/>
  <c r="B263" i="1"/>
  <c r="H277" i="2" s="1"/>
  <c r="C263" i="1"/>
  <c r="D263" i="1"/>
  <c r="F263" i="1"/>
  <c r="O263" i="1"/>
  <c r="P263" i="1"/>
  <c r="B264" i="1"/>
  <c r="H278" i="2" s="1"/>
  <c r="C264" i="1"/>
  <c r="D264" i="1"/>
  <c r="F264" i="1"/>
  <c r="O264" i="1"/>
  <c r="P264" i="1"/>
  <c r="B265" i="1"/>
  <c r="H51" i="2" s="1"/>
  <c r="C265" i="1"/>
  <c r="D265" i="1"/>
  <c r="F265" i="1"/>
  <c r="O265" i="1"/>
  <c r="P265" i="1"/>
  <c r="B266" i="1"/>
  <c r="H198" i="2" s="1"/>
  <c r="C266" i="1"/>
  <c r="D266" i="1"/>
  <c r="F266" i="1"/>
  <c r="O266" i="1"/>
  <c r="P266" i="1"/>
  <c r="B267" i="1"/>
  <c r="H148" i="2" s="1"/>
  <c r="C267" i="1"/>
  <c r="D267" i="1"/>
  <c r="F267" i="1"/>
  <c r="O267" i="1"/>
  <c r="P267" i="1"/>
  <c r="B268" i="1"/>
  <c r="H200" i="2" s="1"/>
  <c r="C268" i="1"/>
  <c r="D268" i="1"/>
  <c r="F268" i="1"/>
  <c r="O268" i="1"/>
  <c r="P268" i="1"/>
  <c r="B269" i="1"/>
  <c r="H201" i="2" s="1"/>
  <c r="C269" i="1"/>
  <c r="D269" i="1"/>
  <c r="F269" i="1"/>
  <c r="O269" i="1"/>
  <c r="P269" i="1"/>
  <c r="B270" i="1"/>
  <c r="H189" i="2" s="1"/>
  <c r="C270" i="1"/>
  <c r="D270" i="1"/>
  <c r="F270" i="1"/>
  <c r="O270" i="1"/>
  <c r="K270" i="1" s="1"/>
  <c r="V270" i="1" s="1"/>
  <c r="P270" i="1"/>
  <c r="B271" i="1"/>
  <c r="H66" i="2" s="1"/>
  <c r="C271" i="1"/>
  <c r="D271" i="1"/>
  <c r="F271" i="1"/>
  <c r="O271" i="1"/>
  <c r="P271" i="1"/>
  <c r="B272" i="1"/>
  <c r="H127" i="2" s="1"/>
  <c r="C272" i="1"/>
  <c r="D272" i="1"/>
  <c r="F272" i="1"/>
  <c r="O272" i="1"/>
  <c r="P272" i="1"/>
  <c r="B273" i="1"/>
  <c r="H129" i="2" s="1"/>
  <c r="C273" i="1"/>
  <c r="D273" i="1"/>
  <c r="F273" i="1"/>
  <c r="O273" i="1"/>
  <c r="P273" i="1"/>
  <c r="B274" i="1"/>
  <c r="H57" i="2" s="1"/>
  <c r="C274" i="1"/>
  <c r="D274" i="1"/>
  <c r="F274" i="1"/>
  <c r="O274" i="1"/>
  <c r="P274" i="1"/>
  <c r="B275" i="1"/>
  <c r="H224" i="2" s="1"/>
  <c r="C275" i="1"/>
  <c r="D275" i="1"/>
  <c r="F275" i="1"/>
  <c r="O275" i="1"/>
  <c r="K275" i="1" s="1"/>
  <c r="V275" i="1" s="1"/>
  <c r="P275" i="1"/>
  <c r="B276" i="1"/>
  <c r="H54" i="2" s="1"/>
  <c r="C276" i="1"/>
  <c r="D276" i="1"/>
  <c r="F276" i="1"/>
  <c r="O276" i="1"/>
  <c r="P276" i="1"/>
  <c r="B277" i="1"/>
  <c r="H62" i="2" s="1"/>
  <c r="C277" i="1"/>
  <c r="D277" i="1"/>
  <c r="F277" i="1"/>
  <c r="O277" i="1"/>
  <c r="P277" i="1"/>
  <c r="B278" i="1"/>
  <c r="H153" i="2" s="1"/>
  <c r="C278" i="1"/>
  <c r="D278" i="1"/>
  <c r="F278" i="1"/>
  <c r="O278" i="1"/>
  <c r="P278" i="1"/>
  <c r="B288" i="1"/>
  <c r="H194" i="2" s="1"/>
  <c r="C288" i="1"/>
  <c r="D288" i="1"/>
  <c r="F288" i="1"/>
  <c r="O288" i="1"/>
  <c r="P288" i="1"/>
  <c r="X288" i="1"/>
  <c r="B248" i="1"/>
  <c r="H275" i="2" s="1"/>
  <c r="C248" i="1"/>
  <c r="D248" i="1"/>
  <c r="F248" i="1"/>
  <c r="O248" i="1"/>
  <c r="P248" i="1"/>
  <c r="P247" i="4"/>
  <c r="Q247" i="4"/>
  <c r="P248" i="4"/>
  <c r="Q248" i="4"/>
  <c r="P249" i="4"/>
  <c r="Q249" i="4"/>
  <c r="P250" i="4"/>
  <c r="Q250" i="4"/>
  <c r="P251" i="4"/>
  <c r="Q251" i="4"/>
  <c r="P252" i="4"/>
  <c r="Q252" i="4"/>
  <c r="P253" i="4"/>
  <c r="Q253" i="4"/>
  <c r="P254" i="4"/>
  <c r="Q254" i="4"/>
  <c r="P255" i="4"/>
  <c r="Q255" i="4"/>
  <c r="P256" i="4"/>
  <c r="Q256" i="4"/>
  <c r="P257" i="4"/>
  <c r="Q257" i="4"/>
  <c r="P258" i="4"/>
  <c r="Q258" i="4"/>
  <c r="P259" i="4"/>
  <c r="Q259" i="4"/>
  <c r="P260" i="4"/>
  <c r="Q260" i="4"/>
  <c r="P261" i="4"/>
  <c r="Q261" i="4"/>
  <c r="P262" i="4"/>
  <c r="Q262" i="4"/>
  <c r="P263" i="4"/>
  <c r="Q263" i="4"/>
  <c r="P264" i="4"/>
  <c r="Q264" i="4"/>
  <c r="P265" i="4"/>
  <c r="Q265" i="4"/>
  <c r="P266" i="4"/>
  <c r="Q266" i="4"/>
  <c r="P267" i="4"/>
  <c r="Q267" i="4"/>
  <c r="P268" i="4"/>
  <c r="Q268" i="4"/>
  <c r="P269" i="4"/>
  <c r="Q269" i="4"/>
  <c r="P270" i="4"/>
  <c r="Q270" i="4"/>
  <c r="P271" i="4"/>
  <c r="Q271" i="4"/>
  <c r="P272" i="4"/>
  <c r="Q272" i="4"/>
  <c r="P273" i="4"/>
  <c r="Q273" i="4"/>
  <c r="P274" i="4"/>
  <c r="E281" i="1" s="1"/>
  <c r="Q274" i="4"/>
  <c r="P275" i="4"/>
  <c r="Q275" i="4"/>
  <c r="P276" i="4"/>
  <c r="Q276" i="4"/>
  <c r="P277" i="4"/>
  <c r="Q277" i="4"/>
  <c r="P278" i="4"/>
  <c r="Q278" i="4"/>
  <c r="Y238" i="1"/>
  <c r="P246" i="1"/>
  <c r="O246" i="1"/>
  <c r="K246" i="1" s="1"/>
  <c r="V246" i="1" s="1"/>
  <c r="F246" i="1"/>
  <c r="D246" i="1"/>
  <c r="C246" i="1"/>
  <c r="B246" i="1"/>
  <c r="Q246" i="4"/>
  <c r="P246" i="4"/>
  <c r="M1" i="1"/>
  <c r="F480" i="2" l="1"/>
  <c r="F481" i="2"/>
  <c r="E278" i="1"/>
  <c r="F484" i="2"/>
  <c r="E288" i="1"/>
  <c r="G483" i="2"/>
  <c r="G482" i="2"/>
  <c r="F485" i="2"/>
  <c r="G479" i="2"/>
  <c r="G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F284" i="2" s="1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C4" i="1"/>
  <c r="D4" i="1"/>
  <c r="F4" i="1"/>
  <c r="C5" i="1"/>
  <c r="D5" i="1"/>
  <c r="F5" i="1"/>
  <c r="C6" i="1"/>
  <c r="D6" i="1"/>
  <c r="F6" i="1"/>
  <c r="C7" i="1"/>
  <c r="D7" i="1"/>
  <c r="F7" i="1"/>
  <c r="C8" i="1"/>
  <c r="D8" i="1"/>
  <c r="F8" i="1"/>
  <c r="C9" i="1"/>
  <c r="D9" i="1"/>
  <c r="F9" i="1"/>
  <c r="C10" i="1"/>
  <c r="D10" i="1"/>
  <c r="F10" i="1"/>
  <c r="C11" i="1"/>
  <c r="D11" i="1"/>
  <c r="F11" i="1"/>
  <c r="C12" i="1"/>
  <c r="D12" i="1"/>
  <c r="F12" i="1"/>
  <c r="C13" i="1"/>
  <c r="D13" i="1"/>
  <c r="F13" i="1"/>
  <c r="C14" i="1"/>
  <c r="D14" i="1"/>
  <c r="F14" i="1"/>
  <c r="C15" i="1"/>
  <c r="D15" i="1"/>
  <c r="F15" i="1"/>
  <c r="C16" i="1"/>
  <c r="D16" i="1"/>
  <c r="F16" i="1"/>
  <c r="C17" i="1"/>
  <c r="D17" i="1"/>
  <c r="F17" i="1"/>
  <c r="C18" i="1"/>
  <c r="D18" i="1"/>
  <c r="F18" i="1"/>
  <c r="C19" i="1"/>
  <c r="D19" i="1"/>
  <c r="F19" i="1"/>
  <c r="C20" i="1"/>
  <c r="D20" i="1"/>
  <c r="F20" i="1"/>
  <c r="C21" i="1"/>
  <c r="D21" i="1"/>
  <c r="F21" i="1"/>
  <c r="C22" i="1"/>
  <c r="D22" i="1"/>
  <c r="F22" i="1"/>
  <c r="C23" i="1"/>
  <c r="D23" i="1"/>
  <c r="F23" i="1"/>
  <c r="C24" i="1"/>
  <c r="D24" i="1"/>
  <c r="F24" i="1"/>
  <c r="C25" i="1"/>
  <c r="D25" i="1"/>
  <c r="F25" i="1"/>
  <c r="C26" i="1"/>
  <c r="D26" i="1"/>
  <c r="F26" i="1"/>
  <c r="C27" i="1"/>
  <c r="D27" i="1"/>
  <c r="F27" i="1"/>
  <c r="C28" i="1"/>
  <c r="D28" i="1"/>
  <c r="F28" i="1"/>
  <c r="C29" i="1"/>
  <c r="D29" i="1"/>
  <c r="F29" i="1"/>
  <c r="C30" i="1"/>
  <c r="D30" i="1"/>
  <c r="F30" i="1"/>
  <c r="C31" i="1"/>
  <c r="D31" i="1"/>
  <c r="F31" i="1"/>
  <c r="C32" i="1"/>
  <c r="D32" i="1"/>
  <c r="F32" i="1"/>
  <c r="C33" i="1"/>
  <c r="D33" i="1"/>
  <c r="F33" i="1"/>
  <c r="C34" i="1"/>
  <c r="D34" i="1"/>
  <c r="F34" i="1"/>
  <c r="C35" i="1"/>
  <c r="D35" i="1"/>
  <c r="F35" i="1"/>
  <c r="C36" i="1"/>
  <c r="D36" i="1"/>
  <c r="F36" i="1"/>
  <c r="C37" i="1"/>
  <c r="D37" i="1"/>
  <c r="F37" i="1"/>
  <c r="C38" i="1"/>
  <c r="D38" i="1"/>
  <c r="F38" i="1"/>
  <c r="C39" i="1"/>
  <c r="D39" i="1"/>
  <c r="F39" i="1"/>
  <c r="C40" i="1"/>
  <c r="D40" i="1"/>
  <c r="F40" i="1"/>
  <c r="C41" i="1"/>
  <c r="D41" i="1"/>
  <c r="F41" i="1"/>
  <c r="C42" i="1"/>
  <c r="D42" i="1"/>
  <c r="F42" i="1"/>
  <c r="C43" i="1"/>
  <c r="D43" i="1"/>
  <c r="F43" i="1"/>
  <c r="C44" i="1"/>
  <c r="D44" i="1"/>
  <c r="F44" i="1"/>
  <c r="C45" i="1"/>
  <c r="D45" i="1"/>
  <c r="F45" i="1"/>
  <c r="C46" i="1"/>
  <c r="D46" i="1"/>
  <c r="F46" i="1"/>
  <c r="C47" i="1"/>
  <c r="D47" i="1"/>
  <c r="F47" i="1"/>
  <c r="C48" i="1"/>
  <c r="D48" i="1"/>
  <c r="F48" i="1"/>
  <c r="C49" i="1"/>
  <c r="D49" i="1"/>
  <c r="F49" i="1"/>
  <c r="C50" i="1"/>
  <c r="D50" i="1"/>
  <c r="F50" i="1"/>
  <c r="C51" i="1"/>
  <c r="D51" i="1"/>
  <c r="F51" i="1"/>
  <c r="C52" i="1"/>
  <c r="D52" i="1"/>
  <c r="F52" i="1"/>
  <c r="C53" i="1"/>
  <c r="D53" i="1"/>
  <c r="F53" i="1"/>
  <c r="C54" i="1"/>
  <c r="D54" i="1"/>
  <c r="F54" i="1"/>
  <c r="C55" i="1"/>
  <c r="D55" i="1"/>
  <c r="F55" i="1"/>
  <c r="C56" i="1"/>
  <c r="D56" i="1"/>
  <c r="F56" i="1"/>
  <c r="C57" i="1"/>
  <c r="D57" i="1"/>
  <c r="F57" i="1"/>
  <c r="C58" i="1"/>
  <c r="D58" i="1"/>
  <c r="F58" i="1"/>
  <c r="C59" i="1"/>
  <c r="D59" i="1"/>
  <c r="F59" i="1"/>
  <c r="C60" i="1"/>
  <c r="D60" i="1"/>
  <c r="F60" i="1"/>
  <c r="C61" i="1"/>
  <c r="D61" i="1"/>
  <c r="F61" i="1"/>
  <c r="C62" i="1"/>
  <c r="D62" i="1"/>
  <c r="F62" i="1"/>
  <c r="C63" i="1"/>
  <c r="D63" i="1"/>
  <c r="F63" i="1"/>
  <c r="C64" i="1"/>
  <c r="D64" i="1"/>
  <c r="F64" i="1"/>
  <c r="C65" i="1"/>
  <c r="D65" i="1"/>
  <c r="F65" i="1"/>
  <c r="C66" i="1"/>
  <c r="D66" i="1"/>
  <c r="F66" i="1"/>
  <c r="C67" i="1"/>
  <c r="D67" i="1"/>
  <c r="F67" i="1"/>
  <c r="C68" i="1"/>
  <c r="D68" i="1"/>
  <c r="F68" i="1"/>
  <c r="C69" i="1"/>
  <c r="D69" i="1"/>
  <c r="F69" i="1"/>
  <c r="C70" i="1"/>
  <c r="D70" i="1"/>
  <c r="F70" i="1"/>
  <c r="C71" i="1"/>
  <c r="D71" i="1"/>
  <c r="F71" i="1"/>
  <c r="C72" i="1"/>
  <c r="D72" i="1"/>
  <c r="F72" i="1"/>
  <c r="C73" i="1"/>
  <c r="D73" i="1"/>
  <c r="F73" i="1"/>
  <c r="C74" i="1"/>
  <c r="D74" i="1"/>
  <c r="F74" i="1"/>
  <c r="C75" i="1"/>
  <c r="D75" i="1"/>
  <c r="F75" i="1"/>
  <c r="C76" i="1"/>
  <c r="D76" i="1"/>
  <c r="F76" i="1"/>
  <c r="C77" i="1"/>
  <c r="D77" i="1"/>
  <c r="F77" i="1"/>
  <c r="C78" i="1"/>
  <c r="D78" i="1"/>
  <c r="F78" i="1"/>
  <c r="C79" i="1"/>
  <c r="D79" i="1"/>
  <c r="F79" i="1"/>
  <c r="C80" i="1"/>
  <c r="D80" i="1"/>
  <c r="F80" i="1"/>
  <c r="C81" i="1"/>
  <c r="D81" i="1"/>
  <c r="F81" i="1"/>
  <c r="C82" i="1"/>
  <c r="D82" i="1"/>
  <c r="F82" i="1"/>
  <c r="C83" i="1"/>
  <c r="D83" i="1"/>
  <c r="F83" i="1"/>
  <c r="C84" i="1"/>
  <c r="D84" i="1"/>
  <c r="F84" i="1"/>
  <c r="C85" i="1"/>
  <c r="D85" i="1"/>
  <c r="F85" i="1"/>
  <c r="C86" i="1"/>
  <c r="D86" i="1"/>
  <c r="F86" i="1"/>
  <c r="C87" i="1"/>
  <c r="D87" i="1"/>
  <c r="F87" i="1"/>
  <c r="C88" i="1"/>
  <c r="D88" i="1"/>
  <c r="F88" i="1"/>
  <c r="C89" i="1"/>
  <c r="D89" i="1"/>
  <c r="F89" i="1"/>
  <c r="C90" i="1"/>
  <c r="D90" i="1"/>
  <c r="F90" i="1"/>
  <c r="C91" i="1"/>
  <c r="D91" i="1"/>
  <c r="F91" i="1"/>
  <c r="C92" i="1"/>
  <c r="D92" i="1"/>
  <c r="F92" i="1"/>
  <c r="C93" i="1"/>
  <c r="D93" i="1"/>
  <c r="F93" i="1"/>
  <c r="C94" i="1"/>
  <c r="D94" i="1"/>
  <c r="F94" i="1"/>
  <c r="C95" i="1"/>
  <c r="D95" i="1"/>
  <c r="F95" i="1"/>
  <c r="C96" i="1"/>
  <c r="D96" i="1"/>
  <c r="F96" i="1"/>
  <c r="C97" i="1"/>
  <c r="D97" i="1"/>
  <c r="F97" i="1"/>
  <c r="C98" i="1"/>
  <c r="D98" i="1"/>
  <c r="F98" i="1"/>
  <c r="C99" i="1"/>
  <c r="D99" i="1"/>
  <c r="F99" i="1"/>
  <c r="C100" i="1"/>
  <c r="D100" i="1"/>
  <c r="F100" i="1"/>
  <c r="C101" i="1"/>
  <c r="D101" i="1"/>
  <c r="F101" i="1"/>
  <c r="C102" i="1"/>
  <c r="D102" i="1"/>
  <c r="F102" i="1"/>
  <c r="C103" i="1"/>
  <c r="D103" i="1"/>
  <c r="F103" i="1"/>
  <c r="C104" i="1"/>
  <c r="D104" i="1"/>
  <c r="F104" i="1"/>
  <c r="C105" i="1"/>
  <c r="D105" i="1"/>
  <c r="F105" i="1"/>
  <c r="C106" i="1"/>
  <c r="D106" i="1"/>
  <c r="F106" i="1"/>
  <c r="C107" i="1"/>
  <c r="D107" i="1"/>
  <c r="F107" i="1"/>
  <c r="C108" i="1"/>
  <c r="D108" i="1"/>
  <c r="F108" i="1"/>
  <c r="C109" i="1"/>
  <c r="D109" i="1"/>
  <c r="F109" i="1"/>
  <c r="C110" i="1"/>
  <c r="D110" i="1"/>
  <c r="F110" i="1"/>
  <c r="C111" i="1"/>
  <c r="D111" i="1"/>
  <c r="F111" i="1"/>
  <c r="C112" i="1"/>
  <c r="D112" i="1"/>
  <c r="F112" i="1"/>
  <c r="C113" i="1"/>
  <c r="D113" i="1"/>
  <c r="F113" i="1"/>
  <c r="C114" i="1"/>
  <c r="D114" i="1"/>
  <c r="F114" i="1"/>
  <c r="C115" i="1"/>
  <c r="D115" i="1"/>
  <c r="F115" i="1"/>
  <c r="C116" i="1"/>
  <c r="D116" i="1"/>
  <c r="F116" i="1"/>
  <c r="C117" i="1"/>
  <c r="D117" i="1"/>
  <c r="F117" i="1"/>
  <c r="C118" i="1"/>
  <c r="D118" i="1"/>
  <c r="F118" i="1"/>
  <c r="C119" i="1"/>
  <c r="D119" i="1"/>
  <c r="F119" i="1"/>
  <c r="C120" i="1"/>
  <c r="D120" i="1"/>
  <c r="F120" i="1"/>
  <c r="C121" i="1"/>
  <c r="D121" i="1"/>
  <c r="F121" i="1"/>
  <c r="C122" i="1"/>
  <c r="D122" i="1"/>
  <c r="F122" i="1"/>
  <c r="C123" i="1"/>
  <c r="D123" i="1"/>
  <c r="F123" i="1"/>
  <c r="C124" i="1"/>
  <c r="D124" i="1"/>
  <c r="F124" i="1"/>
  <c r="C125" i="1"/>
  <c r="D125" i="1"/>
  <c r="F125" i="1"/>
  <c r="C126" i="1"/>
  <c r="D126" i="1"/>
  <c r="F126" i="1"/>
  <c r="C127" i="1"/>
  <c r="D127" i="1"/>
  <c r="F127" i="1"/>
  <c r="C128" i="1"/>
  <c r="D128" i="1"/>
  <c r="F128" i="1"/>
  <c r="C129" i="1"/>
  <c r="D129" i="1"/>
  <c r="F129" i="1"/>
  <c r="C130" i="1"/>
  <c r="D130" i="1"/>
  <c r="F130" i="1"/>
  <c r="C131" i="1"/>
  <c r="D131" i="1"/>
  <c r="F131" i="1"/>
  <c r="C132" i="1"/>
  <c r="D132" i="1"/>
  <c r="F132" i="1"/>
  <c r="C133" i="1"/>
  <c r="D133" i="1"/>
  <c r="F133" i="1"/>
  <c r="C134" i="1"/>
  <c r="D134" i="1"/>
  <c r="F134" i="1"/>
  <c r="C135" i="1"/>
  <c r="D135" i="1"/>
  <c r="F135" i="1"/>
  <c r="C136" i="1"/>
  <c r="D136" i="1"/>
  <c r="F136" i="1"/>
  <c r="C137" i="1"/>
  <c r="D137" i="1"/>
  <c r="F137" i="1"/>
  <c r="C138" i="1"/>
  <c r="D138" i="1"/>
  <c r="F138" i="1"/>
  <c r="C139" i="1"/>
  <c r="D139" i="1"/>
  <c r="F139" i="1"/>
  <c r="C140" i="1"/>
  <c r="D140" i="1"/>
  <c r="F140" i="1"/>
  <c r="C141" i="1"/>
  <c r="D141" i="1"/>
  <c r="F141" i="1"/>
  <c r="C142" i="1"/>
  <c r="D142" i="1"/>
  <c r="F142" i="1"/>
  <c r="C143" i="1"/>
  <c r="D143" i="1"/>
  <c r="F143" i="1"/>
  <c r="C144" i="1"/>
  <c r="D144" i="1"/>
  <c r="F144" i="1"/>
  <c r="C145" i="1"/>
  <c r="D145" i="1"/>
  <c r="F145" i="1"/>
  <c r="C146" i="1"/>
  <c r="D146" i="1"/>
  <c r="F146" i="1"/>
  <c r="C147" i="1"/>
  <c r="D147" i="1"/>
  <c r="F147" i="1"/>
  <c r="C148" i="1"/>
  <c r="D148" i="1"/>
  <c r="F148" i="1"/>
  <c r="C149" i="1"/>
  <c r="D149" i="1"/>
  <c r="F149" i="1"/>
  <c r="C150" i="1"/>
  <c r="D150" i="1"/>
  <c r="F150" i="1"/>
  <c r="C151" i="1"/>
  <c r="D151" i="1"/>
  <c r="F151" i="1"/>
  <c r="C152" i="1"/>
  <c r="D152" i="1"/>
  <c r="F152" i="1"/>
  <c r="C153" i="1"/>
  <c r="D153" i="1"/>
  <c r="F153" i="1"/>
  <c r="C154" i="1"/>
  <c r="D154" i="1"/>
  <c r="F154" i="1"/>
  <c r="C155" i="1"/>
  <c r="D155" i="1"/>
  <c r="F155" i="1"/>
  <c r="C156" i="1"/>
  <c r="D156" i="1"/>
  <c r="F156" i="1"/>
  <c r="C157" i="1"/>
  <c r="D157" i="1"/>
  <c r="F157" i="1"/>
  <c r="C158" i="1"/>
  <c r="D158" i="1"/>
  <c r="F158" i="1"/>
  <c r="C159" i="1"/>
  <c r="D159" i="1"/>
  <c r="F159" i="1"/>
  <c r="C160" i="1"/>
  <c r="D160" i="1"/>
  <c r="F160" i="1"/>
  <c r="C161" i="1"/>
  <c r="D161" i="1"/>
  <c r="F161" i="1"/>
  <c r="C162" i="1"/>
  <c r="D162" i="1"/>
  <c r="F162" i="1"/>
  <c r="C163" i="1"/>
  <c r="D163" i="1"/>
  <c r="F163" i="1"/>
  <c r="C164" i="1"/>
  <c r="D164" i="1"/>
  <c r="F164" i="1"/>
  <c r="C165" i="1"/>
  <c r="D165" i="1"/>
  <c r="F165" i="1"/>
  <c r="C166" i="1"/>
  <c r="D166" i="1"/>
  <c r="F166" i="1"/>
  <c r="C167" i="1"/>
  <c r="D167" i="1"/>
  <c r="F167" i="1"/>
  <c r="C168" i="1"/>
  <c r="D168" i="1"/>
  <c r="F168" i="1"/>
  <c r="C169" i="1"/>
  <c r="D169" i="1"/>
  <c r="F169" i="1"/>
  <c r="C170" i="1"/>
  <c r="D170" i="1"/>
  <c r="F170" i="1"/>
  <c r="C171" i="1"/>
  <c r="D171" i="1"/>
  <c r="F171" i="1"/>
  <c r="C172" i="1"/>
  <c r="D172" i="1"/>
  <c r="F172" i="1"/>
  <c r="C173" i="1"/>
  <c r="D173" i="1"/>
  <c r="F173" i="1"/>
  <c r="C174" i="1"/>
  <c r="D174" i="1"/>
  <c r="F174" i="1"/>
  <c r="C175" i="1"/>
  <c r="D175" i="1"/>
  <c r="F175" i="1"/>
  <c r="C176" i="1"/>
  <c r="D176" i="1"/>
  <c r="F176" i="1"/>
  <c r="C177" i="1"/>
  <c r="D177" i="1"/>
  <c r="F177" i="1"/>
  <c r="C178" i="1"/>
  <c r="D178" i="1"/>
  <c r="F178" i="1"/>
  <c r="C179" i="1"/>
  <c r="D179" i="1"/>
  <c r="F179" i="1"/>
  <c r="C180" i="1"/>
  <c r="D180" i="1"/>
  <c r="F180" i="1"/>
  <c r="C181" i="1"/>
  <c r="D181" i="1"/>
  <c r="F181" i="1"/>
  <c r="C182" i="1"/>
  <c r="D182" i="1"/>
  <c r="F182" i="1"/>
  <c r="C183" i="1"/>
  <c r="D183" i="1"/>
  <c r="F183" i="1"/>
  <c r="C184" i="1"/>
  <c r="D184" i="1"/>
  <c r="F184" i="1"/>
  <c r="C185" i="1"/>
  <c r="D185" i="1"/>
  <c r="F185" i="1"/>
  <c r="C186" i="1"/>
  <c r="D186" i="1"/>
  <c r="F186" i="1"/>
  <c r="C187" i="1"/>
  <c r="D187" i="1"/>
  <c r="F187" i="1"/>
  <c r="C188" i="1"/>
  <c r="D188" i="1"/>
  <c r="F188" i="1"/>
  <c r="C189" i="1"/>
  <c r="D189" i="1"/>
  <c r="F189" i="1"/>
  <c r="C190" i="1"/>
  <c r="D190" i="1"/>
  <c r="F190" i="1"/>
  <c r="C191" i="1"/>
  <c r="D191" i="1"/>
  <c r="F191" i="1"/>
  <c r="C192" i="1"/>
  <c r="D192" i="1"/>
  <c r="F192" i="1"/>
  <c r="C193" i="1"/>
  <c r="D193" i="1"/>
  <c r="F193" i="1"/>
  <c r="C194" i="1"/>
  <c r="D194" i="1"/>
  <c r="F194" i="1"/>
  <c r="C195" i="1"/>
  <c r="D195" i="1"/>
  <c r="F195" i="1"/>
  <c r="C196" i="1"/>
  <c r="D196" i="1"/>
  <c r="F196" i="1"/>
  <c r="C197" i="1"/>
  <c r="D197" i="1"/>
  <c r="F197" i="1"/>
  <c r="C198" i="1"/>
  <c r="D198" i="1"/>
  <c r="F198" i="1"/>
  <c r="C199" i="1"/>
  <c r="D199" i="1"/>
  <c r="F199" i="1"/>
  <c r="C200" i="1"/>
  <c r="D200" i="1"/>
  <c r="F200" i="1"/>
  <c r="C201" i="1"/>
  <c r="D201" i="1"/>
  <c r="F201" i="1"/>
  <c r="C202" i="1"/>
  <c r="D202" i="1"/>
  <c r="F202" i="1"/>
  <c r="C203" i="1"/>
  <c r="D203" i="1"/>
  <c r="F203" i="1"/>
  <c r="C204" i="1"/>
  <c r="D204" i="1"/>
  <c r="F204" i="1"/>
  <c r="C205" i="1"/>
  <c r="D205" i="1"/>
  <c r="F205" i="1"/>
  <c r="C206" i="1"/>
  <c r="D206" i="1"/>
  <c r="F206" i="1"/>
  <c r="C207" i="1"/>
  <c r="D207" i="1"/>
  <c r="F207" i="1"/>
  <c r="C208" i="1"/>
  <c r="D208" i="1"/>
  <c r="F208" i="1"/>
  <c r="C209" i="1"/>
  <c r="D209" i="1"/>
  <c r="F209" i="1"/>
  <c r="C210" i="1"/>
  <c r="D210" i="1"/>
  <c r="F210" i="1"/>
  <c r="C211" i="1"/>
  <c r="D211" i="1"/>
  <c r="F211" i="1"/>
  <c r="C212" i="1"/>
  <c r="D212" i="1"/>
  <c r="F212" i="1"/>
  <c r="C213" i="1"/>
  <c r="D213" i="1"/>
  <c r="F213" i="1"/>
  <c r="C214" i="1"/>
  <c r="D214" i="1"/>
  <c r="F214" i="1"/>
  <c r="C215" i="1"/>
  <c r="D215" i="1"/>
  <c r="F215" i="1"/>
  <c r="C216" i="1"/>
  <c r="D216" i="1"/>
  <c r="F216" i="1"/>
  <c r="C217" i="1"/>
  <c r="D217" i="1"/>
  <c r="F217" i="1"/>
  <c r="C218" i="1"/>
  <c r="D218" i="1"/>
  <c r="F218" i="1"/>
  <c r="C219" i="1"/>
  <c r="D219" i="1"/>
  <c r="F219" i="1"/>
  <c r="C220" i="1"/>
  <c r="D220" i="1"/>
  <c r="F220" i="1"/>
  <c r="C221" i="1"/>
  <c r="D221" i="1"/>
  <c r="F221" i="1"/>
  <c r="C222" i="1"/>
  <c r="D222" i="1"/>
  <c r="F222" i="1"/>
  <c r="C223" i="1"/>
  <c r="D223" i="1"/>
  <c r="F223" i="1"/>
  <c r="C224" i="1"/>
  <c r="D224" i="1"/>
  <c r="F224" i="1"/>
  <c r="C225" i="1"/>
  <c r="D225" i="1"/>
  <c r="F225" i="1"/>
  <c r="C226" i="1"/>
  <c r="D226" i="1"/>
  <c r="F226" i="1"/>
  <c r="C227" i="1"/>
  <c r="D227" i="1"/>
  <c r="F227" i="1"/>
  <c r="C228" i="1"/>
  <c r="D228" i="1"/>
  <c r="F228" i="1"/>
  <c r="C229" i="1"/>
  <c r="D229" i="1"/>
  <c r="F229" i="1"/>
  <c r="C230" i="1"/>
  <c r="D230" i="1"/>
  <c r="F230" i="1"/>
  <c r="C231" i="1"/>
  <c r="D231" i="1"/>
  <c r="F231" i="1"/>
  <c r="C232" i="1"/>
  <c r="D232" i="1"/>
  <c r="F232" i="1"/>
  <c r="C233" i="1"/>
  <c r="D233" i="1"/>
  <c r="F233" i="1"/>
  <c r="C234" i="1"/>
  <c r="D234" i="1"/>
  <c r="F234" i="1"/>
  <c r="C235" i="1"/>
  <c r="D235" i="1"/>
  <c r="F235" i="1"/>
  <c r="C236" i="1"/>
  <c r="D236" i="1"/>
  <c r="F236" i="1"/>
  <c r="C237" i="1"/>
  <c r="D237" i="1"/>
  <c r="F237" i="1"/>
  <c r="C238" i="1"/>
  <c r="D238" i="1"/>
  <c r="F238" i="1"/>
  <c r="C239" i="1"/>
  <c r="D239" i="1"/>
  <c r="F239" i="1"/>
  <c r="C240" i="1"/>
  <c r="D240" i="1"/>
  <c r="F240" i="1"/>
  <c r="C241" i="1"/>
  <c r="D241" i="1"/>
  <c r="F241" i="1"/>
  <c r="C242" i="1"/>
  <c r="D242" i="1"/>
  <c r="F242" i="1"/>
  <c r="C243" i="1"/>
  <c r="D243" i="1"/>
  <c r="F243" i="1"/>
  <c r="C244" i="1"/>
  <c r="D244" i="1"/>
  <c r="F244" i="1"/>
  <c r="C245" i="1"/>
  <c r="D245" i="1"/>
  <c r="F245" i="1"/>
  <c r="C247" i="1"/>
  <c r="D247" i="1"/>
  <c r="F247" i="1"/>
  <c r="M302" i="1"/>
  <c r="M295" i="1"/>
  <c r="M301" i="1"/>
  <c r="M300" i="1"/>
  <c r="M299" i="1"/>
  <c r="M298" i="1"/>
  <c r="M297" i="1"/>
  <c r="M296" i="1"/>
  <c r="I475" i="2"/>
  <c r="I476" i="2"/>
  <c r="I47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B4" i="1"/>
  <c r="H15" i="2" s="1"/>
  <c r="B5" i="1"/>
  <c r="H290" i="2" s="1"/>
  <c r="B6" i="1"/>
  <c r="B7" i="1"/>
  <c r="B8" i="1"/>
  <c r="H28" i="2" s="1"/>
  <c r="B9" i="1"/>
  <c r="H20" i="2" s="1"/>
  <c r="B10" i="1"/>
  <c r="H59" i="2" s="1"/>
  <c r="B11" i="1"/>
  <c r="B12" i="1"/>
  <c r="B13" i="1"/>
  <c r="H132" i="2" s="1"/>
  <c r="B14" i="1"/>
  <c r="B15" i="1"/>
  <c r="H100" i="2" s="1"/>
  <c r="B16" i="1"/>
  <c r="H101" i="2" s="1"/>
  <c r="B17" i="1"/>
  <c r="H171" i="2" s="1"/>
  <c r="B18" i="1"/>
  <c r="H191" i="2" s="1"/>
  <c r="B19" i="1"/>
  <c r="H17" i="2" s="1"/>
  <c r="B20" i="1"/>
  <c r="H178" i="2" s="1"/>
  <c r="B21" i="1"/>
  <c r="H131" i="2" s="1"/>
  <c r="B22" i="1"/>
  <c r="H133" i="2" s="1"/>
  <c r="B23" i="1"/>
  <c r="H160" i="2" s="1"/>
  <c r="B24" i="1"/>
  <c r="H16" i="2" s="1"/>
  <c r="B25" i="1"/>
  <c r="H39" i="2" s="1"/>
  <c r="B26" i="1"/>
  <c r="H40" i="2" s="1"/>
  <c r="B27" i="1"/>
  <c r="H52" i="2" s="1"/>
  <c r="B28" i="1"/>
  <c r="H63" i="2" s="1"/>
  <c r="B29" i="1"/>
  <c r="H89" i="2" s="1"/>
  <c r="B30" i="1"/>
  <c r="H83" i="2" s="1"/>
  <c r="B31" i="1"/>
  <c r="H79" i="2" s="1"/>
  <c r="B32" i="1"/>
  <c r="H78" i="2" s="1"/>
  <c r="B33" i="1"/>
  <c r="H122" i="2" s="1"/>
  <c r="B34" i="1"/>
  <c r="H123" i="2" s="1"/>
  <c r="B35" i="1"/>
  <c r="H228" i="2" s="1"/>
  <c r="B36" i="1"/>
  <c r="H373" i="2" s="1"/>
  <c r="B37" i="1"/>
  <c r="B38" i="1"/>
  <c r="H134" i="2" s="1"/>
  <c r="B39" i="1"/>
  <c r="B40" i="1"/>
  <c r="B41" i="1"/>
  <c r="H103" i="2" s="1"/>
  <c r="B42" i="1"/>
  <c r="H88" i="2" s="1"/>
  <c r="B43" i="1"/>
  <c r="H156" i="2" s="1"/>
  <c r="B44" i="1"/>
  <c r="H30" i="2" s="1"/>
  <c r="B45" i="1"/>
  <c r="H42" i="2" s="1"/>
  <c r="B46" i="1"/>
  <c r="H149" i="2" s="1"/>
  <c r="B47" i="1"/>
  <c r="B48" i="1"/>
  <c r="B49" i="1"/>
  <c r="H19" i="2" s="1"/>
  <c r="B50" i="1"/>
  <c r="H75" i="2" s="1"/>
  <c r="B51" i="1"/>
  <c r="B52" i="1"/>
  <c r="H142" i="2" s="1"/>
  <c r="B53" i="1"/>
  <c r="H97" i="2" s="1"/>
  <c r="B54" i="1"/>
  <c r="H102" i="2" s="1"/>
  <c r="B55" i="1"/>
  <c r="H182" i="2" s="1"/>
  <c r="B56" i="1"/>
  <c r="H104" i="2" s="1"/>
  <c r="B57" i="1"/>
  <c r="H77" i="2" s="1"/>
  <c r="B58" i="1"/>
  <c r="H84" i="2" s="1"/>
  <c r="B59" i="1"/>
  <c r="H85" i="2" s="1"/>
  <c r="B60" i="1"/>
  <c r="H76" i="2" s="1"/>
  <c r="B61" i="1"/>
  <c r="B62" i="1"/>
  <c r="B63" i="1"/>
  <c r="B64" i="1"/>
  <c r="B65" i="1"/>
  <c r="H236" i="2" s="1"/>
  <c r="B66" i="1"/>
  <c r="B67" i="1"/>
  <c r="H237" i="2" s="1"/>
  <c r="B68" i="1"/>
  <c r="B69" i="1"/>
  <c r="H67" i="2" s="1"/>
  <c r="B70" i="1"/>
  <c r="H217" i="2" s="1"/>
  <c r="B71" i="1"/>
  <c r="B72" i="1"/>
  <c r="H41" i="2" s="1"/>
  <c r="B73" i="1"/>
  <c r="H23" i="2" s="1"/>
  <c r="B74" i="1"/>
  <c r="H27" i="2" s="1"/>
  <c r="B75" i="1"/>
  <c r="H26" i="2" s="1"/>
  <c r="B76" i="1"/>
  <c r="H35" i="2" s="1"/>
  <c r="B77" i="1"/>
  <c r="B78" i="1"/>
  <c r="B79" i="1"/>
  <c r="H48" i="2" s="1"/>
  <c r="B80" i="1"/>
  <c r="H36" i="2" s="1"/>
  <c r="B81" i="1"/>
  <c r="H60" i="2" s="1"/>
  <c r="B82" i="1"/>
  <c r="H121" i="2" s="1"/>
  <c r="B83" i="1"/>
  <c r="H199" i="2" s="1"/>
  <c r="B84" i="1"/>
  <c r="H214" i="2" s="1"/>
  <c r="B85" i="1"/>
  <c r="H18" i="2" s="1"/>
  <c r="B86" i="1"/>
  <c r="H46" i="2" s="1"/>
  <c r="B87" i="1"/>
  <c r="H56" i="2" s="1"/>
  <c r="B88" i="1"/>
  <c r="H68" i="2" s="1"/>
  <c r="B89" i="1"/>
  <c r="H99" i="2" s="1"/>
  <c r="B90" i="1"/>
  <c r="H125" i="2" s="1"/>
  <c r="B91" i="1"/>
  <c r="B92" i="1"/>
  <c r="H126" i="2" s="1"/>
  <c r="B93" i="1"/>
  <c r="B94" i="1"/>
  <c r="H108" i="2" s="1"/>
  <c r="B95" i="1"/>
  <c r="H128" i="2" s="1"/>
  <c r="B96" i="1"/>
  <c r="B97" i="1"/>
  <c r="H158" i="2" s="1"/>
  <c r="B98" i="1"/>
  <c r="H218" i="2" s="1"/>
  <c r="B99" i="1"/>
  <c r="H215" i="2" s="1"/>
  <c r="B100" i="1"/>
  <c r="B101" i="1"/>
  <c r="H22" i="2" s="1"/>
  <c r="B102" i="1"/>
  <c r="H24" i="2" s="1"/>
  <c r="B103" i="1"/>
  <c r="H25" i="2" s="1"/>
  <c r="B104" i="1"/>
  <c r="H31" i="2" s="1"/>
  <c r="B105" i="1"/>
  <c r="H45" i="2" s="1"/>
  <c r="B106" i="1"/>
  <c r="H53" i="2" s="1"/>
  <c r="B107" i="1"/>
  <c r="H107" i="2" s="1"/>
  <c r="B108" i="1"/>
  <c r="H106" i="2" s="1"/>
  <c r="B109" i="1"/>
  <c r="H98" i="2" s="1"/>
  <c r="B110" i="1"/>
  <c r="H172" i="2" s="1"/>
  <c r="B111" i="1"/>
  <c r="H82" i="2" s="1"/>
  <c r="B112" i="1"/>
  <c r="H80" i="2" s="1"/>
  <c r="B113" i="1"/>
  <c r="H81" i="2" s="1"/>
  <c r="B114" i="1"/>
  <c r="H173" i="2" s="1"/>
  <c r="B115" i="1"/>
  <c r="H282" i="2" s="1"/>
  <c r="B116" i="1"/>
  <c r="B117" i="1"/>
  <c r="B118" i="1"/>
  <c r="B119" i="1"/>
  <c r="H64" i="2" s="1"/>
  <c r="B120" i="1"/>
  <c r="B121" i="1"/>
  <c r="H238" i="2" s="1"/>
  <c r="B122" i="1"/>
  <c r="H38" i="2" s="1"/>
  <c r="B123" i="1"/>
  <c r="B124" i="1"/>
  <c r="B125" i="1"/>
  <c r="B126" i="1"/>
  <c r="H233" i="2" s="1"/>
  <c r="B127" i="1"/>
  <c r="H130" i="2" s="1"/>
  <c r="B128" i="1"/>
  <c r="H135" i="2" s="1"/>
  <c r="B129" i="1"/>
  <c r="H73" i="2" s="1"/>
  <c r="B130" i="1"/>
  <c r="H155" i="2" s="1"/>
  <c r="B131" i="1"/>
  <c r="H159" i="2" s="1"/>
  <c r="B132" i="1"/>
  <c r="H208" i="2" s="1"/>
  <c r="B133" i="1"/>
  <c r="H212" i="2" s="1"/>
  <c r="B134" i="1"/>
  <c r="H229" i="2" s="1"/>
  <c r="B135" i="1"/>
  <c r="B136" i="1"/>
  <c r="B137" i="1"/>
  <c r="H254" i="2" s="1"/>
  <c r="B138" i="1"/>
  <c r="H136" i="2" s="1"/>
  <c r="B139" i="1"/>
  <c r="H181" i="2" s="1"/>
  <c r="B140" i="1"/>
  <c r="H210" i="2" s="1"/>
  <c r="B141" i="1"/>
  <c r="H21" i="2" s="1"/>
  <c r="B142" i="1"/>
  <c r="H43" i="2" s="1"/>
  <c r="B143" i="1"/>
  <c r="H49" i="2" s="1"/>
  <c r="B144" i="1"/>
  <c r="H47" i="2" s="1"/>
  <c r="B145" i="1"/>
  <c r="H92" i="2" s="1"/>
  <c r="B146" i="1"/>
  <c r="H183" i="2" s="1"/>
  <c r="B147" i="1"/>
  <c r="H195" i="2" s="1"/>
  <c r="B148" i="1"/>
  <c r="H209" i="2" s="1"/>
  <c r="B149" i="1"/>
  <c r="H211" i="2" s="1"/>
  <c r="B150" i="1"/>
  <c r="H255" i="2" s="1"/>
  <c r="B151" i="1"/>
  <c r="H258" i="2" s="1"/>
  <c r="B152" i="1"/>
  <c r="H140" i="2" s="1"/>
  <c r="B153" i="1"/>
  <c r="B154" i="1"/>
  <c r="B155" i="1"/>
  <c r="H141" i="2" s="1"/>
  <c r="B156" i="1"/>
  <c r="H91" i="2" s="1"/>
  <c r="B157" i="1"/>
  <c r="B158" i="1"/>
  <c r="H94" i="2" s="1"/>
  <c r="B159" i="1"/>
  <c r="H71" i="2" s="1"/>
  <c r="B160" i="1"/>
  <c r="H72" i="2" s="1"/>
  <c r="B161" i="1"/>
  <c r="H161" i="2" s="1"/>
  <c r="B162" i="1"/>
  <c r="H190" i="2" s="1"/>
  <c r="B163" i="1"/>
  <c r="H197" i="2" s="1"/>
  <c r="B164" i="1"/>
  <c r="H219" i="2" s="1"/>
  <c r="B165" i="1"/>
  <c r="H220" i="2" s="1"/>
  <c r="B166" i="1"/>
  <c r="H230" i="2" s="1"/>
  <c r="B167" i="1"/>
  <c r="H95" i="2" s="1"/>
  <c r="B168" i="1"/>
  <c r="H162" i="2" s="1"/>
  <c r="B169" i="1"/>
  <c r="H222" i="2" s="1"/>
  <c r="B170" i="1"/>
  <c r="H196" i="2" s="1"/>
  <c r="B171" i="1"/>
  <c r="B172" i="1"/>
  <c r="H227" i="2" s="1"/>
  <c r="B173" i="1"/>
  <c r="H65" i="2" s="1"/>
  <c r="B174" i="1"/>
  <c r="H112" i="2" s="1"/>
  <c r="B175" i="1"/>
  <c r="H113" i="2" s="1"/>
  <c r="B176" i="1"/>
  <c r="H117" i="2" s="1"/>
  <c r="B177" i="1"/>
  <c r="H114" i="2" s="1"/>
  <c r="B178" i="1"/>
  <c r="H116" i="2" s="1"/>
  <c r="B179" i="1"/>
  <c r="H120" i="2" s="1"/>
  <c r="B180" i="1"/>
  <c r="H118" i="2" s="1"/>
  <c r="B181" i="1"/>
  <c r="H119" i="2" s="1"/>
  <c r="B182" i="1"/>
  <c r="H223" i="2" s="1"/>
  <c r="B183" i="1"/>
  <c r="H231" i="2" s="1"/>
  <c r="B184" i="1"/>
  <c r="B185" i="1"/>
  <c r="H257" i="2" s="1"/>
  <c r="B186" i="1"/>
  <c r="H256" i="2" s="1"/>
  <c r="B187" i="1"/>
  <c r="H283" i="2" s="1"/>
  <c r="B188" i="1"/>
  <c r="H234" i="2" s="1"/>
  <c r="B189" i="1"/>
  <c r="H251" i="2" s="1"/>
  <c r="B190" i="1"/>
  <c r="H137" i="2" s="1"/>
  <c r="B191" i="1"/>
  <c r="H152" i="2" s="1"/>
  <c r="B192" i="1"/>
  <c r="H166" i="2" s="1"/>
  <c r="B193" i="1"/>
  <c r="H167" i="2" s="1"/>
  <c r="B194" i="1"/>
  <c r="H168" i="2" s="1"/>
  <c r="B195" i="1"/>
  <c r="H169" i="2" s="1"/>
  <c r="B196" i="1"/>
  <c r="H170" i="2" s="1"/>
  <c r="B197" i="1"/>
  <c r="H188" i="2" s="1"/>
  <c r="B198" i="1"/>
  <c r="H221" i="2" s="1"/>
  <c r="B199" i="1"/>
  <c r="H143" i="2" s="1"/>
  <c r="B200" i="1"/>
  <c r="B201" i="1"/>
  <c r="B202" i="1"/>
  <c r="H144" i="2" s="1"/>
  <c r="B203" i="1"/>
  <c r="H147" i="2" s="1"/>
  <c r="B204" i="1"/>
  <c r="H164" i="2" s="1"/>
  <c r="B205" i="1"/>
  <c r="H165" i="2" s="1"/>
  <c r="B206" i="1"/>
  <c r="H184" i="2" s="1"/>
  <c r="B207" i="1"/>
  <c r="H185" i="2" s="1"/>
  <c r="B208" i="1"/>
  <c r="H187" i="2" s="1"/>
  <c r="B209" i="1"/>
  <c r="H186" i="2" s="1"/>
  <c r="B210" i="1"/>
  <c r="H151" i="2" s="1"/>
  <c r="B211" i="1"/>
  <c r="H176" i="2" s="1"/>
  <c r="B212" i="1"/>
  <c r="H138" i="2" s="1"/>
  <c r="B213" i="1"/>
  <c r="H179" i="2" s="1"/>
  <c r="B214" i="1"/>
  <c r="H252" i="2" s="1"/>
  <c r="B215" i="1"/>
  <c r="H253" i="2" s="1"/>
  <c r="B216" i="1"/>
  <c r="H139" i="2" s="1"/>
  <c r="B217" i="1"/>
  <c r="H250" i="2" s="1"/>
  <c r="B218" i="1"/>
  <c r="H232" i="2" s="1"/>
  <c r="B219" i="1"/>
  <c r="H243" i="2" s="1"/>
  <c r="B220" i="1"/>
  <c r="H244" i="2" s="1"/>
  <c r="B221" i="1"/>
  <c r="H240" i="2" s="1"/>
  <c r="B222" i="1"/>
  <c r="H242" i="2" s="1"/>
  <c r="B223" i="1"/>
  <c r="H241" i="2" s="1"/>
  <c r="B224" i="1"/>
  <c r="H245" i="2" s="1"/>
  <c r="B225" i="1"/>
  <c r="H247" i="2" s="1"/>
  <c r="B226" i="1"/>
  <c r="H246" i="2" s="1"/>
  <c r="B227" i="1"/>
  <c r="H248" i="2" s="1"/>
  <c r="B228" i="1"/>
  <c r="H239" i="2" s="1"/>
  <c r="B229" i="1"/>
  <c r="H249" i="2" s="1"/>
  <c r="B230" i="1"/>
  <c r="H213" i="2" s="1"/>
  <c r="B231" i="1"/>
  <c r="H207" i="2" s="1"/>
  <c r="B232" i="1"/>
  <c r="H202" i="2" s="1"/>
  <c r="B233" i="1"/>
  <c r="H204" i="2" s="1"/>
  <c r="B234" i="1"/>
  <c r="H205" i="2" s="1"/>
  <c r="B235" i="1"/>
  <c r="H203" i="2" s="1"/>
  <c r="B236" i="1"/>
  <c r="H206" i="2" s="1"/>
  <c r="B237" i="1"/>
  <c r="B238" i="1"/>
  <c r="B239" i="1"/>
  <c r="H442" i="2" s="1"/>
  <c r="B240" i="1"/>
  <c r="B241" i="1"/>
  <c r="B242" i="1"/>
  <c r="B243" i="1"/>
  <c r="B244" i="1"/>
  <c r="B245" i="1"/>
  <c r="B247" i="1"/>
  <c r="O244" i="1"/>
  <c r="K244" i="1" s="1"/>
  <c r="P244" i="1"/>
  <c r="O245" i="1"/>
  <c r="K245" i="1" s="1"/>
  <c r="P245" i="1"/>
  <c r="O247" i="1"/>
  <c r="K247" i="1" s="1"/>
  <c r="V247" i="1" s="1"/>
  <c r="P247" i="1"/>
  <c r="B3" i="1"/>
  <c r="Q232" i="4"/>
  <c r="P3" i="4"/>
  <c r="E124" i="1" s="1"/>
  <c r="P4" i="4"/>
  <c r="E117" i="1" s="1"/>
  <c r="P5" i="4"/>
  <c r="E232" i="1" s="1"/>
  <c r="P6" i="4"/>
  <c r="E233" i="1" s="1"/>
  <c r="P7" i="4"/>
  <c r="E234" i="1" s="1"/>
  <c r="P8" i="4"/>
  <c r="E230" i="1" s="1"/>
  <c r="P9" i="4"/>
  <c r="E236" i="1" s="1"/>
  <c r="P10" i="4"/>
  <c r="E235" i="1" s="1"/>
  <c r="P11" i="4"/>
  <c r="E248" i="1" s="1"/>
  <c r="P12" i="4"/>
  <c r="E249" i="1" s="1"/>
  <c r="P13" i="4"/>
  <c r="E250" i="1" s="1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E251" i="1" s="1"/>
  <c r="P27" i="4"/>
  <c r="P28" i="4"/>
  <c r="P29" i="4"/>
  <c r="E252" i="1" s="1"/>
  <c r="P30" i="4"/>
  <c r="P31" i="4"/>
  <c r="P32" i="4"/>
  <c r="P33" i="4"/>
  <c r="P34" i="4"/>
  <c r="P35" i="4"/>
  <c r="P36" i="4"/>
  <c r="P37" i="4"/>
  <c r="E253" i="1" s="1"/>
  <c r="P38" i="4"/>
  <c r="P39" i="4"/>
  <c r="P40" i="4"/>
  <c r="P41" i="4"/>
  <c r="P42" i="4"/>
  <c r="P43" i="4"/>
  <c r="P44" i="4"/>
  <c r="P45" i="4"/>
  <c r="E254" i="1" s="1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E259" i="1" s="1"/>
  <c r="P129" i="4"/>
  <c r="E260" i="1" s="1"/>
  <c r="P130" i="4"/>
  <c r="P131" i="4"/>
  <c r="P132" i="4"/>
  <c r="P133" i="4"/>
  <c r="P134" i="4"/>
  <c r="E261" i="1" s="1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E77" i="1" s="1"/>
  <c r="P154" i="4"/>
  <c r="P155" i="4"/>
  <c r="P156" i="4"/>
  <c r="P157" i="4"/>
  <c r="P158" i="4"/>
  <c r="P159" i="4"/>
  <c r="P160" i="4"/>
  <c r="P161" i="4"/>
  <c r="P162" i="4"/>
  <c r="P163" i="4"/>
  <c r="E282" i="1" s="1"/>
  <c r="P164" i="4"/>
  <c r="E283" i="1" s="1"/>
  <c r="P165" i="4"/>
  <c r="E284" i="1" s="1"/>
  <c r="P166" i="4"/>
  <c r="E285" i="1" s="1"/>
  <c r="P167" i="4"/>
  <c r="E286" i="1" s="1"/>
  <c r="P168" i="4"/>
  <c r="E287" i="1" s="1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E279" i="1" s="1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E17" i="1" s="1"/>
  <c r="P212" i="4"/>
  <c r="P213" i="4"/>
  <c r="P214" i="4"/>
  <c r="P215" i="4"/>
  <c r="P216" i="4"/>
  <c r="E246" i="1" s="1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E5" i="1" s="1"/>
  <c r="P2" i="4"/>
  <c r="E123" i="1" s="1"/>
  <c r="K288" i="1" l="1"/>
  <c r="V288" i="1" s="1"/>
  <c r="K268" i="1"/>
  <c r="V268" i="1" s="1"/>
  <c r="K256" i="1"/>
  <c r="V256" i="1" s="1"/>
  <c r="K229" i="1"/>
  <c r="V229" i="1" s="1"/>
  <c r="K217" i="1"/>
  <c r="V217" i="1" s="1"/>
  <c r="K202" i="1"/>
  <c r="V202" i="1" s="1"/>
  <c r="K189" i="1"/>
  <c r="V189" i="1" s="1"/>
  <c r="K176" i="1"/>
  <c r="V176" i="1" s="1"/>
  <c r="K164" i="1"/>
  <c r="V164" i="1" s="1"/>
  <c r="K151" i="1"/>
  <c r="V151" i="1" s="1"/>
  <c r="K138" i="1"/>
  <c r="V138" i="1" s="1"/>
  <c r="K113" i="1"/>
  <c r="V113" i="1" s="1"/>
  <c r="K101" i="1"/>
  <c r="V101" i="1" s="1"/>
  <c r="K89" i="1"/>
  <c r="V89" i="1" s="1"/>
  <c r="K77" i="1"/>
  <c r="V77" i="1" s="1"/>
  <c r="K65" i="1"/>
  <c r="V65" i="1" s="1"/>
  <c r="K52" i="1"/>
  <c r="V52" i="1" s="1"/>
  <c r="K40" i="1"/>
  <c r="V40" i="1" s="1"/>
  <c r="K28" i="1"/>
  <c r="V28" i="1" s="1"/>
  <c r="K16" i="1"/>
  <c r="V16" i="1" s="1"/>
  <c r="K218" i="1"/>
  <c r="V218" i="1" s="1"/>
  <c r="K66" i="1"/>
  <c r="V66" i="1" s="1"/>
  <c r="K281" i="1"/>
  <c r="V281" i="1" s="1"/>
  <c r="K267" i="1"/>
  <c r="V267" i="1" s="1"/>
  <c r="K255" i="1"/>
  <c r="V255" i="1" s="1"/>
  <c r="K243" i="1"/>
  <c r="V243" i="1" s="1"/>
  <c r="K228" i="1"/>
  <c r="V228" i="1" s="1"/>
  <c r="K216" i="1"/>
  <c r="V216" i="1" s="1"/>
  <c r="K188" i="1"/>
  <c r="V188" i="1" s="1"/>
  <c r="K175" i="1"/>
  <c r="V175" i="1" s="1"/>
  <c r="K163" i="1"/>
  <c r="V163" i="1" s="1"/>
  <c r="K150" i="1"/>
  <c r="V150" i="1" s="1"/>
  <c r="K137" i="1"/>
  <c r="V137" i="1" s="1"/>
  <c r="K112" i="1"/>
  <c r="V112" i="1" s="1"/>
  <c r="K88" i="1"/>
  <c r="V88" i="1" s="1"/>
  <c r="K76" i="1"/>
  <c r="V76" i="1" s="1"/>
  <c r="K39" i="1"/>
  <c r="V39" i="1" s="1"/>
  <c r="K27" i="1"/>
  <c r="V27" i="1" s="1"/>
  <c r="K15" i="1"/>
  <c r="V15" i="1" s="1"/>
  <c r="K25" i="1"/>
  <c r="V25" i="1" s="1"/>
  <c r="K152" i="1"/>
  <c r="V152" i="1" s="1"/>
  <c r="K29" i="1"/>
  <c r="V29" i="1" s="1"/>
  <c r="K280" i="1"/>
  <c r="V280" i="1" s="1"/>
  <c r="K266" i="1"/>
  <c r="V266" i="1" s="1"/>
  <c r="K254" i="1"/>
  <c r="V254" i="1" s="1"/>
  <c r="K227" i="1"/>
  <c r="V227" i="1" s="1"/>
  <c r="K215" i="1"/>
  <c r="V215" i="1" s="1"/>
  <c r="K200" i="1"/>
  <c r="V200" i="1" s="1"/>
  <c r="K187" i="1"/>
  <c r="V187" i="1" s="1"/>
  <c r="K174" i="1"/>
  <c r="V174" i="1" s="1"/>
  <c r="K161" i="1"/>
  <c r="V161" i="1" s="1"/>
  <c r="K149" i="1"/>
  <c r="V149" i="1" s="1"/>
  <c r="K111" i="1"/>
  <c r="V111" i="1" s="1"/>
  <c r="K99" i="1"/>
  <c r="V99" i="1" s="1"/>
  <c r="K87" i="1"/>
  <c r="V87" i="1" s="1"/>
  <c r="K75" i="1"/>
  <c r="V75" i="1" s="1"/>
  <c r="K50" i="1"/>
  <c r="V50" i="1" s="1"/>
  <c r="K38" i="1"/>
  <c r="V38" i="1" s="1"/>
  <c r="K26" i="1"/>
  <c r="V26" i="1" s="1"/>
  <c r="K14" i="1"/>
  <c r="V14" i="1" s="1"/>
  <c r="K49" i="1"/>
  <c r="V49" i="1" s="1"/>
  <c r="K190" i="1"/>
  <c r="V190" i="1" s="1"/>
  <c r="K53" i="1"/>
  <c r="V53" i="1" s="1"/>
  <c r="K279" i="1"/>
  <c r="V279" i="1" s="1"/>
  <c r="K265" i="1"/>
  <c r="V265" i="1" s="1"/>
  <c r="K253" i="1"/>
  <c r="V253" i="1" s="1"/>
  <c r="K226" i="1"/>
  <c r="V226" i="1" s="1"/>
  <c r="K214" i="1"/>
  <c r="V214" i="1" s="1"/>
  <c r="K199" i="1"/>
  <c r="V199" i="1" s="1"/>
  <c r="K186" i="1"/>
  <c r="V186" i="1" s="1"/>
  <c r="K173" i="1"/>
  <c r="V173" i="1" s="1"/>
  <c r="K160" i="1"/>
  <c r="V160" i="1" s="1"/>
  <c r="K148" i="1"/>
  <c r="V148" i="1" s="1"/>
  <c r="K122" i="1"/>
  <c r="V122" i="1" s="1"/>
  <c r="K110" i="1"/>
  <c r="V110" i="1" s="1"/>
  <c r="K98" i="1"/>
  <c r="V98" i="1" s="1"/>
  <c r="K86" i="1"/>
  <c r="V86" i="1" s="1"/>
  <c r="K74" i="1"/>
  <c r="V74" i="1" s="1"/>
  <c r="K13" i="1"/>
  <c r="V13" i="1" s="1"/>
  <c r="K203" i="1"/>
  <c r="V203" i="1" s="1"/>
  <c r="K102" i="1"/>
  <c r="V102" i="1" s="1"/>
  <c r="K278" i="1"/>
  <c r="V278" i="1" s="1"/>
  <c r="K264" i="1"/>
  <c r="V264" i="1" s="1"/>
  <c r="K252" i="1"/>
  <c r="V252" i="1" s="1"/>
  <c r="K240" i="1"/>
  <c r="V240" i="1" s="1"/>
  <c r="K225" i="1"/>
  <c r="V225" i="1" s="1"/>
  <c r="K212" i="1"/>
  <c r="V212" i="1" s="1"/>
  <c r="K198" i="1"/>
  <c r="V198" i="1" s="1"/>
  <c r="K185" i="1"/>
  <c r="V185" i="1" s="1"/>
  <c r="K172" i="1"/>
  <c r="V172" i="1" s="1"/>
  <c r="K159" i="1"/>
  <c r="V159" i="1" s="1"/>
  <c r="K147" i="1"/>
  <c r="V147" i="1" s="1"/>
  <c r="K134" i="1"/>
  <c r="V134" i="1" s="1"/>
  <c r="K121" i="1"/>
  <c r="V121" i="1" s="1"/>
  <c r="K109" i="1"/>
  <c r="V109" i="1" s="1"/>
  <c r="K97" i="1"/>
  <c r="V97" i="1" s="1"/>
  <c r="K85" i="1"/>
  <c r="V85" i="1" s="1"/>
  <c r="K73" i="1"/>
  <c r="V73" i="1" s="1"/>
  <c r="K36" i="1"/>
  <c r="V36" i="1" s="1"/>
  <c r="K24" i="1"/>
  <c r="V24" i="1" s="1"/>
  <c r="K8" i="1"/>
  <c r="V8" i="1" s="1"/>
  <c r="K165" i="1"/>
  <c r="V165" i="1" s="1"/>
  <c r="K41" i="1"/>
  <c r="V41" i="1" s="1"/>
  <c r="K277" i="1"/>
  <c r="V277" i="1" s="1"/>
  <c r="K263" i="1"/>
  <c r="V263" i="1" s="1"/>
  <c r="K251" i="1"/>
  <c r="V251" i="1" s="1"/>
  <c r="K239" i="1"/>
  <c r="V239" i="1" s="1"/>
  <c r="K224" i="1"/>
  <c r="V224" i="1" s="1"/>
  <c r="K210" i="1"/>
  <c r="V210" i="1" s="1"/>
  <c r="K197" i="1"/>
  <c r="V197" i="1" s="1"/>
  <c r="K158" i="1"/>
  <c r="V158" i="1" s="1"/>
  <c r="K146" i="1"/>
  <c r="V146" i="1" s="1"/>
  <c r="K133" i="1"/>
  <c r="V133" i="1" s="1"/>
  <c r="K108" i="1"/>
  <c r="V108" i="1" s="1"/>
  <c r="K84" i="1"/>
  <c r="V84" i="1" s="1"/>
  <c r="K72" i="1"/>
  <c r="V72" i="1" s="1"/>
  <c r="K60" i="1"/>
  <c r="V60" i="1" s="1"/>
  <c r="K35" i="1"/>
  <c r="V35" i="1" s="1"/>
  <c r="K23" i="1"/>
  <c r="V23" i="1" s="1"/>
  <c r="K32" i="1"/>
  <c r="V32" i="1" s="1"/>
  <c r="K257" i="1"/>
  <c r="V257" i="1" s="1"/>
  <c r="K90" i="1"/>
  <c r="V90" i="1" s="1"/>
  <c r="K276" i="1"/>
  <c r="V276" i="1" s="1"/>
  <c r="K262" i="1"/>
  <c r="V262" i="1" s="1"/>
  <c r="K250" i="1"/>
  <c r="V250" i="1" s="1"/>
  <c r="K223" i="1"/>
  <c r="V223" i="1" s="1"/>
  <c r="K209" i="1"/>
  <c r="V209" i="1" s="1"/>
  <c r="K196" i="1"/>
  <c r="V196" i="1" s="1"/>
  <c r="K183" i="1"/>
  <c r="V183" i="1" s="1"/>
  <c r="K170" i="1"/>
  <c r="V170" i="1" s="1"/>
  <c r="K145" i="1"/>
  <c r="V145" i="1" s="1"/>
  <c r="K131" i="1"/>
  <c r="V131" i="1" s="1"/>
  <c r="K119" i="1"/>
  <c r="V119" i="1" s="1"/>
  <c r="K107" i="1"/>
  <c r="V107" i="1" s="1"/>
  <c r="K95" i="1"/>
  <c r="V95" i="1" s="1"/>
  <c r="K83" i="1"/>
  <c r="V83" i="1" s="1"/>
  <c r="K59" i="1"/>
  <c r="V59" i="1" s="1"/>
  <c r="K46" i="1"/>
  <c r="V46" i="1" s="1"/>
  <c r="K34" i="1"/>
  <c r="V34" i="1" s="1"/>
  <c r="K22" i="1"/>
  <c r="V22" i="1" s="1"/>
  <c r="K10" i="1"/>
  <c r="V10" i="1" s="1"/>
  <c r="K20" i="1"/>
  <c r="V20" i="1" s="1"/>
  <c r="K139" i="1"/>
  <c r="V139" i="1" s="1"/>
  <c r="K5" i="1"/>
  <c r="V5" i="1" s="1"/>
  <c r="K274" i="1"/>
  <c r="V274" i="1" s="1"/>
  <c r="K261" i="1"/>
  <c r="V261" i="1" s="1"/>
  <c r="K249" i="1"/>
  <c r="V249" i="1" s="1"/>
  <c r="K222" i="1"/>
  <c r="V222" i="1" s="1"/>
  <c r="K208" i="1"/>
  <c r="V208" i="1" s="1"/>
  <c r="K195" i="1"/>
  <c r="V195" i="1" s="1"/>
  <c r="K181" i="1"/>
  <c r="V181" i="1" s="1"/>
  <c r="K169" i="1"/>
  <c r="V169" i="1" s="1"/>
  <c r="K156" i="1"/>
  <c r="V156" i="1" s="1"/>
  <c r="K144" i="1"/>
  <c r="V144" i="1" s="1"/>
  <c r="K130" i="1"/>
  <c r="V130" i="1" s="1"/>
  <c r="K106" i="1"/>
  <c r="V106" i="1" s="1"/>
  <c r="K94" i="1"/>
  <c r="V94" i="1" s="1"/>
  <c r="K82" i="1"/>
  <c r="V82" i="1" s="1"/>
  <c r="K70" i="1"/>
  <c r="V70" i="1" s="1"/>
  <c r="K58" i="1"/>
  <c r="V58" i="1" s="1"/>
  <c r="K45" i="1"/>
  <c r="V45" i="1" s="1"/>
  <c r="K33" i="1"/>
  <c r="V33" i="1" s="1"/>
  <c r="K21" i="1"/>
  <c r="V21" i="1" s="1"/>
  <c r="K9" i="1"/>
  <c r="V9" i="1" s="1"/>
  <c r="K269" i="1"/>
  <c r="V269" i="1" s="1"/>
  <c r="K17" i="1"/>
  <c r="V17" i="1" s="1"/>
  <c r="K273" i="1"/>
  <c r="V273" i="1" s="1"/>
  <c r="K260" i="1"/>
  <c r="V260" i="1" s="1"/>
  <c r="K248" i="1"/>
  <c r="V248" i="1" s="1"/>
  <c r="K235" i="1"/>
  <c r="V235" i="1" s="1"/>
  <c r="K221" i="1"/>
  <c r="V221" i="1" s="1"/>
  <c r="K207" i="1"/>
  <c r="V207" i="1" s="1"/>
  <c r="K194" i="1"/>
  <c r="V194" i="1" s="1"/>
  <c r="K180" i="1"/>
  <c r="V180" i="1" s="1"/>
  <c r="K168" i="1"/>
  <c r="V168" i="1" s="1"/>
  <c r="K155" i="1"/>
  <c r="V155" i="1" s="1"/>
  <c r="K143" i="1"/>
  <c r="V143" i="1" s="1"/>
  <c r="K129" i="1"/>
  <c r="V129" i="1" s="1"/>
  <c r="K105" i="1"/>
  <c r="V105" i="1" s="1"/>
  <c r="K81" i="1"/>
  <c r="V81" i="1" s="1"/>
  <c r="K69" i="1"/>
  <c r="V69" i="1" s="1"/>
  <c r="K57" i="1"/>
  <c r="V57" i="1" s="1"/>
  <c r="K44" i="1"/>
  <c r="V44" i="1" s="1"/>
  <c r="K231" i="1"/>
  <c r="V231" i="1" s="1"/>
  <c r="K114" i="1"/>
  <c r="V114" i="1" s="1"/>
  <c r="K272" i="1"/>
  <c r="V272" i="1" s="1"/>
  <c r="K259" i="1"/>
  <c r="V259" i="1" s="1"/>
  <c r="L247" i="1"/>
  <c r="M247" i="1" s="1"/>
  <c r="K234" i="1"/>
  <c r="V234" i="1" s="1"/>
  <c r="K220" i="1"/>
  <c r="V220" i="1" s="1"/>
  <c r="K206" i="1"/>
  <c r="V206" i="1" s="1"/>
  <c r="K193" i="1"/>
  <c r="V193" i="1" s="1"/>
  <c r="K179" i="1"/>
  <c r="V179" i="1" s="1"/>
  <c r="K167" i="1"/>
  <c r="V167" i="1" s="1"/>
  <c r="K142" i="1"/>
  <c r="V142" i="1" s="1"/>
  <c r="K128" i="1"/>
  <c r="V128" i="1" s="1"/>
  <c r="K104" i="1"/>
  <c r="V104" i="1" s="1"/>
  <c r="K92" i="1"/>
  <c r="V92" i="1" s="1"/>
  <c r="K80" i="1"/>
  <c r="V80" i="1" s="1"/>
  <c r="K68" i="1"/>
  <c r="V68" i="1" s="1"/>
  <c r="K56" i="1"/>
  <c r="V56" i="1" s="1"/>
  <c r="K43" i="1"/>
  <c r="V43" i="1" s="1"/>
  <c r="K31" i="1"/>
  <c r="V31" i="1" s="1"/>
  <c r="K19" i="1"/>
  <c r="Q245" i="1"/>
  <c r="K126" i="1"/>
  <c r="V126" i="1" s="1"/>
  <c r="K271" i="1"/>
  <c r="V271" i="1" s="1"/>
  <c r="K258" i="1"/>
  <c r="V258" i="1" s="1"/>
  <c r="K233" i="1"/>
  <c r="V233" i="1" s="1"/>
  <c r="K219" i="1"/>
  <c r="V219" i="1" s="1"/>
  <c r="K205" i="1"/>
  <c r="V205" i="1" s="1"/>
  <c r="K191" i="1"/>
  <c r="V191" i="1" s="1"/>
  <c r="K178" i="1"/>
  <c r="V178" i="1" s="1"/>
  <c r="K166" i="1"/>
  <c r="V166" i="1" s="1"/>
  <c r="K153" i="1"/>
  <c r="V153" i="1" s="1"/>
  <c r="K141" i="1"/>
  <c r="V141" i="1" s="1"/>
  <c r="K127" i="1"/>
  <c r="V127" i="1" s="1"/>
  <c r="K103" i="1"/>
  <c r="V103" i="1" s="1"/>
  <c r="K79" i="1"/>
  <c r="V79" i="1" s="1"/>
  <c r="K67" i="1"/>
  <c r="V67" i="1" s="1"/>
  <c r="K54" i="1"/>
  <c r="V54" i="1" s="1"/>
  <c r="K42" i="1"/>
  <c r="V42" i="1" s="1"/>
  <c r="K30" i="1"/>
  <c r="V30" i="1" s="1"/>
  <c r="K18" i="1"/>
  <c r="V18" i="1" s="1"/>
  <c r="K177" i="1"/>
  <c r="V177" i="1" s="1"/>
  <c r="K78" i="1"/>
  <c r="V78" i="1" s="1"/>
  <c r="E265" i="1"/>
  <c r="E257" i="1"/>
  <c r="E264" i="1"/>
  <c r="E266" i="1"/>
  <c r="E280" i="1"/>
  <c r="E14" i="1"/>
  <c r="E128" i="1"/>
  <c r="E148" i="1"/>
  <c r="E164" i="1"/>
  <c r="E274" i="1"/>
  <c r="E8" i="1"/>
  <c r="E47" i="1"/>
  <c r="E268" i="1"/>
  <c r="E42" i="1"/>
  <c r="E272" i="1"/>
  <c r="E275" i="1"/>
  <c r="E271" i="1"/>
  <c r="E223" i="1"/>
  <c r="E110" i="1"/>
  <c r="E105" i="1"/>
  <c r="E269" i="1"/>
  <c r="E56" i="1"/>
  <c r="E71" i="1"/>
  <c r="E217" i="1"/>
  <c r="E201" i="1"/>
  <c r="E181" i="1"/>
  <c r="E57" i="1"/>
  <c r="E44" i="1"/>
  <c r="E277" i="1"/>
  <c r="E98" i="1"/>
  <c r="E96" i="1"/>
  <c r="E205" i="1"/>
  <c r="E273" i="1"/>
  <c r="E152" i="1"/>
  <c r="E16" i="1"/>
  <c r="E178" i="1"/>
  <c r="E192" i="1"/>
  <c r="G284" i="2"/>
  <c r="Q270" i="1"/>
  <c r="E102" i="1"/>
  <c r="E263" i="1"/>
  <c r="E215" i="1"/>
  <c r="E270" i="1"/>
  <c r="E225" i="1"/>
  <c r="E258" i="1"/>
  <c r="E175" i="1"/>
  <c r="E256" i="1"/>
  <c r="E113" i="1"/>
  <c r="E255" i="1"/>
  <c r="E40" i="1"/>
  <c r="E23" i="1"/>
  <c r="E276" i="1"/>
  <c r="E111" i="1"/>
  <c r="E189" i="1"/>
  <c r="E267" i="1"/>
  <c r="E213" i="1"/>
  <c r="E147" i="1"/>
  <c r="E262" i="1"/>
  <c r="E55" i="1"/>
  <c r="E172" i="1"/>
  <c r="E203" i="1"/>
  <c r="L274" i="1"/>
  <c r="E163" i="1"/>
  <c r="E166" i="1"/>
  <c r="E51" i="1"/>
  <c r="E112" i="1"/>
  <c r="E22" i="1"/>
  <c r="E91" i="1"/>
  <c r="E7" i="1"/>
  <c r="E129" i="1"/>
  <c r="E120" i="1"/>
  <c r="E171" i="1"/>
  <c r="E202" i="1"/>
  <c r="E167" i="1"/>
  <c r="E38" i="1"/>
  <c r="E72" i="1"/>
  <c r="E52" i="1"/>
  <c r="E63" i="1"/>
  <c r="E73" i="1"/>
  <c r="E109" i="1"/>
  <c r="E247" i="1"/>
  <c r="E169" i="1"/>
  <c r="E79" i="1"/>
  <c r="E158" i="1"/>
  <c r="E30" i="1"/>
  <c r="E80" i="1"/>
  <c r="E130" i="1"/>
  <c r="E244" i="1"/>
  <c r="E160" i="1"/>
  <c r="E218" i="1"/>
  <c r="E141" i="1"/>
  <c r="E115" i="1"/>
  <c r="E114" i="1"/>
  <c r="E49" i="1"/>
  <c r="E90" i="1"/>
  <c r="E149" i="1"/>
  <c r="E122" i="1"/>
  <c r="E142" i="1"/>
  <c r="E240" i="1"/>
  <c r="E216" i="1"/>
  <c r="E206" i="1"/>
  <c r="E194" i="1"/>
  <c r="E176" i="1"/>
  <c r="E138" i="1"/>
  <c r="E67" i="1"/>
  <c r="E173" i="1"/>
  <c r="E150" i="1"/>
  <c r="E59" i="1"/>
  <c r="E94" i="1"/>
  <c r="E220" i="1"/>
  <c r="E32" i="1"/>
  <c r="E75" i="1"/>
  <c r="E186" i="1"/>
  <c r="E92" i="1"/>
  <c r="E70" i="1"/>
  <c r="E146" i="1"/>
  <c r="E219" i="1"/>
  <c r="E184" i="1"/>
  <c r="E207" i="1"/>
  <c r="E200" i="1"/>
  <c r="E157" i="1"/>
  <c r="E60" i="1"/>
  <c r="E101" i="1"/>
  <c r="E162" i="1"/>
  <c r="E95" i="1"/>
  <c r="E53" i="1"/>
  <c r="E93" i="1"/>
  <c r="E62" i="1"/>
  <c r="E119" i="1"/>
  <c r="E197" i="1"/>
  <c r="E191" i="1"/>
  <c r="E156" i="1"/>
  <c r="E39" i="1"/>
  <c r="E54" i="1"/>
  <c r="E50" i="1"/>
  <c r="E28" i="1"/>
  <c r="E68" i="1"/>
  <c r="E103" i="1"/>
  <c r="E168" i="1"/>
  <c r="E89" i="1"/>
  <c r="E46" i="1"/>
  <c r="E243" i="1"/>
  <c r="E99" i="1"/>
  <c r="E229" i="1"/>
  <c r="E108" i="1"/>
  <c r="E74" i="1"/>
  <c r="E182" i="1"/>
  <c r="E210" i="1"/>
  <c r="E83" i="1"/>
  <c r="E45" i="1"/>
  <c r="E231" i="1"/>
  <c r="E100" i="1"/>
  <c r="E198" i="1"/>
  <c r="E187" i="1"/>
  <c r="E26" i="1"/>
  <c r="E88" i="1"/>
  <c r="E78" i="1"/>
  <c r="E84" i="1"/>
  <c r="E228" i="1"/>
  <c r="E81" i="1"/>
  <c r="E145" i="1"/>
  <c r="E139" i="1"/>
  <c r="E76" i="1"/>
  <c r="E24" i="1"/>
  <c r="E65" i="1"/>
  <c r="E227" i="1"/>
  <c r="E64" i="1"/>
  <c r="E195" i="1"/>
  <c r="E199" i="1"/>
  <c r="E245" i="1"/>
  <c r="E159" i="1"/>
  <c r="E214" i="1"/>
  <c r="E18" i="1"/>
  <c r="E161" i="1"/>
  <c r="E137" i="1"/>
  <c r="E188" i="1"/>
  <c r="E69" i="1"/>
  <c r="E131" i="1"/>
  <c r="E66" i="1"/>
  <c r="E226" i="1"/>
  <c r="E87" i="1"/>
  <c r="E34" i="1"/>
  <c r="E193" i="1"/>
  <c r="E180" i="1"/>
  <c r="E144" i="1"/>
  <c r="E97" i="1"/>
  <c r="E133" i="1"/>
  <c r="E37" i="1"/>
  <c r="E86" i="1"/>
  <c r="E165" i="1"/>
  <c r="E106" i="1"/>
  <c r="E211" i="1"/>
  <c r="E174" i="1"/>
  <c r="E20" i="1"/>
  <c r="E13" i="1"/>
  <c r="E151" i="1"/>
  <c r="E154" i="1"/>
  <c r="E183" i="1"/>
  <c r="E85" i="1"/>
  <c r="E222" i="1"/>
  <c r="E224" i="1"/>
  <c r="E143" i="1"/>
  <c r="E140" i="1"/>
  <c r="E82" i="1"/>
  <c r="E25" i="1"/>
  <c r="E155" i="1"/>
  <c r="E125" i="1"/>
  <c r="E212" i="1"/>
  <c r="E204" i="1"/>
  <c r="E177" i="1"/>
  <c r="E209" i="1"/>
  <c r="E15" i="1"/>
  <c r="E185" i="1"/>
  <c r="E153" i="1"/>
  <c r="E29" i="1"/>
  <c r="E127" i="1"/>
  <c r="E58" i="1"/>
  <c r="E170" i="1"/>
  <c r="E221" i="1"/>
  <c r="E190" i="1"/>
  <c r="E208" i="1"/>
  <c r="E196" i="1"/>
  <c r="E179" i="1"/>
  <c r="E10" i="1"/>
  <c r="E126" i="1"/>
  <c r="E132" i="1"/>
  <c r="E31" i="1"/>
  <c r="E104" i="1"/>
  <c r="E237" i="1"/>
  <c r="E238" i="1"/>
  <c r="E61" i="1"/>
  <c r="E19" i="1"/>
  <c r="E9" i="1"/>
  <c r="E33" i="1"/>
  <c r="E43" i="1"/>
  <c r="E36" i="1"/>
  <c r="E121" i="1"/>
  <c r="E41" i="1"/>
  <c r="E242" i="1"/>
  <c r="E136" i="1"/>
  <c r="E135" i="1"/>
  <c r="E27" i="1"/>
  <c r="E4" i="1"/>
  <c r="E239" i="1"/>
  <c r="E11" i="1"/>
  <c r="E48" i="1"/>
  <c r="E107" i="1"/>
  <c r="E35" i="1"/>
  <c r="E6" i="1"/>
  <c r="E241" i="1"/>
  <c r="E134" i="1"/>
  <c r="E21" i="1"/>
  <c r="E118" i="1"/>
  <c r="E12" i="1"/>
  <c r="E116" i="1"/>
  <c r="Q244" i="1"/>
  <c r="L244" i="1"/>
  <c r="M244" i="1" s="1"/>
  <c r="Q50" i="4"/>
  <c r="F3" i="1"/>
  <c r="E3" i="1"/>
  <c r="Q213" i="4"/>
  <c r="Q211" i="4"/>
  <c r="Q178" i="4"/>
  <c r="Q141" i="4"/>
  <c r="Q89" i="4"/>
  <c r="Q93" i="4"/>
  <c r="Q46" i="4"/>
  <c r="Q208" i="4"/>
  <c r="Q231" i="4"/>
  <c r="Q47" i="4"/>
  <c r="P3" i="1"/>
  <c r="Q79" i="4"/>
  <c r="Q199" i="4"/>
  <c r="Q136" i="4"/>
  <c r="Q225" i="4"/>
  <c r="Q153" i="4"/>
  <c r="Q28" i="4"/>
  <c r="Q223" i="4"/>
  <c r="Q127" i="4"/>
  <c r="Q189" i="4"/>
  <c r="Q18" i="4"/>
  <c r="Q243" i="4"/>
  <c r="Q221" i="4"/>
  <c r="Q187" i="4"/>
  <c r="Q148" i="4"/>
  <c r="Q106" i="4"/>
  <c r="Q62" i="4"/>
  <c r="Q8" i="4"/>
  <c r="Q19" i="4"/>
  <c r="Q139" i="4"/>
  <c r="Q137" i="4"/>
  <c r="Q226" i="4"/>
  <c r="Q76" i="4"/>
  <c r="Q2" i="4"/>
  <c r="Q75" i="4"/>
  <c r="Q190" i="4"/>
  <c r="Q67" i="4"/>
  <c r="Q90" i="4"/>
  <c r="Q244" i="4"/>
  <c r="Q112" i="4"/>
  <c r="Q235" i="4"/>
  <c r="Q147" i="4"/>
  <c r="Q7" i="4"/>
  <c r="Q177" i="4"/>
  <c r="Q163" i="4"/>
  <c r="Q102" i="4"/>
  <c r="Q222" i="4"/>
  <c r="Q215" i="4"/>
  <c r="Q229" i="4"/>
  <c r="Q38" i="4"/>
  <c r="Q154" i="4"/>
  <c r="Q35" i="4"/>
  <c r="Q197" i="4"/>
  <c r="Q130" i="4"/>
  <c r="Q245" i="4"/>
  <c r="Q150" i="4"/>
  <c r="Q27" i="4"/>
  <c r="Q11" i="4"/>
  <c r="Q149" i="4"/>
  <c r="Q64" i="4"/>
  <c r="Q220" i="4"/>
  <c r="Q186" i="4"/>
  <c r="Q105" i="4"/>
  <c r="Q61" i="4"/>
  <c r="C3" i="1"/>
  <c r="Q234" i="4"/>
  <c r="Q185" i="4"/>
  <c r="Q146" i="4"/>
  <c r="Q101" i="4"/>
  <c r="Q55" i="4"/>
  <c r="D3" i="1"/>
  <c r="Q233" i="4"/>
  <c r="Q214" i="4"/>
  <c r="Q184" i="4"/>
  <c r="Q142" i="4"/>
  <c r="Q94" i="4"/>
  <c r="Q54" i="4"/>
  <c r="O3" i="1"/>
  <c r="K3" i="1" s="1"/>
  <c r="Q230" i="4"/>
  <c r="Q209" i="4"/>
  <c r="Q175" i="4"/>
  <c r="Q138" i="4"/>
  <c r="Q81" i="4"/>
  <c r="Q114" i="4"/>
  <c r="Q196" i="4"/>
  <c r="Q207" i="4"/>
  <c r="Q171" i="4"/>
  <c r="Q159" i="4"/>
  <c r="Q135" i="4"/>
  <c r="Q123" i="4"/>
  <c r="Q111" i="4"/>
  <c r="Q99" i="4"/>
  <c r="Q87" i="4"/>
  <c r="Q74" i="4"/>
  <c r="Q60" i="4"/>
  <c r="Q44" i="4"/>
  <c r="Q26" i="4"/>
  <c r="Q6" i="4"/>
  <c r="Q69" i="4"/>
  <c r="Q201" i="4"/>
  <c r="Q151" i="4"/>
  <c r="Q103" i="4"/>
  <c r="Q31" i="4"/>
  <c r="Q161" i="4"/>
  <c r="Q125" i="4"/>
  <c r="Q160" i="4"/>
  <c r="Q88" i="4"/>
  <c r="Q183" i="4"/>
  <c r="Q218" i="4"/>
  <c r="Q194" i="4"/>
  <c r="Q158" i="4"/>
  <c r="Q122" i="4"/>
  <c r="Q110" i="4"/>
  <c r="Q86" i="4"/>
  <c r="Q43" i="4"/>
  <c r="Q3" i="4"/>
  <c r="Q241" i="4"/>
  <c r="Q217" i="4"/>
  <c r="Q205" i="4"/>
  <c r="Q193" i="4"/>
  <c r="Q181" i="4"/>
  <c r="Q169" i="4"/>
  <c r="Q157" i="4"/>
  <c r="Q145" i="4"/>
  <c r="Q133" i="4"/>
  <c r="Q121" i="4"/>
  <c r="Q109" i="4"/>
  <c r="Q97" i="4"/>
  <c r="Q85" i="4"/>
  <c r="Q72" i="4"/>
  <c r="Q58" i="4"/>
  <c r="Q42" i="4"/>
  <c r="Q23" i="4"/>
  <c r="Q238" i="4"/>
  <c r="Q82" i="4"/>
  <c r="Q165" i="4"/>
  <c r="Q115" i="4"/>
  <c r="Q173" i="4"/>
  <c r="Q242" i="4"/>
  <c r="Q170" i="4"/>
  <c r="Q59" i="4"/>
  <c r="Q240" i="4"/>
  <c r="Q57" i="4"/>
  <c r="Q202" i="4"/>
  <c r="Q118" i="4"/>
  <c r="Q237" i="4"/>
  <c r="Q129" i="4"/>
  <c r="Q91" i="4"/>
  <c r="Q13" i="4"/>
  <c r="Q113" i="4"/>
  <c r="Q172" i="4"/>
  <c r="Q124" i="4"/>
  <c r="Q100" i="4"/>
  <c r="Q219" i="4"/>
  <c r="Q195" i="4"/>
  <c r="Q206" i="4"/>
  <c r="Q182" i="4"/>
  <c r="Q134" i="4"/>
  <c r="Q98" i="4"/>
  <c r="Q73" i="4"/>
  <c r="Q25" i="4"/>
  <c r="Q228" i="4"/>
  <c r="Q216" i="4"/>
  <c r="Q204" i="4"/>
  <c r="Q192" i="4"/>
  <c r="Q180" i="4"/>
  <c r="Q168" i="4"/>
  <c r="Q156" i="4"/>
  <c r="Q144" i="4"/>
  <c r="Q132" i="4"/>
  <c r="Q120" i="4"/>
  <c r="Q108" i="4"/>
  <c r="Q96" i="4"/>
  <c r="Q84" i="4"/>
  <c r="Q71" i="4"/>
  <c r="Q40" i="4"/>
  <c r="Q22" i="4"/>
  <c r="Q239" i="4"/>
  <c r="Q227" i="4"/>
  <c r="Q203" i="4"/>
  <c r="Q191" i="4"/>
  <c r="Q179" i="4"/>
  <c r="Q167" i="4"/>
  <c r="Q155" i="4"/>
  <c r="Q143" i="4"/>
  <c r="Q131" i="4"/>
  <c r="Q119" i="4"/>
  <c r="Q107" i="4"/>
  <c r="Q95" i="4"/>
  <c r="Q83" i="4"/>
  <c r="Q70" i="4"/>
  <c r="Q56" i="4"/>
  <c r="Q39" i="4"/>
  <c r="Q166" i="4"/>
  <c r="Q68" i="4"/>
  <c r="Q15" i="4"/>
  <c r="Q16" i="4"/>
  <c r="Q236" i="4"/>
  <c r="Q224" i="4"/>
  <c r="Q212" i="4"/>
  <c r="Q200" i="4"/>
  <c r="Q188" i="4"/>
  <c r="Q176" i="4"/>
  <c r="Q164" i="4"/>
  <c r="Q152" i="4"/>
  <c r="Q140" i="4"/>
  <c r="Q128" i="4"/>
  <c r="Q116" i="4"/>
  <c r="Q104" i="4"/>
  <c r="Q92" i="4"/>
  <c r="Q80" i="4"/>
  <c r="Q51" i="4"/>
  <c r="Q34" i="4"/>
  <c r="Q14" i="4"/>
  <c r="Q12" i="4"/>
  <c r="Q117" i="4"/>
  <c r="Q210" i="4"/>
  <c r="Q198" i="4"/>
  <c r="Q174" i="4"/>
  <c r="Q162" i="4"/>
  <c r="Q126" i="4"/>
  <c r="Q78" i="4"/>
  <c r="Q63" i="4"/>
  <c r="Q49" i="4"/>
  <c r="Q30" i="4"/>
  <c r="Q10" i="4"/>
  <c r="Q66" i="4"/>
  <c r="Q52" i="4"/>
  <c r="Q37" i="4"/>
  <c r="Q20" i="4"/>
  <c r="Q4" i="4"/>
  <c r="Q32" i="4"/>
  <c r="Q45" i="4"/>
  <c r="Q33" i="4"/>
  <c r="Q21" i="4"/>
  <c r="Q9" i="4"/>
  <c r="Q77" i="4"/>
  <c r="Q65" i="4"/>
  <c r="Q53" i="4"/>
  <c r="Q41" i="4"/>
  <c r="Q29" i="4"/>
  <c r="Q17" i="4"/>
  <c r="Q5" i="4"/>
  <c r="Q48" i="4"/>
  <c r="Q36" i="4"/>
  <c r="Q24" i="4"/>
  <c r="J1" i="1"/>
  <c r="Q258" i="1" l="1"/>
  <c r="L246" i="1"/>
  <c r="M246" i="1" s="1"/>
  <c r="N246" i="1" s="1"/>
  <c r="S246" i="1" s="1"/>
  <c r="Q246" i="1"/>
  <c r="L245" i="1"/>
  <c r="M245" i="1" s="1"/>
  <c r="N245" i="1" s="1"/>
  <c r="S245" i="1" s="1"/>
  <c r="M274" i="1"/>
  <c r="N274" i="1" s="1"/>
  <c r="S274" i="1" s="1"/>
  <c r="L282" i="1"/>
  <c r="M282" i="1" s="1"/>
  <c r="N282" i="1" s="1"/>
  <c r="S282" i="1" s="1"/>
  <c r="Q282" i="1"/>
  <c r="L284" i="1"/>
  <c r="M284" i="1" s="1"/>
  <c r="N284" i="1" s="1"/>
  <c r="S284" i="1" s="1"/>
  <c r="Q284" i="1"/>
  <c r="L283" i="1"/>
  <c r="M283" i="1" s="1"/>
  <c r="N283" i="1" s="1"/>
  <c r="S283" i="1" s="1"/>
  <c r="Q283" i="1"/>
  <c r="L287" i="1"/>
  <c r="M287" i="1" s="1"/>
  <c r="N287" i="1" s="1"/>
  <c r="S287" i="1" s="1"/>
  <c r="Q287" i="1"/>
  <c r="L285" i="1"/>
  <c r="M285" i="1" s="1"/>
  <c r="N285" i="1" s="1"/>
  <c r="S285" i="1" s="1"/>
  <c r="Q285" i="1"/>
  <c r="Q286" i="1"/>
  <c r="L286" i="1"/>
  <c r="M286" i="1" s="1"/>
  <c r="N286" i="1" s="1"/>
  <c r="S286" i="1" s="1"/>
  <c r="Q268" i="1"/>
  <c r="Q276" i="1"/>
  <c r="L276" i="1"/>
  <c r="M276" i="1" s="1"/>
  <c r="N276" i="1" s="1"/>
  <c r="S276" i="1" s="1"/>
  <c r="Q262" i="1"/>
  <c r="L281" i="1"/>
  <c r="M281" i="1" s="1"/>
  <c r="Q281" i="1"/>
  <c r="L280" i="1"/>
  <c r="M280" i="1" s="1"/>
  <c r="N280" i="1" s="1"/>
  <c r="S280" i="1" s="1"/>
  <c r="Q280" i="1"/>
  <c r="L279" i="1"/>
  <c r="M279" i="1" s="1"/>
  <c r="N279" i="1" s="1"/>
  <c r="S279" i="1" s="1"/>
  <c r="Q279" i="1"/>
  <c r="Q274" i="1"/>
  <c r="L264" i="1"/>
  <c r="M264" i="1" s="1"/>
  <c r="N264" i="1" s="1"/>
  <c r="S264" i="1" s="1"/>
  <c r="Q266" i="1"/>
  <c r="Q264" i="1"/>
  <c r="L266" i="1"/>
  <c r="L252" i="1"/>
  <c r="M252" i="1" s="1"/>
  <c r="N252" i="1" s="1"/>
  <c r="S252" i="1" s="1"/>
  <c r="L254" i="1"/>
  <c r="M254" i="1" s="1"/>
  <c r="Q272" i="1"/>
  <c r="L272" i="1"/>
  <c r="M272" i="1" s="1"/>
  <c r="N272" i="1" s="1"/>
  <c r="S272" i="1" s="1"/>
  <c r="L278" i="1"/>
  <c r="M278" i="1" s="1"/>
  <c r="N278" i="1" s="1"/>
  <c r="S278" i="1" s="1"/>
  <c r="Q252" i="1"/>
  <c r="L257" i="1"/>
  <c r="M257" i="1" s="1"/>
  <c r="Q257" i="1"/>
  <c r="L262" i="1"/>
  <c r="M262" i="1" s="1"/>
  <c r="L258" i="1"/>
  <c r="M258" i="1" s="1"/>
  <c r="L251" i="1"/>
  <c r="M251" i="1" s="1"/>
  <c r="Q251" i="1"/>
  <c r="L255" i="1"/>
  <c r="M255" i="1" s="1"/>
  <c r="Q255" i="1"/>
  <c r="L263" i="1"/>
  <c r="M263" i="1" s="1"/>
  <c r="Q263" i="1"/>
  <c r="Q267" i="1"/>
  <c r="L267" i="1"/>
  <c r="M267" i="1" s="1"/>
  <c r="L268" i="1"/>
  <c r="M268" i="1" s="1"/>
  <c r="Q259" i="1"/>
  <c r="L259" i="1"/>
  <c r="M259" i="1" s="1"/>
  <c r="L275" i="1"/>
  <c r="M275" i="1" s="1"/>
  <c r="Q275" i="1"/>
  <c r="Q288" i="1"/>
  <c r="L288" i="1"/>
  <c r="M288" i="1" s="1"/>
  <c r="Q269" i="1"/>
  <c r="L269" i="1"/>
  <c r="M269" i="1" s="1"/>
  <c r="Q254" i="1"/>
  <c r="L271" i="1"/>
  <c r="M271" i="1" s="1"/>
  <c r="Q271" i="1"/>
  <c r="L270" i="1"/>
  <c r="M270" i="1" s="1"/>
  <c r="Q260" i="1"/>
  <c r="L260" i="1"/>
  <c r="M260" i="1" s="1"/>
  <c r="L249" i="1"/>
  <c r="M249" i="1" s="1"/>
  <c r="Q249" i="1"/>
  <c r="Q278" i="1"/>
  <c r="L248" i="1"/>
  <c r="M248" i="1" s="1"/>
  <c r="Q248" i="1"/>
  <c r="Q253" i="1"/>
  <c r="L253" i="1"/>
  <c r="M253" i="1" s="1"/>
  <c r="L261" i="1"/>
  <c r="M261" i="1" s="1"/>
  <c r="Q261" i="1"/>
  <c r="L265" i="1"/>
  <c r="M265" i="1" s="1"/>
  <c r="Q265" i="1"/>
  <c r="L256" i="1"/>
  <c r="M256" i="1" s="1"/>
  <c r="Q256" i="1"/>
  <c r="Q273" i="1"/>
  <c r="L273" i="1"/>
  <c r="M273" i="1" s="1"/>
  <c r="Q277" i="1"/>
  <c r="L277" i="1"/>
  <c r="M277" i="1" s="1"/>
  <c r="R246" i="1"/>
  <c r="N247" i="1"/>
  <c r="S247" i="1" s="1"/>
  <c r="N244" i="1"/>
  <c r="S244" i="1" s="1"/>
  <c r="Q247" i="1"/>
  <c r="T283" i="1" l="1"/>
  <c r="U283" i="1"/>
  <c r="U272" i="1"/>
  <c r="T272" i="1"/>
  <c r="U276" i="1"/>
  <c r="T276" i="1"/>
  <c r="T284" i="1"/>
  <c r="U284" i="1"/>
  <c r="U287" i="1"/>
  <c r="T287" i="1"/>
  <c r="U282" i="1"/>
  <c r="T282" i="1"/>
  <c r="T274" i="1"/>
  <c r="U274" i="1"/>
  <c r="T247" i="1"/>
  <c r="U247" i="1"/>
  <c r="T286" i="1"/>
  <c r="U286" i="1"/>
  <c r="U245" i="1"/>
  <c r="T245" i="1"/>
  <c r="U264" i="1"/>
  <c r="T264" i="1"/>
  <c r="U280" i="1"/>
  <c r="T280" i="1"/>
  <c r="U285" i="1"/>
  <c r="T285" i="1"/>
  <c r="T246" i="1"/>
  <c r="U246" i="1"/>
  <c r="U252" i="1"/>
  <c r="T252" i="1"/>
  <c r="U279" i="1"/>
  <c r="T279" i="1"/>
  <c r="T244" i="1"/>
  <c r="U244" i="1"/>
  <c r="U278" i="1"/>
  <c r="T278" i="1"/>
  <c r="R247" i="1"/>
  <c r="R284" i="1"/>
  <c r="R279" i="1"/>
  <c r="R286" i="1"/>
  <c r="R280" i="1"/>
  <c r="R282" i="1"/>
  <c r="R285" i="1"/>
  <c r="M266" i="1"/>
  <c r="N266" i="1" s="1"/>
  <c r="S266" i="1" s="1"/>
  <c r="R283" i="1"/>
  <c r="N254" i="1"/>
  <c r="S254" i="1" s="1"/>
  <c r="N281" i="1"/>
  <c r="S281" i="1" s="1"/>
  <c r="R287" i="1"/>
  <c r="R272" i="1"/>
  <c r="R276" i="1"/>
  <c r="R278" i="1"/>
  <c r="R274" i="1"/>
  <c r="R264" i="1"/>
  <c r="R252" i="1"/>
  <c r="N275" i="1"/>
  <c r="S275" i="1" s="1"/>
  <c r="N258" i="1"/>
  <c r="S258" i="1" s="1"/>
  <c r="N260" i="1"/>
  <c r="S260" i="1" s="1"/>
  <c r="N257" i="1"/>
  <c r="S257" i="1" s="1"/>
  <c r="N256" i="1"/>
  <c r="S256" i="1" s="1"/>
  <c r="N270" i="1"/>
  <c r="S270" i="1" s="1"/>
  <c r="N267" i="1"/>
  <c r="S267" i="1" s="1"/>
  <c r="N268" i="1"/>
  <c r="S268" i="1" s="1"/>
  <c r="N253" i="1"/>
  <c r="S253" i="1" s="1"/>
  <c r="N269" i="1"/>
  <c r="S269" i="1" s="1"/>
  <c r="N263" i="1"/>
  <c r="S263" i="1" s="1"/>
  <c r="N265" i="1"/>
  <c r="S265" i="1" s="1"/>
  <c r="N277" i="1"/>
  <c r="S277" i="1" s="1"/>
  <c r="N248" i="1"/>
  <c r="S248" i="1" s="1"/>
  <c r="N262" i="1"/>
  <c r="S262" i="1" s="1"/>
  <c r="N288" i="1"/>
  <c r="S288" i="1" s="1"/>
  <c r="N255" i="1"/>
  <c r="S255" i="1" s="1"/>
  <c r="N259" i="1"/>
  <c r="S259" i="1" s="1"/>
  <c r="N271" i="1"/>
  <c r="S271" i="1" s="1"/>
  <c r="N261" i="1"/>
  <c r="S261" i="1" s="1"/>
  <c r="N273" i="1"/>
  <c r="S273" i="1" s="1"/>
  <c r="N249" i="1"/>
  <c r="S249" i="1" s="1"/>
  <c r="N251" i="1"/>
  <c r="S251" i="1" s="1"/>
  <c r="R244" i="1"/>
  <c r="R245" i="1"/>
  <c r="M294" i="1"/>
  <c r="T254" i="1" l="1"/>
  <c r="U254" i="1"/>
  <c r="U275" i="1"/>
  <c r="T275" i="1"/>
  <c r="T256" i="1"/>
  <c r="U256" i="1"/>
  <c r="T262" i="1"/>
  <c r="U262" i="1"/>
  <c r="T265" i="1"/>
  <c r="U265" i="1"/>
  <c r="T255" i="1"/>
  <c r="U255" i="1"/>
  <c r="U258" i="1"/>
  <c r="T258" i="1"/>
  <c r="U257" i="1"/>
  <c r="T257" i="1"/>
  <c r="U269" i="1"/>
  <c r="T269" i="1"/>
  <c r="U281" i="1"/>
  <c r="T281" i="1"/>
  <c r="T277" i="1"/>
  <c r="U277" i="1"/>
  <c r="U288" i="1"/>
  <c r="T288" i="1"/>
  <c r="T251" i="1"/>
  <c r="U251" i="1"/>
  <c r="T249" i="1"/>
  <c r="U249" i="1"/>
  <c r="U273" i="1"/>
  <c r="T273" i="1"/>
  <c r="U261" i="1"/>
  <c r="T261" i="1"/>
  <c r="T268" i="1"/>
  <c r="U268" i="1"/>
  <c r="U260" i="1"/>
  <c r="T260" i="1"/>
  <c r="U266" i="1"/>
  <c r="T266" i="1"/>
  <c r="T253" i="1"/>
  <c r="U253" i="1"/>
  <c r="T271" i="1"/>
  <c r="U271" i="1"/>
  <c r="U267" i="1"/>
  <c r="T267" i="1"/>
  <c r="T248" i="1"/>
  <c r="U248" i="1"/>
  <c r="U263" i="1"/>
  <c r="T263" i="1"/>
  <c r="T259" i="1"/>
  <c r="U259" i="1"/>
  <c r="U270" i="1"/>
  <c r="T270" i="1"/>
  <c r="R281" i="1"/>
  <c r="R251" i="1"/>
  <c r="R255" i="1"/>
  <c r="R256" i="1"/>
  <c r="R263" i="1"/>
  <c r="R266" i="1"/>
  <c r="R254" i="1"/>
  <c r="R268" i="1"/>
  <c r="R259" i="1"/>
  <c r="R262" i="1"/>
  <c r="R267" i="1"/>
  <c r="R248" i="1"/>
  <c r="R275" i="1"/>
  <c r="R288" i="1"/>
  <c r="R277" i="1"/>
  <c r="R265" i="1"/>
  <c r="R249" i="1"/>
  <c r="R273" i="1"/>
  <c r="R261" i="1"/>
  <c r="R269" i="1"/>
  <c r="R270" i="1"/>
  <c r="R257" i="1"/>
  <c r="R260" i="1"/>
  <c r="R258" i="1"/>
  <c r="R271" i="1"/>
  <c r="R253" i="1"/>
  <c r="O4" i="1"/>
  <c r="P4" i="1"/>
  <c r="O5" i="1"/>
  <c r="P5" i="1"/>
  <c r="O6" i="1"/>
  <c r="K6" i="1" s="1"/>
  <c r="V6" i="1" s="1"/>
  <c r="P6" i="1"/>
  <c r="O7" i="1"/>
  <c r="K7" i="1" s="1"/>
  <c r="V7" i="1" s="1"/>
  <c r="P7" i="1"/>
  <c r="O8" i="1"/>
  <c r="Q8" i="1" s="1"/>
  <c r="P8" i="1"/>
  <c r="O9" i="1"/>
  <c r="P9" i="1"/>
  <c r="O10" i="1"/>
  <c r="Q10" i="1" s="1"/>
  <c r="P10" i="1"/>
  <c r="O11" i="1"/>
  <c r="K11" i="1" s="1"/>
  <c r="P11" i="1"/>
  <c r="O12" i="1"/>
  <c r="K12" i="1" s="1"/>
  <c r="V12" i="1" s="1"/>
  <c r="P12" i="1"/>
  <c r="O13" i="1"/>
  <c r="P13" i="1"/>
  <c r="O14" i="1"/>
  <c r="P14" i="1"/>
  <c r="O15" i="1"/>
  <c r="Q15" i="1" s="1"/>
  <c r="P15" i="1"/>
  <c r="O16" i="1"/>
  <c r="Q16" i="1" s="1"/>
  <c r="P16" i="1"/>
  <c r="O17" i="1"/>
  <c r="Q17" i="1" s="1"/>
  <c r="P17" i="1"/>
  <c r="O18" i="1"/>
  <c r="Q18" i="1" s="1"/>
  <c r="P18" i="1"/>
  <c r="O19" i="1"/>
  <c r="P19" i="1"/>
  <c r="O20" i="1"/>
  <c r="P20" i="1"/>
  <c r="O21" i="1"/>
  <c r="P21" i="1"/>
  <c r="O22" i="1"/>
  <c r="Q22" i="1" s="1"/>
  <c r="P22" i="1"/>
  <c r="O23" i="1"/>
  <c r="P23" i="1"/>
  <c r="O24" i="1"/>
  <c r="P24" i="1"/>
  <c r="O25" i="1"/>
  <c r="P25" i="1"/>
  <c r="O26" i="1"/>
  <c r="Q26" i="1" s="1"/>
  <c r="P26" i="1"/>
  <c r="O27" i="1"/>
  <c r="Q27" i="1" s="1"/>
  <c r="P27" i="1"/>
  <c r="O28" i="1"/>
  <c r="Q28" i="1" s="1"/>
  <c r="P28" i="1"/>
  <c r="O29" i="1"/>
  <c r="Q29" i="1" s="1"/>
  <c r="P29" i="1"/>
  <c r="O30" i="1"/>
  <c r="Q30" i="1" s="1"/>
  <c r="P30" i="1"/>
  <c r="O31" i="1"/>
  <c r="P31" i="1"/>
  <c r="O32" i="1"/>
  <c r="Q32" i="1" s="1"/>
  <c r="P32" i="1"/>
  <c r="O33" i="1"/>
  <c r="P33" i="1"/>
  <c r="O34" i="1"/>
  <c r="Q34" i="1" s="1"/>
  <c r="P34" i="1"/>
  <c r="O35" i="1"/>
  <c r="Q35" i="1" s="1"/>
  <c r="P35" i="1"/>
  <c r="O36" i="1"/>
  <c r="P36" i="1"/>
  <c r="O37" i="1"/>
  <c r="K37" i="1" s="1"/>
  <c r="P37" i="1"/>
  <c r="O38" i="1"/>
  <c r="P38" i="1"/>
  <c r="O39" i="1"/>
  <c r="P39" i="1"/>
  <c r="O40" i="1"/>
  <c r="P40" i="1"/>
  <c r="O41" i="1"/>
  <c r="Q41" i="1" s="1"/>
  <c r="P41" i="1"/>
  <c r="O42" i="1"/>
  <c r="Q42" i="1" s="1"/>
  <c r="P42" i="1"/>
  <c r="O43" i="1"/>
  <c r="Q43" i="1" s="1"/>
  <c r="P43" i="1"/>
  <c r="O44" i="1"/>
  <c r="Q44" i="1" s="1"/>
  <c r="P44" i="1"/>
  <c r="O45" i="1"/>
  <c r="P45" i="1"/>
  <c r="O46" i="1"/>
  <c r="Q46" i="1" s="1"/>
  <c r="P46" i="1"/>
  <c r="O47" i="1"/>
  <c r="K47" i="1" s="1"/>
  <c r="V47" i="1" s="1"/>
  <c r="P47" i="1"/>
  <c r="O48" i="1"/>
  <c r="K48" i="1" s="1"/>
  <c r="P48" i="1"/>
  <c r="O49" i="1"/>
  <c r="Q49" i="1" s="1"/>
  <c r="P49" i="1"/>
  <c r="O50" i="1"/>
  <c r="P50" i="1"/>
  <c r="O51" i="1"/>
  <c r="K51" i="1" s="1"/>
  <c r="V51" i="1" s="1"/>
  <c r="P51" i="1"/>
  <c r="O52" i="1"/>
  <c r="P52" i="1"/>
  <c r="O53" i="1"/>
  <c r="Q53" i="1" s="1"/>
  <c r="P53" i="1"/>
  <c r="O54" i="1"/>
  <c r="P54" i="1"/>
  <c r="O55" i="1"/>
  <c r="K55" i="1" s="1"/>
  <c r="P55" i="1"/>
  <c r="O56" i="1"/>
  <c r="Q56" i="1" s="1"/>
  <c r="P56" i="1"/>
  <c r="O57" i="1"/>
  <c r="P57" i="1"/>
  <c r="O58" i="1"/>
  <c r="P58" i="1"/>
  <c r="O59" i="1"/>
  <c r="P59" i="1"/>
  <c r="O60" i="1"/>
  <c r="Q60" i="1" s="1"/>
  <c r="P60" i="1"/>
  <c r="O61" i="1"/>
  <c r="K61" i="1" s="1"/>
  <c r="P61" i="1"/>
  <c r="O62" i="1"/>
  <c r="K62" i="1" s="1"/>
  <c r="V62" i="1" s="1"/>
  <c r="P62" i="1"/>
  <c r="O63" i="1"/>
  <c r="K63" i="1" s="1"/>
  <c r="V63" i="1" s="1"/>
  <c r="P63" i="1"/>
  <c r="O64" i="1"/>
  <c r="K64" i="1" s="1"/>
  <c r="P64" i="1"/>
  <c r="O65" i="1"/>
  <c r="P65" i="1"/>
  <c r="O66" i="1"/>
  <c r="P66" i="1"/>
  <c r="O67" i="1"/>
  <c r="P67" i="1"/>
  <c r="O68" i="1"/>
  <c r="P68" i="1"/>
  <c r="O69" i="1"/>
  <c r="Q69" i="1" s="1"/>
  <c r="P69" i="1"/>
  <c r="O70" i="1"/>
  <c r="P70" i="1"/>
  <c r="O71" i="1"/>
  <c r="K71" i="1" s="1"/>
  <c r="V71" i="1" s="1"/>
  <c r="P71" i="1"/>
  <c r="O72" i="1"/>
  <c r="Q72" i="1" s="1"/>
  <c r="P72" i="1"/>
  <c r="O73" i="1"/>
  <c r="Q73" i="1" s="1"/>
  <c r="P73" i="1"/>
  <c r="O74" i="1"/>
  <c r="P74" i="1"/>
  <c r="O75" i="1"/>
  <c r="Q75" i="1" s="1"/>
  <c r="P75" i="1"/>
  <c r="O76" i="1"/>
  <c r="Q76" i="1" s="1"/>
  <c r="P76" i="1"/>
  <c r="O77" i="1"/>
  <c r="P77" i="1"/>
  <c r="O78" i="1"/>
  <c r="P78" i="1"/>
  <c r="O79" i="1"/>
  <c r="P79" i="1"/>
  <c r="O80" i="1"/>
  <c r="Q80" i="1" s="1"/>
  <c r="P80" i="1"/>
  <c r="O81" i="1"/>
  <c r="P81" i="1"/>
  <c r="O82" i="1"/>
  <c r="P82" i="1"/>
  <c r="O83" i="1"/>
  <c r="P83" i="1"/>
  <c r="O84" i="1"/>
  <c r="Q84" i="1" s="1"/>
  <c r="P84" i="1"/>
  <c r="O85" i="1"/>
  <c r="Q85" i="1" s="1"/>
  <c r="P85" i="1"/>
  <c r="O86" i="1"/>
  <c r="Q86" i="1" s="1"/>
  <c r="P86" i="1"/>
  <c r="O87" i="1"/>
  <c r="P87" i="1"/>
  <c r="O88" i="1"/>
  <c r="P88" i="1"/>
  <c r="O89" i="1"/>
  <c r="Q89" i="1" s="1"/>
  <c r="P89" i="1"/>
  <c r="O90" i="1"/>
  <c r="P90" i="1"/>
  <c r="O91" i="1"/>
  <c r="K91" i="1" s="1"/>
  <c r="V91" i="1" s="1"/>
  <c r="P91" i="1"/>
  <c r="O92" i="1"/>
  <c r="P92" i="1"/>
  <c r="O93" i="1"/>
  <c r="K93" i="1" s="1"/>
  <c r="V93" i="1" s="1"/>
  <c r="P93" i="1"/>
  <c r="O94" i="1"/>
  <c r="Q94" i="1" s="1"/>
  <c r="P94" i="1"/>
  <c r="O95" i="1"/>
  <c r="Q95" i="1" s="1"/>
  <c r="P95" i="1"/>
  <c r="O96" i="1"/>
  <c r="K96" i="1" s="1"/>
  <c r="V96" i="1" s="1"/>
  <c r="P96" i="1"/>
  <c r="O97" i="1"/>
  <c r="Q97" i="1" s="1"/>
  <c r="P97" i="1"/>
  <c r="O98" i="1"/>
  <c r="Q98" i="1" s="1"/>
  <c r="P98" i="1"/>
  <c r="O99" i="1"/>
  <c r="Q99" i="1" s="1"/>
  <c r="P99" i="1"/>
  <c r="O100" i="1"/>
  <c r="K100" i="1" s="1"/>
  <c r="P100" i="1"/>
  <c r="O101" i="1"/>
  <c r="Q101" i="1" s="1"/>
  <c r="P101" i="1"/>
  <c r="O102" i="1"/>
  <c r="P102" i="1"/>
  <c r="O103" i="1"/>
  <c r="Q103" i="1" s="1"/>
  <c r="P103" i="1"/>
  <c r="O104" i="1"/>
  <c r="Q104" i="1" s="1"/>
  <c r="P104" i="1"/>
  <c r="O105" i="1"/>
  <c r="Q105" i="1" s="1"/>
  <c r="P105" i="1"/>
  <c r="O106" i="1"/>
  <c r="Q106" i="1" s="1"/>
  <c r="P106" i="1"/>
  <c r="O107" i="1"/>
  <c r="Q107" i="1" s="1"/>
  <c r="P107" i="1"/>
  <c r="O108" i="1"/>
  <c r="Q108" i="1" s="1"/>
  <c r="P108" i="1"/>
  <c r="O109" i="1"/>
  <c r="Q109" i="1" s="1"/>
  <c r="P109" i="1"/>
  <c r="O110" i="1"/>
  <c r="Q110" i="1" s="1"/>
  <c r="P110" i="1"/>
  <c r="O111" i="1"/>
  <c r="Q111" i="1" s="1"/>
  <c r="P111" i="1"/>
  <c r="O112" i="1"/>
  <c r="Q112" i="1" s="1"/>
  <c r="P112" i="1"/>
  <c r="O113" i="1"/>
  <c r="Q113" i="1" s="1"/>
  <c r="P113" i="1"/>
  <c r="O114" i="1"/>
  <c r="Q114" i="1" s="1"/>
  <c r="P114" i="1"/>
  <c r="O115" i="1"/>
  <c r="K115" i="1" s="1"/>
  <c r="P115" i="1"/>
  <c r="O116" i="1"/>
  <c r="K116" i="1" s="1"/>
  <c r="V116" i="1" s="1"/>
  <c r="P116" i="1"/>
  <c r="O117" i="1"/>
  <c r="K117" i="1" s="1"/>
  <c r="V117" i="1" s="1"/>
  <c r="P117" i="1"/>
  <c r="O118" i="1"/>
  <c r="K118" i="1" s="1"/>
  <c r="V118" i="1" s="1"/>
  <c r="P118" i="1"/>
  <c r="O119" i="1"/>
  <c r="P119" i="1"/>
  <c r="O120" i="1"/>
  <c r="K120" i="1" s="1"/>
  <c r="P120" i="1"/>
  <c r="O121" i="1"/>
  <c r="P121" i="1"/>
  <c r="O122" i="1"/>
  <c r="Q122" i="1" s="1"/>
  <c r="P122" i="1"/>
  <c r="O123" i="1"/>
  <c r="K123" i="1" s="1"/>
  <c r="V123" i="1" s="1"/>
  <c r="P123" i="1"/>
  <c r="O124" i="1"/>
  <c r="K124" i="1" s="1"/>
  <c r="V124" i="1" s="1"/>
  <c r="P124" i="1"/>
  <c r="O125" i="1"/>
  <c r="K125" i="1" s="1"/>
  <c r="V125" i="1" s="1"/>
  <c r="P125" i="1"/>
  <c r="O126" i="1"/>
  <c r="P126" i="1"/>
  <c r="O127" i="1"/>
  <c r="Q127" i="1" s="1"/>
  <c r="P127" i="1"/>
  <c r="O128" i="1"/>
  <c r="Q128" i="1" s="1"/>
  <c r="P128" i="1"/>
  <c r="O129" i="1"/>
  <c r="Q129" i="1" s="1"/>
  <c r="P129" i="1"/>
  <c r="O130" i="1"/>
  <c r="Q130" i="1" s="1"/>
  <c r="P130" i="1"/>
  <c r="O131" i="1"/>
  <c r="Q131" i="1" s="1"/>
  <c r="P131" i="1"/>
  <c r="O132" i="1"/>
  <c r="K132" i="1" s="1"/>
  <c r="V132" i="1" s="1"/>
  <c r="P132" i="1"/>
  <c r="O133" i="1"/>
  <c r="Q133" i="1" s="1"/>
  <c r="P133" i="1"/>
  <c r="O134" i="1"/>
  <c r="P134" i="1"/>
  <c r="O135" i="1"/>
  <c r="K135" i="1" s="1"/>
  <c r="V135" i="1" s="1"/>
  <c r="P135" i="1"/>
  <c r="O136" i="1"/>
  <c r="K136" i="1" s="1"/>
  <c r="V136" i="1" s="1"/>
  <c r="P136" i="1"/>
  <c r="O137" i="1"/>
  <c r="P137" i="1"/>
  <c r="O138" i="1"/>
  <c r="Q138" i="1" s="1"/>
  <c r="P138" i="1"/>
  <c r="O139" i="1"/>
  <c r="Q139" i="1" s="1"/>
  <c r="P139" i="1"/>
  <c r="O140" i="1"/>
  <c r="K140" i="1" s="1"/>
  <c r="V140" i="1" s="1"/>
  <c r="P140" i="1"/>
  <c r="O141" i="1"/>
  <c r="Q141" i="1" s="1"/>
  <c r="P141" i="1"/>
  <c r="O142" i="1"/>
  <c r="Q142" i="1" s="1"/>
  <c r="P142" i="1"/>
  <c r="O143" i="1"/>
  <c r="Q143" i="1" s="1"/>
  <c r="P143" i="1"/>
  <c r="O144" i="1"/>
  <c r="P144" i="1"/>
  <c r="O145" i="1"/>
  <c r="Q145" i="1" s="1"/>
  <c r="P145" i="1"/>
  <c r="O146" i="1"/>
  <c r="Q146" i="1" s="1"/>
  <c r="P146" i="1"/>
  <c r="O147" i="1"/>
  <c r="Q147" i="1" s="1"/>
  <c r="P147" i="1"/>
  <c r="O148" i="1"/>
  <c r="Q148" i="1" s="1"/>
  <c r="P148" i="1"/>
  <c r="O149" i="1"/>
  <c r="Q149" i="1" s="1"/>
  <c r="P149" i="1"/>
  <c r="O150" i="1"/>
  <c r="P150" i="1"/>
  <c r="O151" i="1"/>
  <c r="P151" i="1"/>
  <c r="O152" i="1"/>
  <c r="P152" i="1"/>
  <c r="O153" i="1"/>
  <c r="P153" i="1"/>
  <c r="O154" i="1"/>
  <c r="K154" i="1" s="1"/>
  <c r="V154" i="1" s="1"/>
  <c r="P154" i="1"/>
  <c r="O155" i="1"/>
  <c r="P155" i="1"/>
  <c r="O156" i="1"/>
  <c r="Q156" i="1" s="1"/>
  <c r="P156" i="1"/>
  <c r="O157" i="1"/>
  <c r="K157" i="1" s="1"/>
  <c r="V157" i="1" s="1"/>
  <c r="P157" i="1"/>
  <c r="O158" i="1"/>
  <c r="Q158" i="1" s="1"/>
  <c r="P158" i="1"/>
  <c r="O159" i="1"/>
  <c r="Q159" i="1" s="1"/>
  <c r="P159" i="1"/>
  <c r="O160" i="1"/>
  <c r="Q160" i="1" s="1"/>
  <c r="P160" i="1"/>
  <c r="O161" i="1"/>
  <c r="Q161" i="1" s="1"/>
  <c r="P161" i="1"/>
  <c r="O162" i="1"/>
  <c r="K162" i="1" s="1"/>
  <c r="V162" i="1" s="1"/>
  <c r="P162" i="1"/>
  <c r="O163" i="1"/>
  <c r="Q163" i="1" s="1"/>
  <c r="P163" i="1"/>
  <c r="O164" i="1"/>
  <c r="Q164" i="1" s="1"/>
  <c r="P164" i="1"/>
  <c r="O165" i="1"/>
  <c r="Q165" i="1" s="1"/>
  <c r="P165" i="1"/>
  <c r="O166" i="1"/>
  <c r="Q166" i="1" s="1"/>
  <c r="P166" i="1"/>
  <c r="O167" i="1"/>
  <c r="Q167" i="1" s="1"/>
  <c r="P167" i="1"/>
  <c r="O168" i="1"/>
  <c r="Q168" i="1" s="1"/>
  <c r="P168" i="1"/>
  <c r="O169" i="1"/>
  <c r="Q169" i="1" s="1"/>
  <c r="P169" i="1"/>
  <c r="O170" i="1"/>
  <c r="Q170" i="1" s="1"/>
  <c r="P170" i="1"/>
  <c r="O171" i="1"/>
  <c r="K171" i="1" s="1"/>
  <c r="V171" i="1" s="1"/>
  <c r="P171" i="1"/>
  <c r="O172" i="1"/>
  <c r="P172" i="1"/>
  <c r="O173" i="1"/>
  <c r="Q173" i="1" s="1"/>
  <c r="P173" i="1"/>
  <c r="O174" i="1"/>
  <c r="Q174" i="1" s="1"/>
  <c r="P174" i="1"/>
  <c r="O175" i="1"/>
  <c r="P175" i="1"/>
  <c r="O176" i="1"/>
  <c r="P176" i="1"/>
  <c r="O177" i="1"/>
  <c r="Q177" i="1" s="1"/>
  <c r="P177" i="1"/>
  <c r="O178" i="1"/>
  <c r="Q178" i="1" s="1"/>
  <c r="P178" i="1"/>
  <c r="O179" i="1"/>
  <c r="Q179" i="1" s="1"/>
  <c r="P179" i="1"/>
  <c r="O180" i="1"/>
  <c r="Q180" i="1" s="1"/>
  <c r="P180" i="1"/>
  <c r="O181" i="1"/>
  <c r="Q181" i="1" s="1"/>
  <c r="P181" i="1"/>
  <c r="O182" i="1"/>
  <c r="K182" i="1" s="1"/>
  <c r="V182" i="1" s="1"/>
  <c r="P182" i="1"/>
  <c r="O183" i="1"/>
  <c r="Q183" i="1" s="1"/>
  <c r="P183" i="1"/>
  <c r="O184" i="1"/>
  <c r="K184" i="1" s="1"/>
  <c r="V184" i="1" s="1"/>
  <c r="P184" i="1"/>
  <c r="O185" i="1"/>
  <c r="P185" i="1"/>
  <c r="O186" i="1"/>
  <c r="P186" i="1"/>
  <c r="O187" i="1"/>
  <c r="Q187" i="1" s="1"/>
  <c r="P187" i="1"/>
  <c r="O188" i="1"/>
  <c r="Q188" i="1" s="1"/>
  <c r="P188" i="1"/>
  <c r="O189" i="1"/>
  <c r="Q189" i="1" s="1"/>
  <c r="P189" i="1"/>
  <c r="O190" i="1"/>
  <c r="P190" i="1"/>
  <c r="O191" i="1"/>
  <c r="Q191" i="1" s="1"/>
  <c r="P191" i="1"/>
  <c r="O192" i="1"/>
  <c r="P192" i="1"/>
  <c r="O193" i="1"/>
  <c r="Q193" i="1" s="1"/>
  <c r="P193" i="1"/>
  <c r="O194" i="1"/>
  <c r="Q194" i="1" s="1"/>
  <c r="P194" i="1"/>
  <c r="O195" i="1"/>
  <c r="Q195" i="1" s="1"/>
  <c r="P195" i="1"/>
  <c r="O196" i="1"/>
  <c r="Q196" i="1" s="1"/>
  <c r="P196" i="1"/>
  <c r="O197" i="1"/>
  <c r="Q197" i="1" s="1"/>
  <c r="P197" i="1"/>
  <c r="O198" i="1"/>
  <c r="Q198" i="1" s="1"/>
  <c r="P198" i="1"/>
  <c r="O199" i="1"/>
  <c r="P199" i="1"/>
  <c r="O200" i="1"/>
  <c r="P200" i="1"/>
  <c r="O201" i="1"/>
  <c r="P201" i="1"/>
  <c r="O202" i="1"/>
  <c r="Q202" i="1" s="1"/>
  <c r="P202" i="1"/>
  <c r="O203" i="1"/>
  <c r="Q203" i="1" s="1"/>
  <c r="P203" i="1"/>
  <c r="O204" i="1"/>
  <c r="P204" i="1"/>
  <c r="O205" i="1"/>
  <c r="Q205" i="1" s="1"/>
  <c r="P205" i="1"/>
  <c r="O206" i="1"/>
  <c r="Q206" i="1" s="1"/>
  <c r="P206" i="1"/>
  <c r="O207" i="1"/>
  <c r="Q207" i="1" s="1"/>
  <c r="P207" i="1"/>
  <c r="O208" i="1"/>
  <c r="Q208" i="1" s="1"/>
  <c r="P208" i="1"/>
  <c r="O209" i="1"/>
  <c r="Q209" i="1" s="1"/>
  <c r="P209" i="1"/>
  <c r="O210" i="1"/>
  <c r="P210" i="1"/>
  <c r="O211" i="1"/>
  <c r="K211" i="1" s="1"/>
  <c r="P211" i="1"/>
  <c r="O212" i="1"/>
  <c r="P212" i="1"/>
  <c r="O213" i="1"/>
  <c r="K213" i="1" s="1"/>
  <c r="V213" i="1" s="1"/>
  <c r="P213" i="1"/>
  <c r="O214" i="1"/>
  <c r="Q214" i="1" s="1"/>
  <c r="P214" i="1"/>
  <c r="O215" i="1"/>
  <c r="Q215" i="1" s="1"/>
  <c r="P215" i="1"/>
  <c r="O216" i="1"/>
  <c r="Q216" i="1" s="1"/>
  <c r="P216" i="1"/>
  <c r="O217" i="1"/>
  <c r="Q217" i="1" s="1"/>
  <c r="P217" i="1"/>
  <c r="O218" i="1"/>
  <c r="P218" i="1"/>
  <c r="O219" i="1"/>
  <c r="Q219" i="1" s="1"/>
  <c r="P219" i="1"/>
  <c r="O220" i="1"/>
  <c r="Q220" i="1" s="1"/>
  <c r="P220" i="1"/>
  <c r="O221" i="1"/>
  <c r="Q221" i="1" s="1"/>
  <c r="P221" i="1"/>
  <c r="O222" i="1"/>
  <c r="Q222" i="1" s="1"/>
  <c r="P222" i="1"/>
  <c r="O223" i="1"/>
  <c r="Q223" i="1" s="1"/>
  <c r="P223" i="1"/>
  <c r="O224" i="1"/>
  <c r="Q224" i="1" s="1"/>
  <c r="P224" i="1"/>
  <c r="O225" i="1"/>
  <c r="Q225" i="1" s="1"/>
  <c r="P225" i="1"/>
  <c r="O226" i="1"/>
  <c r="Q226" i="1" s="1"/>
  <c r="P226" i="1"/>
  <c r="O227" i="1"/>
  <c r="Q227" i="1" s="1"/>
  <c r="P227" i="1"/>
  <c r="O228" i="1"/>
  <c r="Q228" i="1" s="1"/>
  <c r="P228" i="1"/>
  <c r="O229" i="1"/>
  <c r="Q229" i="1" s="1"/>
  <c r="P229" i="1"/>
  <c r="O230" i="1"/>
  <c r="K230" i="1" s="1"/>
  <c r="P230" i="1"/>
  <c r="O231" i="1"/>
  <c r="P231" i="1"/>
  <c r="O232" i="1"/>
  <c r="K232" i="1" s="1"/>
  <c r="V232" i="1" s="1"/>
  <c r="P232" i="1"/>
  <c r="O233" i="1"/>
  <c r="Q233" i="1" s="1"/>
  <c r="P233" i="1"/>
  <c r="O234" i="1"/>
  <c r="Q234" i="1" s="1"/>
  <c r="P234" i="1"/>
  <c r="O235" i="1"/>
  <c r="Q235" i="1" s="1"/>
  <c r="P235" i="1"/>
  <c r="O236" i="1"/>
  <c r="K236" i="1" s="1"/>
  <c r="V236" i="1" s="1"/>
  <c r="P236" i="1"/>
  <c r="O237" i="1"/>
  <c r="K237" i="1" s="1"/>
  <c r="V237" i="1" s="1"/>
  <c r="P237" i="1"/>
  <c r="O238" i="1"/>
  <c r="K238" i="1" s="1"/>
  <c r="V238" i="1" s="1"/>
  <c r="P238" i="1"/>
  <c r="O239" i="1"/>
  <c r="P239" i="1"/>
  <c r="O240" i="1"/>
  <c r="P240" i="1"/>
  <c r="O241" i="1"/>
  <c r="K241" i="1" s="1"/>
  <c r="P241" i="1"/>
  <c r="O242" i="1"/>
  <c r="K242" i="1" s="1"/>
  <c r="P242" i="1"/>
  <c r="O243" i="1"/>
  <c r="P243" i="1"/>
  <c r="Q157" i="1" l="1"/>
  <c r="Q230" i="1"/>
  <c r="Q154" i="1"/>
  <c r="Q59" i="1"/>
  <c r="Q65" i="1"/>
  <c r="Q67" i="1"/>
  <c r="Q137" i="1"/>
  <c r="K1" i="1"/>
  <c r="Q74" i="1"/>
  <c r="Q243" i="1"/>
  <c r="Q240" i="1"/>
  <c r="Q239" i="1"/>
  <c r="Q231" i="1"/>
  <c r="Q218" i="1"/>
  <c r="Q213" i="1"/>
  <c r="Q212" i="1"/>
  <c r="Q210" i="1"/>
  <c r="Q200" i="1"/>
  <c r="Q199" i="1"/>
  <c r="Q190" i="1"/>
  <c r="Q186" i="1"/>
  <c r="Q185" i="1"/>
  <c r="Q176" i="1"/>
  <c r="Q175" i="1"/>
  <c r="Q172" i="1"/>
  <c r="Q155" i="1"/>
  <c r="Q153" i="1"/>
  <c r="Q152" i="1"/>
  <c r="Q151" i="1"/>
  <c r="Q150" i="1"/>
  <c r="Q144" i="1"/>
  <c r="Q134" i="1"/>
  <c r="Q126" i="1"/>
  <c r="Q121" i="1"/>
  <c r="Q119" i="1"/>
  <c r="Q102" i="1"/>
  <c r="Q92" i="1"/>
  <c r="Q90" i="1"/>
  <c r="Q88" i="1"/>
  <c r="Q87" i="1"/>
  <c r="Q83" i="1"/>
  <c r="Q82" i="1"/>
  <c r="Q81" i="1"/>
  <c r="Q79" i="1"/>
  <c r="Q78" i="1"/>
  <c r="Q77" i="1"/>
  <c r="Q68" i="1"/>
  <c r="Q66" i="1"/>
  <c r="Q58" i="1"/>
  <c r="Q57" i="1"/>
  <c r="Q54" i="1"/>
  <c r="Q52" i="1"/>
  <c r="Q50" i="1"/>
  <c r="Q45" i="1"/>
  <c r="Q40" i="1"/>
  <c r="Q39" i="1"/>
  <c r="Q38" i="1"/>
  <c r="Q36" i="1"/>
  <c r="Q33" i="1"/>
  <c r="Q31" i="1"/>
  <c r="Q25" i="1"/>
  <c r="Q24" i="1"/>
  <c r="Q23" i="1"/>
  <c r="Q21" i="1"/>
  <c r="Q20" i="1"/>
  <c r="Q14" i="1"/>
  <c r="Q13" i="1"/>
  <c r="Q9" i="1"/>
  <c r="Q5" i="1"/>
  <c r="I2" i="2"/>
  <c r="Q140" i="1" l="1"/>
  <c r="Q70" i="1"/>
  <c r="Q132" i="1"/>
  <c r="Q232" i="1"/>
  <c r="Q204" i="1"/>
  <c r="Q182" i="1"/>
  <c r="Q236" i="1"/>
  <c r="Q91" i="1"/>
  <c r="Q93" i="1"/>
  <c r="L243" i="1"/>
  <c r="M243" i="1" s="1"/>
  <c r="N243" i="1" l="1"/>
  <c r="S243" i="1" s="1"/>
  <c r="U243" i="1" l="1"/>
  <c r="T243" i="1"/>
  <c r="R243" i="1"/>
  <c r="L242" i="1"/>
  <c r="M242" i="1" s="1"/>
  <c r="L241" i="1"/>
  <c r="M241" i="1" s="1"/>
  <c r="N241" i="1" l="1"/>
  <c r="S241" i="1" s="1"/>
  <c r="N242" i="1"/>
  <c r="S242" i="1" s="1"/>
  <c r="Q241" i="1"/>
  <c r="Q242" i="1"/>
  <c r="L173" i="1"/>
  <c r="M173" i="1" s="1"/>
  <c r="L140" i="1"/>
  <c r="M140" i="1" s="1"/>
  <c r="L139" i="1"/>
  <c r="M139" i="1" s="1"/>
  <c r="L128" i="1"/>
  <c r="M128" i="1" s="1"/>
  <c r="L113" i="1"/>
  <c r="M113" i="1" s="1"/>
  <c r="L112" i="1"/>
  <c r="M112" i="1" s="1"/>
  <c r="L110" i="1"/>
  <c r="M110" i="1" s="1"/>
  <c r="L109" i="1"/>
  <c r="M109" i="1" s="1"/>
  <c r="L106" i="1"/>
  <c r="M106" i="1" s="1"/>
  <c r="L104" i="1"/>
  <c r="M104" i="1" s="1"/>
  <c r="L101" i="1"/>
  <c r="M101" i="1" s="1"/>
  <c r="L97" i="1"/>
  <c r="M97" i="1" s="1"/>
  <c r="L95" i="1"/>
  <c r="M95" i="1" s="1"/>
  <c r="L76" i="1"/>
  <c r="M76" i="1" s="1"/>
  <c r="L70" i="1"/>
  <c r="M70" i="1" s="1"/>
  <c r="L43" i="1"/>
  <c r="M43" i="1" s="1"/>
  <c r="L35" i="1"/>
  <c r="M35" i="1" s="1"/>
  <c r="L17" i="1"/>
  <c r="M17" i="1" s="1"/>
  <c r="T242" i="1" l="1"/>
  <c r="U242" i="1"/>
  <c r="U241" i="1"/>
  <c r="T241" i="1"/>
  <c r="R241" i="1"/>
  <c r="R242" i="1"/>
  <c r="N35" i="1"/>
  <c r="S35" i="1" s="1"/>
  <c r="N70" i="1"/>
  <c r="S70" i="1" s="1"/>
  <c r="L54" i="1"/>
  <c r="M54" i="1" s="1"/>
  <c r="L90" i="1"/>
  <c r="M90" i="1" s="1"/>
  <c r="L5" i="1"/>
  <c r="M5" i="1" s="1"/>
  <c r="L92" i="1"/>
  <c r="M92" i="1" s="1"/>
  <c r="L134" i="1"/>
  <c r="M134" i="1" s="1"/>
  <c r="L176" i="1"/>
  <c r="M176" i="1" s="1"/>
  <c r="L31" i="1"/>
  <c r="M31" i="1" s="1"/>
  <c r="L58" i="1"/>
  <c r="M58" i="1" s="1"/>
  <c r="L88" i="1"/>
  <c r="M88" i="1" s="1"/>
  <c r="L121" i="1"/>
  <c r="M121" i="1" s="1"/>
  <c r="L66" i="1"/>
  <c r="M66" i="1" s="1"/>
  <c r="L78" i="1"/>
  <c r="M78" i="1" s="1"/>
  <c r="L23" i="1"/>
  <c r="M23" i="1" s="1"/>
  <c r="L82" i="1"/>
  <c r="M82" i="1" s="1"/>
  <c r="N128" i="1"/>
  <c r="S128" i="1" s="1"/>
  <c r="N140" i="1"/>
  <c r="S140" i="1" s="1"/>
  <c r="L29" i="1"/>
  <c r="M29" i="1" s="1"/>
  <c r="L41" i="1"/>
  <c r="M41" i="1" s="1"/>
  <c r="L52" i="1"/>
  <c r="M52" i="1" s="1"/>
  <c r="N76" i="1"/>
  <c r="S76" i="1" s="1"/>
  <c r="N17" i="1"/>
  <c r="S17" i="1" s="1"/>
  <c r="L131" i="1"/>
  <c r="M131" i="1" s="1"/>
  <c r="L20" i="1"/>
  <c r="M20" i="1" s="1"/>
  <c r="L44" i="1"/>
  <c r="M44" i="1" s="1"/>
  <c r="L79" i="1"/>
  <c r="M79" i="1" s="1"/>
  <c r="L21" i="1"/>
  <c r="M21" i="1" s="1"/>
  <c r="L27" i="1"/>
  <c r="M27" i="1" s="1"/>
  <c r="L39" i="1"/>
  <c r="M39" i="1" s="1"/>
  <c r="L68" i="1"/>
  <c r="M68" i="1" s="1"/>
  <c r="L28" i="1"/>
  <c r="M28" i="1" s="1"/>
  <c r="L14" i="1"/>
  <c r="M14" i="1" s="1"/>
  <c r="L32" i="1"/>
  <c r="M32" i="1" s="1"/>
  <c r="L15" i="1"/>
  <c r="M15" i="1" s="1"/>
  <c r="L33" i="1"/>
  <c r="M33" i="1" s="1"/>
  <c r="L45" i="1"/>
  <c r="M45" i="1" s="1"/>
  <c r="L56" i="1"/>
  <c r="M56" i="1" s="1"/>
  <c r="L10" i="1"/>
  <c r="M10" i="1" s="1"/>
  <c r="L40" i="1"/>
  <c r="M40" i="1" s="1"/>
  <c r="L75" i="1"/>
  <c r="M75" i="1" s="1"/>
  <c r="L13" i="1"/>
  <c r="M13" i="1" s="1"/>
  <c r="L84" i="1"/>
  <c r="M84" i="1" s="1"/>
  <c r="L98" i="1"/>
  <c r="M98" i="1" s="1"/>
  <c r="L122" i="1"/>
  <c r="M122" i="1" s="1"/>
  <c r="L9" i="1"/>
  <c r="M9" i="1" s="1"/>
  <c r="L25" i="1"/>
  <c r="M25" i="1" s="1"/>
  <c r="L49" i="1"/>
  <c r="M49" i="1" s="1"/>
  <c r="L60" i="1"/>
  <c r="M60" i="1" s="1"/>
  <c r="L72" i="1"/>
  <c r="M72" i="1" s="1"/>
  <c r="L99" i="1"/>
  <c r="M99" i="1" s="1"/>
  <c r="L107" i="1"/>
  <c r="M107" i="1" s="1"/>
  <c r="L108" i="1"/>
  <c r="M108" i="1" s="1"/>
  <c r="L16" i="1"/>
  <c r="M16" i="1" s="1"/>
  <c r="L87" i="1"/>
  <c r="M87" i="1" s="1"/>
  <c r="L127" i="1"/>
  <c r="M127" i="1" s="1"/>
  <c r="L80" i="1"/>
  <c r="M80" i="1" s="1"/>
  <c r="N173" i="1"/>
  <c r="S173" i="1" s="1"/>
  <c r="L183" i="1"/>
  <c r="M183" i="1" s="1"/>
  <c r="L195" i="1"/>
  <c r="M195" i="1" s="1"/>
  <c r="L207" i="1"/>
  <c r="M207" i="1" s="1"/>
  <c r="L218" i="1"/>
  <c r="M218" i="1" s="1"/>
  <c r="N95" i="1"/>
  <c r="S95" i="1" s="1"/>
  <c r="N104" i="1"/>
  <c r="S104" i="1" s="1"/>
  <c r="N109" i="1"/>
  <c r="S109" i="1" s="1"/>
  <c r="N113" i="1"/>
  <c r="S113" i="1" s="1"/>
  <c r="L133" i="1"/>
  <c r="M133" i="1" s="1"/>
  <c r="L147" i="1"/>
  <c r="M147" i="1" s="1"/>
  <c r="L156" i="1"/>
  <c r="M156" i="1" s="1"/>
  <c r="L165" i="1"/>
  <c r="M165" i="1" s="1"/>
  <c r="L196" i="1"/>
  <c r="M196" i="1" s="1"/>
  <c r="L208" i="1"/>
  <c r="M208" i="1" s="1"/>
  <c r="L219" i="1"/>
  <c r="M219" i="1" s="1"/>
  <c r="L231" i="1"/>
  <c r="M231" i="1" s="1"/>
  <c r="L148" i="1"/>
  <c r="M148" i="1" s="1"/>
  <c r="L166" i="1"/>
  <c r="M166" i="1" s="1"/>
  <c r="L174" i="1"/>
  <c r="M174" i="1" s="1"/>
  <c r="L185" i="1"/>
  <c r="M185" i="1" s="1"/>
  <c r="L197" i="1"/>
  <c r="M197" i="1" s="1"/>
  <c r="L209" i="1"/>
  <c r="M209" i="1" s="1"/>
  <c r="L220" i="1"/>
  <c r="M220" i="1" s="1"/>
  <c r="L105" i="1"/>
  <c r="M105" i="1" s="1"/>
  <c r="L114" i="1"/>
  <c r="M114" i="1" s="1"/>
  <c r="L141" i="1"/>
  <c r="M141" i="1" s="1"/>
  <c r="L149" i="1"/>
  <c r="M149" i="1" s="1"/>
  <c r="L175" i="1"/>
  <c r="M175" i="1" s="1"/>
  <c r="L186" i="1"/>
  <c r="M186" i="1" s="1"/>
  <c r="L198" i="1"/>
  <c r="M198" i="1" s="1"/>
  <c r="L210" i="1"/>
  <c r="M210" i="1" s="1"/>
  <c r="L221" i="1"/>
  <c r="M221" i="1" s="1"/>
  <c r="L232" i="1"/>
  <c r="M232" i="1" s="1"/>
  <c r="L129" i="1"/>
  <c r="M129" i="1" s="1"/>
  <c r="L187" i="1"/>
  <c r="M187" i="1" s="1"/>
  <c r="L199" i="1"/>
  <c r="M199" i="1" s="1"/>
  <c r="L222" i="1"/>
  <c r="M222" i="1" s="1"/>
  <c r="L233" i="1"/>
  <c r="M233" i="1" s="1"/>
  <c r="L18" i="1"/>
  <c r="M18" i="1" s="1"/>
  <c r="L22" i="1"/>
  <c r="M22" i="1" s="1"/>
  <c r="L26" i="1"/>
  <c r="M26" i="1" s="1"/>
  <c r="L30" i="1"/>
  <c r="M30" i="1" s="1"/>
  <c r="L34" i="1"/>
  <c r="M34" i="1" s="1"/>
  <c r="L38" i="1"/>
  <c r="M38" i="1" s="1"/>
  <c r="L42" i="1"/>
  <c r="M42" i="1" s="1"/>
  <c r="L46" i="1"/>
  <c r="M46" i="1" s="1"/>
  <c r="L50" i="1"/>
  <c r="M50" i="1" s="1"/>
  <c r="L53" i="1"/>
  <c r="M53" i="1" s="1"/>
  <c r="L57" i="1"/>
  <c r="M57" i="1" s="1"/>
  <c r="L69" i="1"/>
  <c r="M69" i="1" s="1"/>
  <c r="L73" i="1"/>
  <c r="M73" i="1" s="1"/>
  <c r="L77" i="1"/>
  <c r="M77" i="1" s="1"/>
  <c r="L85" i="1"/>
  <c r="M85" i="1" s="1"/>
  <c r="L89" i="1"/>
  <c r="M89" i="1" s="1"/>
  <c r="L8" i="1"/>
  <c r="M8" i="1" s="1"/>
  <c r="N43" i="1"/>
  <c r="S43" i="1" s="1"/>
  <c r="N97" i="1"/>
  <c r="S97" i="1" s="1"/>
  <c r="N101" i="1"/>
  <c r="S101" i="1" s="1"/>
  <c r="N106" i="1"/>
  <c r="S106" i="1" s="1"/>
  <c r="N110" i="1"/>
  <c r="S110" i="1" s="1"/>
  <c r="L142" i="1"/>
  <c r="M142" i="1" s="1"/>
  <c r="L150" i="1"/>
  <c r="M150" i="1" s="1"/>
  <c r="L159" i="1"/>
  <c r="M159" i="1" s="1"/>
  <c r="L168" i="1"/>
  <c r="M168" i="1" s="1"/>
  <c r="L188" i="1"/>
  <c r="M188" i="1" s="1"/>
  <c r="L200" i="1"/>
  <c r="M200" i="1" s="1"/>
  <c r="L212" i="1"/>
  <c r="M212" i="1" s="1"/>
  <c r="L223" i="1"/>
  <c r="M223" i="1" s="1"/>
  <c r="L234" i="1"/>
  <c r="M234" i="1" s="1"/>
  <c r="L86" i="1"/>
  <c r="M86" i="1" s="1"/>
  <c r="L143" i="1"/>
  <c r="M143" i="1" s="1"/>
  <c r="L151" i="1"/>
  <c r="M151" i="1" s="1"/>
  <c r="L169" i="1"/>
  <c r="M169" i="1" s="1"/>
  <c r="L177" i="1"/>
  <c r="M177" i="1" s="1"/>
  <c r="L189" i="1"/>
  <c r="M189" i="1" s="1"/>
  <c r="L213" i="1"/>
  <c r="M213" i="1" s="1"/>
  <c r="L224" i="1"/>
  <c r="M224" i="1" s="1"/>
  <c r="L235" i="1"/>
  <c r="M235" i="1" s="1"/>
  <c r="L102" i="1"/>
  <c r="M102" i="1" s="1"/>
  <c r="L111" i="1"/>
  <c r="M111" i="1" s="1"/>
  <c r="L130" i="1"/>
  <c r="M130" i="1" s="1"/>
  <c r="L144" i="1"/>
  <c r="M144" i="1" s="1"/>
  <c r="L152" i="1"/>
  <c r="M152" i="1" s="1"/>
  <c r="L161" i="1"/>
  <c r="M161" i="1" s="1"/>
  <c r="L170" i="1"/>
  <c r="M170" i="1" s="1"/>
  <c r="L178" i="1"/>
  <c r="M178" i="1" s="1"/>
  <c r="L190" i="1"/>
  <c r="M190" i="1" s="1"/>
  <c r="L202" i="1"/>
  <c r="M202" i="1" s="1"/>
  <c r="L225" i="1"/>
  <c r="M225" i="1" s="1"/>
  <c r="L236" i="1"/>
  <c r="M236" i="1" s="1"/>
  <c r="L179" i="1"/>
  <c r="M179" i="1" s="1"/>
  <c r="L191" i="1"/>
  <c r="M191" i="1" s="1"/>
  <c r="L203" i="1"/>
  <c r="M203" i="1" s="1"/>
  <c r="L214" i="1"/>
  <c r="M214" i="1" s="1"/>
  <c r="L226" i="1"/>
  <c r="M226" i="1" s="1"/>
  <c r="L83" i="1"/>
  <c r="M83" i="1" s="1"/>
  <c r="N112" i="1"/>
  <c r="S112" i="1" s="1"/>
  <c r="L126" i="1"/>
  <c r="M126" i="1" s="1"/>
  <c r="L153" i="1"/>
  <c r="M153" i="1" s="1"/>
  <c r="L180" i="1"/>
  <c r="M180" i="1" s="1"/>
  <c r="L204" i="1"/>
  <c r="M204" i="1" s="1"/>
  <c r="L215" i="1"/>
  <c r="M215" i="1" s="1"/>
  <c r="L227" i="1"/>
  <c r="M227" i="1" s="1"/>
  <c r="L24" i="1"/>
  <c r="M24" i="1" s="1"/>
  <c r="L36" i="1"/>
  <c r="M36" i="1" s="1"/>
  <c r="L94" i="1"/>
  <c r="M94" i="1" s="1"/>
  <c r="L103" i="1"/>
  <c r="M103" i="1" s="1"/>
  <c r="L138" i="1"/>
  <c r="M138" i="1" s="1"/>
  <c r="L145" i="1"/>
  <c r="M145" i="1" s="1"/>
  <c r="L154" i="1"/>
  <c r="M154" i="1" s="1"/>
  <c r="L163" i="1"/>
  <c r="M163" i="1" s="1"/>
  <c r="L172" i="1"/>
  <c r="M172" i="1" s="1"/>
  <c r="L193" i="1"/>
  <c r="M193" i="1" s="1"/>
  <c r="L216" i="1"/>
  <c r="M216" i="1" s="1"/>
  <c r="L228" i="1"/>
  <c r="M228" i="1" s="1"/>
  <c r="L132" i="1"/>
  <c r="M132" i="1" s="1"/>
  <c r="N139" i="1"/>
  <c r="S139" i="1" s="1"/>
  <c r="L146" i="1"/>
  <c r="M146" i="1" s="1"/>
  <c r="L155" i="1"/>
  <c r="M155" i="1" s="1"/>
  <c r="L164" i="1"/>
  <c r="M164" i="1" s="1"/>
  <c r="L182" i="1"/>
  <c r="M182" i="1" s="1"/>
  <c r="L194" i="1"/>
  <c r="M194" i="1" s="1"/>
  <c r="L206" i="1"/>
  <c r="M206" i="1" s="1"/>
  <c r="L217" i="1"/>
  <c r="M217" i="1" s="1"/>
  <c r="L229" i="1"/>
  <c r="M229" i="1" s="1"/>
  <c r="L239" i="1"/>
  <c r="M239" i="1" s="1"/>
  <c r="L240" i="1"/>
  <c r="M240" i="1" s="1"/>
  <c r="T109" i="1" l="1"/>
  <c r="U109" i="1"/>
  <c r="T128" i="1"/>
  <c r="U128" i="1"/>
  <c r="T95" i="1"/>
  <c r="U95" i="1"/>
  <c r="T140" i="1"/>
  <c r="U140" i="1"/>
  <c r="T70" i="1"/>
  <c r="U70" i="1"/>
  <c r="T35" i="1"/>
  <c r="U35" i="1"/>
  <c r="T113" i="1"/>
  <c r="U113" i="1"/>
  <c r="T17" i="1"/>
  <c r="U17" i="1"/>
  <c r="T110" i="1"/>
  <c r="U110" i="1"/>
  <c r="U173" i="1"/>
  <c r="T173" i="1"/>
  <c r="T76" i="1"/>
  <c r="U76" i="1"/>
  <c r="T106" i="1"/>
  <c r="U106" i="1"/>
  <c r="T104" i="1"/>
  <c r="U104" i="1"/>
  <c r="T112" i="1"/>
  <c r="U112" i="1"/>
  <c r="T101" i="1"/>
  <c r="U101" i="1"/>
  <c r="T43" i="1"/>
  <c r="U43" i="1"/>
  <c r="T139" i="1"/>
  <c r="U139" i="1"/>
  <c r="U97" i="1"/>
  <c r="T97" i="1"/>
  <c r="R113" i="1"/>
  <c r="R109" i="1"/>
  <c r="R128" i="1"/>
  <c r="R104" i="1"/>
  <c r="R95" i="1"/>
  <c r="R70" i="1"/>
  <c r="R35" i="1"/>
  <c r="R112" i="1"/>
  <c r="R17" i="1"/>
  <c r="R110" i="1"/>
  <c r="R173" i="1"/>
  <c r="R76" i="1"/>
  <c r="R106" i="1"/>
  <c r="R140" i="1"/>
  <c r="R101" i="1"/>
  <c r="R43" i="1"/>
  <c r="R139" i="1"/>
  <c r="R97" i="1"/>
  <c r="N54" i="1"/>
  <c r="S54" i="1" s="1"/>
  <c r="N240" i="1"/>
  <c r="S240" i="1" s="1"/>
  <c r="N228" i="1"/>
  <c r="S228" i="1" s="1"/>
  <c r="N227" i="1"/>
  <c r="S227" i="1" s="1"/>
  <c r="N239" i="1"/>
  <c r="S239" i="1" s="1"/>
  <c r="N216" i="1"/>
  <c r="S216" i="1" s="1"/>
  <c r="N215" i="1"/>
  <c r="S215" i="1" s="1"/>
  <c r="N236" i="1"/>
  <c r="S236" i="1" s="1"/>
  <c r="N235" i="1"/>
  <c r="S235" i="1" s="1"/>
  <c r="N200" i="1"/>
  <c r="S200" i="1" s="1"/>
  <c r="N8" i="1"/>
  <c r="S8" i="1" s="1"/>
  <c r="N34" i="1"/>
  <c r="S34" i="1" s="1"/>
  <c r="N174" i="1"/>
  <c r="S174" i="1" s="1"/>
  <c r="N27" i="1"/>
  <c r="S27" i="1" s="1"/>
  <c r="N5" i="1"/>
  <c r="S5" i="1" s="1"/>
  <c r="N229" i="1"/>
  <c r="S229" i="1" s="1"/>
  <c r="N30" i="1"/>
  <c r="S30" i="1" s="1"/>
  <c r="N166" i="1"/>
  <c r="S166" i="1" s="1"/>
  <c r="N202" i="1"/>
  <c r="S202" i="1" s="1"/>
  <c r="N213" i="1"/>
  <c r="S213" i="1" s="1"/>
  <c r="N168" i="1"/>
  <c r="S168" i="1" s="1"/>
  <c r="N85" i="1"/>
  <c r="S85" i="1" s="1"/>
  <c r="N26" i="1"/>
  <c r="S26" i="1" s="1"/>
  <c r="N186" i="1"/>
  <c r="S186" i="1" s="1"/>
  <c r="N148" i="1"/>
  <c r="S148" i="1" s="1"/>
  <c r="N99" i="1"/>
  <c r="S99" i="1" s="1"/>
  <c r="N10" i="1"/>
  <c r="S10" i="1" s="1"/>
  <c r="N79" i="1"/>
  <c r="S79" i="1" s="1"/>
  <c r="N23" i="1"/>
  <c r="S23" i="1" s="1"/>
  <c r="N89" i="1"/>
  <c r="S89" i="1" s="1"/>
  <c r="N21" i="1"/>
  <c r="S21" i="1" s="1"/>
  <c r="N190" i="1"/>
  <c r="S190" i="1" s="1"/>
  <c r="N218" i="1"/>
  <c r="S218" i="1" s="1"/>
  <c r="N72" i="1"/>
  <c r="S72" i="1" s="1"/>
  <c r="N56" i="1"/>
  <c r="S56" i="1" s="1"/>
  <c r="N44" i="1"/>
  <c r="S44" i="1" s="1"/>
  <c r="N78" i="1"/>
  <c r="S78" i="1" s="1"/>
  <c r="N224" i="1"/>
  <c r="S224" i="1" s="1"/>
  <c r="N172" i="1"/>
  <c r="S172" i="1" s="1"/>
  <c r="N178" i="1"/>
  <c r="S178" i="1" s="1"/>
  <c r="N150" i="1"/>
  <c r="S150" i="1" s="1"/>
  <c r="N73" i="1"/>
  <c r="S73" i="1" s="1"/>
  <c r="N18" i="1"/>
  <c r="S18" i="1" s="1"/>
  <c r="N149" i="1"/>
  <c r="S149" i="1" s="1"/>
  <c r="N219" i="1"/>
  <c r="S219" i="1" s="1"/>
  <c r="N207" i="1"/>
  <c r="S207" i="1" s="1"/>
  <c r="N60" i="1"/>
  <c r="S60" i="1" s="1"/>
  <c r="N45" i="1"/>
  <c r="S45" i="1" s="1"/>
  <c r="N20" i="1"/>
  <c r="S20" i="1" s="1"/>
  <c r="N66" i="1"/>
  <c r="S66" i="1" s="1"/>
  <c r="N204" i="1"/>
  <c r="S204" i="1" s="1"/>
  <c r="N90" i="1"/>
  <c r="S90" i="1" s="1"/>
  <c r="N175" i="1"/>
  <c r="S175" i="1" s="1"/>
  <c r="N177" i="1"/>
  <c r="S177" i="1" s="1"/>
  <c r="N182" i="1"/>
  <c r="S182" i="1" s="1"/>
  <c r="N145" i="1"/>
  <c r="S145" i="1" s="1"/>
  <c r="N170" i="1"/>
  <c r="S170" i="1" s="1"/>
  <c r="N169" i="1"/>
  <c r="S169" i="1" s="1"/>
  <c r="N142" i="1"/>
  <c r="S142" i="1" s="1"/>
  <c r="N69" i="1"/>
  <c r="S69" i="1" s="1"/>
  <c r="N233" i="1"/>
  <c r="S233" i="1" s="1"/>
  <c r="N141" i="1"/>
  <c r="S141" i="1" s="1"/>
  <c r="N208" i="1"/>
  <c r="S208" i="1" s="1"/>
  <c r="N195" i="1"/>
  <c r="S195" i="1" s="1"/>
  <c r="N49" i="1"/>
  <c r="S49" i="1" s="1"/>
  <c r="N33" i="1"/>
  <c r="S33" i="1" s="1"/>
  <c r="N131" i="1"/>
  <c r="S131" i="1" s="1"/>
  <c r="N121" i="1"/>
  <c r="S121" i="1" s="1"/>
  <c r="N225" i="1"/>
  <c r="S225" i="1" s="1"/>
  <c r="N82" i="1"/>
  <c r="S82" i="1" s="1"/>
  <c r="N163" i="1"/>
  <c r="S163" i="1" s="1"/>
  <c r="N77" i="1"/>
  <c r="S77" i="1" s="1"/>
  <c r="N194" i="1"/>
  <c r="S194" i="1" s="1"/>
  <c r="N138" i="1"/>
  <c r="S138" i="1" s="1"/>
  <c r="N161" i="1"/>
  <c r="S161" i="1" s="1"/>
  <c r="N57" i="1"/>
  <c r="S57" i="1" s="1"/>
  <c r="N222" i="1"/>
  <c r="S222" i="1" s="1"/>
  <c r="N196" i="1"/>
  <c r="S196" i="1" s="1"/>
  <c r="N183" i="1"/>
  <c r="S183" i="1" s="1"/>
  <c r="N25" i="1"/>
  <c r="S25" i="1" s="1"/>
  <c r="N15" i="1"/>
  <c r="S15" i="1" s="1"/>
  <c r="N88" i="1"/>
  <c r="S88" i="1" s="1"/>
  <c r="N193" i="1"/>
  <c r="S193" i="1" s="1"/>
  <c r="N206" i="1"/>
  <c r="S206" i="1" s="1"/>
  <c r="N189" i="1"/>
  <c r="S189" i="1" s="1"/>
  <c r="N126" i="1"/>
  <c r="S126" i="1" s="1"/>
  <c r="N103" i="1"/>
  <c r="S103" i="1" s="1"/>
  <c r="N226" i="1"/>
  <c r="S226" i="1" s="1"/>
  <c r="N152" i="1"/>
  <c r="S152" i="1" s="1"/>
  <c r="N143" i="1"/>
  <c r="S143" i="1" s="1"/>
  <c r="N53" i="1"/>
  <c r="S53" i="1" s="1"/>
  <c r="N199" i="1"/>
  <c r="S199" i="1" s="1"/>
  <c r="N165" i="1"/>
  <c r="S165" i="1" s="1"/>
  <c r="N9" i="1"/>
  <c r="S9" i="1" s="1"/>
  <c r="N32" i="1"/>
  <c r="S32" i="1" s="1"/>
  <c r="N58" i="1"/>
  <c r="S58" i="1" s="1"/>
  <c r="N159" i="1"/>
  <c r="S159" i="1" s="1"/>
  <c r="N154" i="1"/>
  <c r="S154" i="1" s="1"/>
  <c r="N94" i="1"/>
  <c r="S94" i="1" s="1"/>
  <c r="N214" i="1"/>
  <c r="S214" i="1" s="1"/>
  <c r="N144" i="1"/>
  <c r="S144" i="1" s="1"/>
  <c r="N50" i="1"/>
  <c r="S50" i="1" s="1"/>
  <c r="N187" i="1"/>
  <c r="S187" i="1" s="1"/>
  <c r="N220" i="1"/>
  <c r="S220" i="1" s="1"/>
  <c r="N156" i="1"/>
  <c r="S156" i="1" s="1"/>
  <c r="N80" i="1"/>
  <c r="S80" i="1" s="1"/>
  <c r="N122" i="1"/>
  <c r="S122" i="1" s="1"/>
  <c r="N14" i="1"/>
  <c r="S14" i="1" s="1"/>
  <c r="N52" i="1"/>
  <c r="S52" i="1" s="1"/>
  <c r="N31" i="1"/>
  <c r="S31" i="1" s="1"/>
  <c r="N188" i="1"/>
  <c r="S188" i="1" s="1"/>
  <c r="N217" i="1"/>
  <c r="S217" i="1" s="1"/>
  <c r="N231" i="1"/>
  <c r="S231" i="1" s="1"/>
  <c r="N155" i="1"/>
  <c r="S155" i="1" s="1"/>
  <c r="N203" i="1"/>
  <c r="S203" i="1" s="1"/>
  <c r="N46" i="1"/>
  <c r="S46" i="1" s="1"/>
  <c r="N129" i="1"/>
  <c r="S129" i="1" s="1"/>
  <c r="N209" i="1"/>
  <c r="S209" i="1" s="1"/>
  <c r="N147" i="1"/>
  <c r="S147" i="1" s="1"/>
  <c r="N127" i="1"/>
  <c r="S127" i="1" s="1"/>
  <c r="N98" i="1"/>
  <c r="S98" i="1" s="1"/>
  <c r="N28" i="1"/>
  <c r="S28" i="1" s="1"/>
  <c r="N41" i="1"/>
  <c r="S41" i="1" s="1"/>
  <c r="N176" i="1"/>
  <c r="S176" i="1" s="1"/>
  <c r="N198" i="1"/>
  <c r="S198" i="1" s="1"/>
  <c r="N40" i="1"/>
  <c r="S40" i="1" s="1"/>
  <c r="N180" i="1"/>
  <c r="S180" i="1" s="1"/>
  <c r="N22" i="1"/>
  <c r="S22" i="1" s="1"/>
  <c r="N164" i="1"/>
  <c r="S164" i="1" s="1"/>
  <c r="N146" i="1"/>
  <c r="S146" i="1" s="1"/>
  <c r="N36" i="1"/>
  <c r="S36" i="1" s="1"/>
  <c r="N130" i="1"/>
  <c r="S130" i="1" s="1"/>
  <c r="N234" i="1"/>
  <c r="S234" i="1" s="1"/>
  <c r="N132" i="1"/>
  <c r="S132" i="1" s="1"/>
  <c r="N24" i="1"/>
  <c r="S24" i="1" s="1"/>
  <c r="N191" i="1"/>
  <c r="S191" i="1" s="1"/>
  <c r="N111" i="1"/>
  <c r="S111" i="1" s="1"/>
  <c r="N223" i="1"/>
  <c r="S223" i="1" s="1"/>
  <c r="N42" i="1"/>
  <c r="S42" i="1" s="1"/>
  <c r="N232" i="1"/>
  <c r="S232" i="1" s="1"/>
  <c r="N133" i="1"/>
  <c r="S133" i="1" s="1"/>
  <c r="N87" i="1"/>
  <c r="S87" i="1" s="1"/>
  <c r="N84" i="1"/>
  <c r="S84" i="1" s="1"/>
  <c r="N68" i="1"/>
  <c r="S68" i="1" s="1"/>
  <c r="N29" i="1"/>
  <c r="S29" i="1" s="1"/>
  <c r="N134" i="1"/>
  <c r="S134" i="1" s="1"/>
  <c r="N179" i="1"/>
  <c r="S179" i="1" s="1"/>
  <c r="N102" i="1"/>
  <c r="S102" i="1" s="1"/>
  <c r="N212" i="1"/>
  <c r="S212" i="1" s="1"/>
  <c r="N38" i="1"/>
  <c r="S38" i="1" s="1"/>
  <c r="N221" i="1"/>
  <c r="S221" i="1" s="1"/>
  <c r="N185" i="1"/>
  <c r="S185" i="1" s="1"/>
  <c r="N16" i="1"/>
  <c r="S16" i="1" s="1"/>
  <c r="N13" i="1"/>
  <c r="S13" i="1" s="1"/>
  <c r="N39" i="1"/>
  <c r="S39" i="1" s="1"/>
  <c r="N92" i="1"/>
  <c r="S92" i="1" s="1"/>
  <c r="N114" i="1"/>
  <c r="S114" i="1" s="1"/>
  <c r="N83" i="1"/>
  <c r="S83" i="1" s="1"/>
  <c r="N86" i="1"/>
  <c r="S86" i="1" s="1"/>
  <c r="N105" i="1"/>
  <c r="S105" i="1" s="1"/>
  <c r="N108" i="1"/>
  <c r="S108" i="1" s="1"/>
  <c r="N75" i="1"/>
  <c r="S75" i="1" s="1"/>
  <c r="N107" i="1"/>
  <c r="S107" i="1" s="1"/>
  <c r="N210" i="1"/>
  <c r="S210" i="1" s="1"/>
  <c r="N151" i="1"/>
  <c r="S151" i="1" s="1"/>
  <c r="N197" i="1"/>
  <c r="S197" i="1" s="1"/>
  <c r="Q237" i="1"/>
  <c r="Q238" i="1"/>
  <c r="N153" i="1"/>
  <c r="S153" i="1" s="1"/>
  <c r="L237" i="1"/>
  <c r="M237" i="1" s="1"/>
  <c r="L238" i="1"/>
  <c r="M238" i="1" s="1"/>
  <c r="T40" i="1" l="1"/>
  <c r="U40" i="1"/>
  <c r="T166" i="1"/>
  <c r="U166" i="1"/>
  <c r="T108" i="1"/>
  <c r="U108" i="1"/>
  <c r="T212" i="1"/>
  <c r="U212" i="1"/>
  <c r="T111" i="1"/>
  <c r="U111" i="1"/>
  <c r="U198" i="1"/>
  <c r="T198" i="1"/>
  <c r="T231" i="1"/>
  <c r="U231" i="1"/>
  <c r="T144" i="1"/>
  <c r="U144" i="1"/>
  <c r="T152" i="1"/>
  <c r="U152" i="1"/>
  <c r="T222" i="1"/>
  <c r="U222" i="1"/>
  <c r="T49" i="1"/>
  <c r="U49" i="1"/>
  <c r="T175" i="1"/>
  <c r="U175" i="1"/>
  <c r="T150" i="1"/>
  <c r="U150" i="1"/>
  <c r="T23" i="1"/>
  <c r="U23" i="1"/>
  <c r="T30" i="1"/>
  <c r="U30" i="1"/>
  <c r="T239" i="1"/>
  <c r="U239" i="1"/>
  <c r="T143" i="1"/>
  <c r="U143" i="1"/>
  <c r="T102" i="1"/>
  <c r="U102" i="1"/>
  <c r="T90" i="1"/>
  <c r="U90" i="1"/>
  <c r="T86" i="1"/>
  <c r="U86" i="1"/>
  <c r="T188" i="1"/>
  <c r="U188" i="1"/>
  <c r="T94" i="1"/>
  <c r="U94" i="1"/>
  <c r="T103" i="1"/>
  <c r="U103" i="1"/>
  <c r="T161" i="1"/>
  <c r="U161" i="1"/>
  <c r="T208" i="1"/>
  <c r="U208" i="1"/>
  <c r="U204" i="1"/>
  <c r="T204" i="1"/>
  <c r="U172" i="1"/>
  <c r="T172" i="1"/>
  <c r="T10" i="1"/>
  <c r="U10" i="1"/>
  <c r="T5" i="1"/>
  <c r="U5" i="1"/>
  <c r="T228" i="1"/>
  <c r="U228" i="1"/>
  <c r="U196" i="1"/>
  <c r="T196" i="1"/>
  <c r="T195" i="1"/>
  <c r="U195" i="1"/>
  <c r="T178" i="1"/>
  <c r="U178" i="1"/>
  <c r="T134" i="1"/>
  <c r="U134" i="1"/>
  <c r="T126" i="1"/>
  <c r="U126" i="1"/>
  <c r="T138" i="1"/>
  <c r="U138" i="1"/>
  <c r="T141" i="1"/>
  <c r="U141" i="1"/>
  <c r="T66" i="1"/>
  <c r="U66" i="1"/>
  <c r="T224" i="1"/>
  <c r="U224" i="1"/>
  <c r="T99" i="1"/>
  <c r="U99" i="1"/>
  <c r="T27" i="1"/>
  <c r="U27" i="1"/>
  <c r="T240" i="1"/>
  <c r="U240" i="1"/>
  <c r="T75" i="1"/>
  <c r="U75" i="1"/>
  <c r="T177" i="1"/>
  <c r="U177" i="1"/>
  <c r="U214" i="1"/>
  <c r="T214" i="1"/>
  <c r="U229" i="1"/>
  <c r="T229" i="1"/>
  <c r="T41" i="1"/>
  <c r="U41" i="1"/>
  <c r="U98" i="1"/>
  <c r="T98" i="1"/>
  <c r="T52" i="1"/>
  <c r="U52" i="1"/>
  <c r="T159" i="1"/>
  <c r="U159" i="1"/>
  <c r="U189" i="1"/>
  <c r="T189" i="1"/>
  <c r="T194" i="1"/>
  <c r="U194" i="1"/>
  <c r="T233" i="1"/>
  <c r="U233" i="1"/>
  <c r="T20" i="1"/>
  <c r="U20" i="1"/>
  <c r="T78" i="1"/>
  <c r="U78" i="1"/>
  <c r="T148" i="1"/>
  <c r="U148" i="1"/>
  <c r="T174" i="1"/>
  <c r="U174" i="1"/>
  <c r="T54" i="1"/>
  <c r="U54" i="1"/>
  <c r="T50" i="1"/>
  <c r="U50" i="1"/>
  <c r="T105" i="1"/>
  <c r="U105" i="1"/>
  <c r="U83" i="1"/>
  <c r="T83" i="1"/>
  <c r="U153" i="1"/>
  <c r="T153" i="1"/>
  <c r="T68" i="1"/>
  <c r="U68" i="1"/>
  <c r="T130" i="1"/>
  <c r="U130" i="1"/>
  <c r="U127" i="1"/>
  <c r="T127" i="1"/>
  <c r="T14" i="1"/>
  <c r="U14" i="1"/>
  <c r="T58" i="1"/>
  <c r="U58" i="1"/>
  <c r="T206" i="1"/>
  <c r="U206" i="1"/>
  <c r="T77" i="1"/>
  <c r="U77" i="1"/>
  <c r="T69" i="1"/>
  <c r="U69" i="1"/>
  <c r="T45" i="1"/>
  <c r="U45" i="1"/>
  <c r="T44" i="1"/>
  <c r="U44" i="1"/>
  <c r="T186" i="1"/>
  <c r="U186" i="1"/>
  <c r="T34" i="1"/>
  <c r="U34" i="1"/>
  <c r="T223" i="1"/>
  <c r="U223" i="1"/>
  <c r="T89" i="1"/>
  <c r="U89" i="1"/>
  <c r="U217" i="1"/>
  <c r="T217" i="1"/>
  <c r="T227" i="1"/>
  <c r="U227" i="1"/>
  <c r="T154" i="1"/>
  <c r="U154" i="1"/>
  <c r="U92" i="1"/>
  <c r="T92" i="1"/>
  <c r="T84" i="1"/>
  <c r="U84" i="1"/>
  <c r="T147" i="1"/>
  <c r="U147" i="1"/>
  <c r="T122" i="1"/>
  <c r="U122" i="1"/>
  <c r="T32" i="1"/>
  <c r="U32" i="1"/>
  <c r="T193" i="1"/>
  <c r="U193" i="1"/>
  <c r="T163" i="1"/>
  <c r="U163" i="1"/>
  <c r="T142" i="1"/>
  <c r="U142" i="1"/>
  <c r="T60" i="1"/>
  <c r="U60" i="1"/>
  <c r="T56" i="1"/>
  <c r="U56" i="1"/>
  <c r="T26" i="1"/>
  <c r="U26" i="1"/>
  <c r="T8" i="1"/>
  <c r="U8" i="1"/>
  <c r="T33" i="1"/>
  <c r="U33" i="1"/>
  <c r="T176" i="1"/>
  <c r="U176" i="1"/>
  <c r="T132" i="1"/>
  <c r="U132" i="1"/>
  <c r="T29" i="1"/>
  <c r="U29" i="1"/>
  <c r="T39" i="1"/>
  <c r="U39" i="1"/>
  <c r="T36" i="1"/>
  <c r="U36" i="1"/>
  <c r="T197" i="1"/>
  <c r="U197" i="1"/>
  <c r="T13" i="1"/>
  <c r="U13" i="1"/>
  <c r="T87" i="1"/>
  <c r="U87" i="1"/>
  <c r="U146" i="1"/>
  <c r="T146" i="1"/>
  <c r="U209" i="1"/>
  <c r="T209" i="1"/>
  <c r="T80" i="1"/>
  <c r="U80" i="1"/>
  <c r="T9" i="1"/>
  <c r="U9" i="1"/>
  <c r="T88" i="1"/>
  <c r="U88" i="1"/>
  <c r="T82" i="1"/>
  <c r="U82" i="1"/>
  <c r="U169" i="1"/>
  <c r="T169" i="1"/>
  <c r="U207" i="1"/>
  <c r="T207" i="1"/>
  <c r="T72" i="1"/>
  <c r="U72" i="1"/>
  <c r="T85" i="1"/>
  <c r="U85" i="1"/>
  <c r="U200" i="1"/>
  <c r="T200" i="1"/>
  <c r="T38" i="1"/>
  <c r="U38" i="1"/>
  <c r="T216" i="1"/>
  <c r="U216" i="1"/>
  <c r="T226" i="1"/>
  <c r="U226" i="1"/>
  <c r="T79" i="1"/>
  <c r="U79" i="1"/>
  <c r="T179" i="1"/>
  <c r="U179" i="1"/>
  <c r="U133" i="1"/>
  <c r="T133" i="1"/>
  <c r="T165" i="1"/>
  <c r="U165" i="1"/>
  <c r="T15" i="1"/>
  <c r="U15" i="1"/>
  <c r="U225" i="1"/>
  <c r="T225" i="1"/>
  <c r="T170" i="1"/>
  <c r="U170" i="1"/>
  <c r="T219" i="1"/>
  <c r="U219" i="1"/>
  <c r="U218" i="1"/>
  <c r="T218" i="1"/>
  <c r="T168" i="1"/>
  <c r="U168" i="1"/>
  <c r="T235" i="1"/>
  <c r="U235" i="1"/>
  <c r="U155" i="1"/>
  <c r="T155" i="1"/>
  <c r="U191" i="1"/>
  <c r="T191" i="1"/>
  <c r="T31" i="1"/>
  <c r="U31" i="1"/>
  <c r="T234" i="1"/>
  <c r="U234" i="1"/>
  <c r="T16" i="1"/>
  <c r="U16" i="1"/>
  <c r="T129" i="1"/>
  <c r="U129" i="1"/>
  <c r="T210" i="1"/>
  <c r="U210" i="1"/>
  <c r="T232" i="1"/>
  <c r="U232" i="1"/>
  <c r="T22" i="1"/>
  <c r="U22" i="1"/>
  <c r="T46" i="1"/>
  <c r="U46" i="1"/>
  <c r="U220" i="1"/>
  <c r="T220" i="1"/>
  <c r="U199" i="1"/>
  <c r="T199" i="1"/>
  <c r="T25" i="1"/>
  <c r="U25" i="1"/>
  <c r="T121" i="1"/>
  <c r="U121" i="1"/>
  <c r="T145" i="1"/>
  <c r="U145" i="1"/>
  <c r="U149" i="1"/>
  <c r="T149" i="1"/>
  <c r="T190" i="1"/>
  <c r="U190" i="1"/>
  <c r="T213" i="1"/>
  <c r="U213" i="1"/>
  <c r="U236" i="1"/>
  <c r="T236" i="1"/>
  <c r="T73" i="1"/>
  <c r="U73" i="1"/>
  <c r="T57" i="1"/>
  <c r="U57" i="1"/>
  <c r="T24" i="1"/>
  <c r="U24" i="1"/>
  <c r="T28" i="1"/>
  <c r="U28" i="1"/>
  <c r="T114" i="1"/>
  <c r="U114" i="1"/>
  <c r="T151" i="1"/>
  <c r="U151" i="1"/>
  <c r="U164" i="1"/>
  <c r="T164" i="1"/>
  <c r="T156" i="1"/>
  <c r="U156" i="1"/>
  <c r="T185" i="1"/>
  <c r="U185" i="1"/>
  <c r="T107" i="1"/>
  <c r="U107" i="1"/>
  <c r="T221" i="1"/>
  <c r="U221" i="1"/>
  <c r="T42" i="1"/>
  <c r="U42" i="1"/>
  <c r="U180" i="1"/>
  <c r="T180" i="1"/>
  <c r="T203" i="1"/>
  <c r="U203" i="1"/>
  <c r="U187" i="1"/>
  <c r="T187" i="1"/>
  <c r="T53" i="1"/>
  <c r="U53" i="1"/>
  <c r="T183" i="1"/>
  <c r="U183" i="1"/>
  <c r="T131" i="1"/>
  <c r="U131" i="1"/>
  <c r="U182" i="1"/>
  <c r="T182" i="1"/>
  <c r="T18" i="1"/>
  <c r="U18" i="1"/>
  <c r="T21" i="1"/>
  <c r="U21" i="1"/>
  <c r="T202" i="1"/>
  <c r="U202" i="1"/>
  <c r="T215" i="1"/>
  <c r="U215" i="1"/>
  <c r="R84" i="1"/>
  <c r="R36" i="1"/>
  <c r="R147" i="1"/>
  <c r="R122" i="1"/>
  <c r="R32" i="1"/>
  <c r="R193" i="1"/>
  <c r="R163" i="1"/>
  <c r="R142" i="1"/>
  <c r="R60" i="1"/>
  <c r="R56" i="1"/>
  <c r="R26" i="1"/>
  <c r="R8" i="1"/>
  <c r="R68" i="1"/>
  <c r="R45" i="1"/>
  <c r="R146" i="1"/>
  <c r="R209" i="1"/>
  <c r="R80" i="1"/>
  <c r="R9" i="1"/>
  <c r="R88" i="1"/>
  <c r="R82" i="1"/>
  <c r="R169" i="1"/>
  <c r="R207" i="1"/>
  <c r="R72" i="1"/>
  <c r="R85" i="1"/>
  <c r="R200" i="1"/>
  <c r="R34" i="1"/>
  <c r="R151" i="1"/>
  <c r="R16" i="1"/>
  <c r="R133" i="1"/>
  <c r="R164" i="1"/>
  <c r="R129" i="1"/>
  <c r="R156" i="1"/>
  <c r="R165" i="1"/>
  <c r="R15" i="1"/>
  <c r="R225" i="1"/>
  <c r="R170" i="1"/>
  <c r="R219" i="1"/>
  <c r="R218" i="1"/>
  <c r="R168" i="1"/>
  <c r="R235" i="1"/>
  <c r="R130" i="1"/>
  <c r="R69" i="1"/>
  <c r="R46" i="1"/>
  <c r="R220" i="1"/>
  <c r="R199" i="1"/>
  <c r="R25" i="1"/>
  <c r="R121" i="1"/>
  <c r="R145" i="1"/>
  <c r="R149" i="1"/>
  <c r="R190" i="1"/>
  <c r="R213" i="1"/>
  <c r="R236" i="1"/>
  <c r="R127" i="1"/>
  <c r="R186" i="1"/>
  <c r="R53" i="1"/>
  <c r="R183" i="1"/>
  <c r="R131" i="1"/>
  <c r="R182" i="1"/>
  <c r="R18" i="1"/>
  <c r="R21" i="1"/>
  <c r="R202" i="1"/>
  <c r="R215" i="1"/>
  <c r="R185" i="1"/>
  <c r="R187" i="1"/>
  <c r="R38" i="1"/>
  <c r="R223" i="1"/>
  <c r="R40" i="1"/>
  <c r="R155" i="1"/>
  <c r="R50" i="1"/>
  <c r="R143" i="1"/>
  <c r="R196" i="1"/>
  <c r="R33" i="1"/>
  <c r="R177" i="1"/>
  <c r="R73" i="1"/>
  <c r="R89" i="1"/>
  <c r="R166" i="1"/>
  <c r="R216" i="1"/>
  <c r="R92" i="1"/>
  <c r="R206" i="1"/>
  <c r="R39" i="1"/>
  <c r="R210" i="1"/>
  <c r="R42" i="1"/>
  <c r="R108" i="1"/>
  <c r="R111" i="1"/>
  <c r="R198" i="1"/>
  <c r="R231" i="1"/>
  <c r="R144" i="1"/>
  <c r="R152" i="1"/>
  <c r="R222" i="1"/>
  <c r="R49" i="1"/>
  <c r="R175" i="1"/>
  <c r="R150" i="1"/>
  <c r="R23" i="1"/>
  <c r="R30" i="1"/>
  <c r="R58" i="1"/>
  <c r="R87" i="1"/>
  <c r="R107" i="1"/>
  <c r="R102" i="1"/>
  <c r="R176" i="1"/>
  <c r="R217" i="1"/>
  <c r="R214" i="1"/>
  <c r="R226" i="1"/>
  <c r="R57" i="1"/>
  <c r="R195" i="1"/>
  <c r="R90" i="1"/>
  <c r="R178" i="1"/>
  <c r="R79" i="1"/>
  <c r="R229" i="1"/>
  <c r="R227" i="1"/>
  <c r="R14" i="1"/>
  <c r="R77" i="1"/>
  <c r="R13" i="1"/>
  <c r="R221" i="1"/>
  <c r="R24" i="1"/>
  <c r="R94" i="1"/>
  <c r="R103" i="1"/>
  <c r="R161" i="1"/>
  <c r="R208" i="1"/>
  <c r="R204" i="1"/>
  <c r="R172" i="1"/>
  <c r="R10" i="1"/>
  <c r="R5" i="1"/>
  <c r="R228" i="1"/>
  <c r="R22" i="1"/>
  <c r="R203" i="1"/>
  <c r="R212" i="1"/>
  <c r="R179" i="1"/>
  <c r="R134" i="1"/>
  <c r="R132" i="1"/>
  <c r="R28" i="1"/>
  <c r="R31" i="1"/>
  <c r="R154" i="1"/>
  <c r="R126" i="1"/>
  <c r="R138" i="1"/>
  <c r="R141" i="1"/>
  <c r="R66" i="1"/>
  <c r="R224" i="1"/>
  <c r="R99" i="1"/>
  <c r="R27" i="1"/>
  <c r="R44" i="1"/>
  <c r="R197" i="1"/>
  <c r="R232" i="1"/>
  <c r="R180" i="1"/>
  <c r="R75" i="1"/>
  <c r="R105" i="1"/>
  <c r="R191" i="1"/>
  <c r="R86" i="1"/>
  <c r="R41" i="1"/>
  <c r="R188" i="1"/>
  <c r="R83" i="1"/>
  <c r="R153" i="1"/>
  <c r="R114" i="1"/>
  <c r="R29" i="1"/>
  <c r="R234" i="1"/>
  <c r="R98" i="1"/>
  <c r="R52" i="1"/>
  <c r="R159" i="1"/>
  <c r="R189" i="1"/>
  <c r="R194" i="1"/>
  <c r="R233" i="1"/>
  <c r="R20" i="1"/>
  <c r="R78" i="1"/>
  <c r="R148" i="1"/>
  <c r="R174" i="1"/>
  <c r="R54" i="1"/>
  <c r="R240" i="1"/>
  <c r="R239" i="1"/>
  <c r="N237" i="1"/>
  <c r="S237" i="1" s="1"/>
  <c r="N238" i="1"/>
  <c r="S238" i="1" s="1"/>
  <c r="U238" i="1" l="1"/>
  <c r="T238" i="1"/>
  <c r="T237" i="1"/>
  <c r="U237" i="1"/>
  <c r="R237" i="1"/>
  <c r="R238" i="1"/>
  <c r="K4" i="1"/>
  <c r="V4" i="1" l="1"/>
  <c r="V1" i="1" s="1"/>
  <c r="Q4" i="1"/>
  <c r="N3" i="1"/>
  <c r="Q3" i="1"/>
  <c r="Q100" i="1"/>
  <c r="Q48" i="1"/>
  <c r="Q64" i="1"/>
  <c r="Q6" i="1"/>
  <c r="Q63" i="1"/>
  <c r="Q19" i="1"/>
  <c r="Q62" i="1"/>
  <c r="Q162" i="1"/>
  <c r="Q37" i="1"/>
  <c r="Q184" i="1"/>
  <c r="Q71" i="1"/>
  <c r="Q51" i="1"/>
  <c r="Q47" i="1"/>
  <c r="Q7" i="1"/>
  <c r="Q12" i="1"/>
  <c r="Q61" i="1"/>
  <c r="Q96" i="1"/>
  <c r="Q123" i="1"/>
  <c r="Q118" i="1"/>
  <c r="Q116" i="1"/>
  <c r="Q124" i="1"/>
  <c r="Q117" i="1"/>
  <c r="Q135" i="1"/>
  <c r="Q136" i="1"/>
  <c r="Q171" i="1"/>
  <c r="R3" i="1" l="1"/>
  <c r="S3" i="1"/>
  <c r="L115" i="1"/>
  <c r="M115" i="1" s="1"/>
  <c r="L162" i="1"/>
  <c r="M162" i="1" s="1"/>
  <c r="L171" i="1"/>
  <c r="M171" i="1" s="1"/>
  <c r="L157" i="1"/>
  <c r="M157" i="1" s="1"/>
  <c r="L65" i="1"/>
  <c r="M65" i="1" s="1"/>
  <c r="L158" i="1"/>
  <c r="M158" i="1" s="1"/>
  <c r="L160" i="1"/>
  <c r="M160" i="1" s="1"/>
  <c r="L67" i="1"/>
  <c r="M67" i="1" s="1"/>
  <c r="L167" i="1"/>
  <c r="M167" i="1" s="1"/>
  <c r="L181" i="1"/>
  <c r="M181" i="1" s="1"/>
  <c r="L230" i="1"/>
  <c r="M230" i="1" s="1"/>
  <c r="L184" i="1"/>
  <c r="M184" i="1" s="1"/>
  <c r="L74" i="1"/>
  <c r="M74" i="1" s="1"/>
  <c r="L93" i="1"/>
  <c r="M93" i="1" s="1"/>
  <c r="L55" i="1"/>
  <c r="M55" i="1" s="1"/>
  <c r="L81" i="1"/>
  <c r="M81" i="1" s="1"/>
  <c r="L91" i="1"/>
  <c r="M91" i="1" s="1"/>
  <c r="L59" i="1"/>
  <c r="M59" i="1" s="1"/>
  <c r="L119" i="1"/>
  <c r="M119" i="1" s="1"/>
  <c r="L137" i="1"/>
  <c r="M137" i="1" s="1"/>
  <c r="L4" i="1"/>
  <c r="M4" i="1" s="1"/>
  <c r="U3" i="1" l="1"/>
  <c r="T3" i="1"/>
  <c r="N81" i="1"/>
  <c r="S81" i="1" s="1"/>
  <c r="N157" i="1"/>
  <c r="S157" i="1" s="1"/>
  <c r="N74" i="1"/>
  <c r="S74" i="1" s="1"/>
  <c r="N4" i="1"/>
  <c r="S4" i="1" s="1"/>
  <c r="N230" i="1"/>
  <c r="S230" i="1" s="1"/>
  <c r="N167" i="1"/>
  <c r="S167" i="1" s="1"/>
  <c r="N137" i="1"/>
  <c r="S137" i="1" s="1"/>
  <c r="N67" i="1"/>
  <c r="S67" i="1" s="1"/>
  <c r="N55" i="1"/>
  <c r="S55" i="1" s="1"/>
  <c r="N119" i="1"/>
  <c r="S119" i="1" s="1"/>
  <c r="N160" i="1"/>
  <c r="S160" i="1" s="1"/>
  <c r="N171" i="1"/>
  <c r="S171" i="1" s="1"/>
  <c r="N59" i="1"/>
  <c r="S59" i="1" s="1"/>
  <c r="N158" i="1"/>
  <c r="S158" i="1" s="1"/>
  <c r="N162" i="1"/>
  <c r="S162" i="1" s="1"/>
  <c r="N65" i="1"/>
  <c r="S65" i="1" s="1"/>
  <c r="N115" i="1"/>
  <c r="S115" i="1" s="1"/>
  <c r="N93" i="1"/>
  <c r="S93" i="1" s="1"/>
  <c r="N184" i="1"/>
  <c r="S184" i="1" s="1"/>
  <c r="N181" i="1"/>
  <c r="S181" i="1" s="1"/>
  <c r="N91" i="1"/>
  <c r="S91" i="1" s="1"/>
  <c r="Q11" i="1"/>
  <c r="Q201" i="1"/>
  <c r="Q120" i="1"/>
  <c r="Q211" i="1"/>
  <c r="Q192" i="1"/>
  <c r="Q125" i="1"/>
  <c r="Q115" i="1"/>
  <c r="Q55" i="1"/>
  <c r="L211" i="1"/>
  <c r="M211" i="1" s="1"/>
  <c r="L192" i="1"/>
  <c r="M192" i="1" s="1"/>
  <c r="L125" i="1"/>
  <c r="M125" i="1" s="1"/>
  <c r="L11" i="1"/>
  <c r="M11" i="1" s="1"/>
  <c r="L201" i="1"/>
  <c r="M201" i="1" s="1"/>
  <c r="L120" i="1"/>
  <c r="M120" i="1" s="1"/>
  <c r="L96" i="1"/>
  <c r="M96" i="1" s="1"/>
  <c r="L116" i="1"/>
  <c r="M116" i="1" s="1"/>
  <c r="L136" i="1"/>
  <c r="M136" i="1" s="1"/>
  <c r="L12" i="1"/>
  <c r="M12" i="1" s="1"/>
  <c r="L71" i="1"/>
  <c r="M71" i="1" s="1"/>
  <c r="L117" i="1"/>
  <c r="M117" i="1" s="1"/>
  <c r="L51" i="1"/>
  <c r="M51" i="1" s="1"/>
  <c r="L61" i="1"/>
  <c r="M61" i="1" s="1"/>
  <c r="L123" i="1"/>
  <c r="M123" i="1" s="1"/>
  <c r="L6" i="1"/>
  <c r="M6" i="1" s="1"/>
  <c r="L63" i="1"/>
  <c r="M63" i="1" s="1"/>
  <c r="L47" i="1"/>
  <c r="M47" i="1" s="1"/>
  <c r="L62" i="1"/>
  <c r="M62" i="1" s="1"/>
  <c r="L3" i="1"/>
  <c r="M3" i="1" s="1"/>
  <c r="L37" i="1"/>
  <c r="M37" i="1" s="1"/>
  <c r="L124" i="1"/>
  <c r="M124" i="1" s="1"/>
  <c r="L64" i="1"/>
  <c r="M64" i="1" s="1"/>
  <c r="L135" i="1"/>
  <c r="M135" i="1" s="1"/>
  <c r="L48" i="1"/>
  <c r="M48" i="1" s="1"/>
  <c r="L19" i="1"/>
  <c r="M19" i="1" s="1"/>
  <c r="L118" i="1"/>
  <c r="M118" i="1" s="1"/>
  <c r="L7" i="1"/>
  <c r="M7" i="1" s="1"/>
  <c r="L100" i="1"/>
  <c r="M100" i="1" s="1"/>
  <c r="T137" i="1" l="1"/>
  <c r="U137" i="1"/>
  <c r="U91" i="1"/>
  <c r="T91" i="1"/>
  <c r="T93" i="1"/>
  <c r="U93" i="1"/>
  <c r="T167" i="1"/>
  <c r="U167" i="1"/>
  <c r="T230" i="1"/>
  <c r="U230" i="1"/>
  <c r="T181" i="1"/>
  <c r="U181" i="1"/>
  <c r="T115" i="1"/>
  <c r="U115" i="1"/>
  <c r="T65" i="1"/>
  <c r="U65" i="1"/>
  <c r="T4" i="1"/>
  <c r="U4" i="1"/>
  <c r="T119" i="1"/>
  <c r="U119" i="1"/>
  <c r="U162" i="1"/>
  <c r="T162" i="1"/>
  <c r="T74" i="1"/>
  <c r="U74" i="1"/>
  <c r="T55" i="1"/>
  <c r="U55" i="1"/>
  <c r="T184" i="1"/>
  <c r="U184" i="1"/>
  <c r="T158" i="1"/>
  <c r="U158" i="1"/>
  <c r="T157" i="1"/>
  <c r="U157" i="1"/>
  <c r="T67" i="1"/>
  <c r="U67" i="1"/>
  <c r="T59" i="1"/>
  <c r="U59" i="1"/>
  <c r="U171" i="1"/>
  <c r="T171" i="1"/>
  <c r="T81" i="1"/>
  <c r="U81" i="1"/>
  <c r="T160" i="1"/>
  <c r="U160" i="1"/>
  <c r="R184" i="1"/>
  <c r="R171" i="1"/>
  <c r="R160" i="1"/>
  <c r="R55" i="1"/>
  <c r="R67" i="1"/>
  <c r="R137" i="1"/>
  <c r="R115" i="1"/>
  <c r="R65" i="1"/>
  <c r="R162" i="1"/>
  <c r="R230" i="1"/>
  <c r="R158" i="1"/>
  <c r="R4" i="1"/>
  <c r="R119" i="1"/>
  <c r="R59" i="1"/>
  <c r="R74" i="1"/>
  <c r="R157" i="1"/>
  <c r="R81" i="1"/>
  <c r="N37" i="1"/>
  <c r="S37" i="1" s="1"/>
  <c r="N62" i="1"/>
  <c r="S62" i="1" s="1"/>
  <c r="N96" i="1"/>
  <c r="S96" i="1" s="1"/>
  <c r="N120" i="1"/>
  <c r="S120" i="1" s="1"/>
  <c r="N11" i="1"/>
  <c r="S11" i="1" s="1"/>
  <c r="N63" i="1"/>
  <c r="S63" i="1" s="1"/>
  <c r="N125" i="1"/>
  <c r="S125" i="1" s="1"/>
  <c r="N100" i="1"/>
  <c r="S100" i="1" s="1"/>
  <c r="N7" i="1"/>
  <c r="S7" i="1" s="1"/>
  <c r="N123" i="1"/>
  <c r="S123" i="1" s="1"/>
  <c r="N192" i="1"/>
  <c r="S192" i="1" s="1"/>
  <c r="N6" i="1"/>
  <c r="S6" i="1" s="1"/>
  <c r="N118" i="1"/>
  <c r="S118" i="1" s="1"/>
  <c r="N19" i="1"/>
  <c r="S19" i="1" s="1"/>
  <c r="N61" i="1"/>
  <c r="S61" i="1" s="1"/>
  <c r="N211" i="1"/>
  <c r="S211" i="1" s="1"/>
  <c r="N201" i="1"/>
  <c r="S201" i="1" s="1"/>
  <c r="N48" i="1"/>
  <c r="S48" i="1" s="1"/>
  <c r="N117" i="1"/>
  <c r="S117" i="1" s="1"/>
  <c r="N51" i="1"/>
  <c r="S51" i="1" s="1"/>
  <c r="N135" i="1"/>
  <c r="S135" i="1" s="1"/>
  <c r="N64" i="1"/>
  <c r="S64" i="1" s="1"/>
  <c r="N71" i="1"/>
  <c r="S71" i="1" s="1"/>
  <c r="R167" i="1"/>
  <c r="N124" i="1"/>
  <c r="S124" i="1" s="1"/>
  <c r="N12" i="1"/>
  <c r="S12" i="1" s="1"/>
  <c r="N136" i="1"/>
  <c r="S136" i="1" s="1"/>
  <c r="N116" i="1"/>
  <c r="S116" i="1" s="1"/>
  <c r="R91" i="1"/>
  <c r="R181" i="1"/>
  <c r="R93" i="1"/>
  <c r="N47" i="1"/>
  <c r="S47" i="1" s="1"/>
  <c r="T64" i="1" l="1"/>
  <c r="U64" i="1"/>
  <c r="T123" i="1"/>
  <c r="U123" i="1"/>
  <c r="U124" i="1"/>
  <c r="T124" i="1"/>
  <c r="T192" i="1"/>
  <c r="U192" i="1"/>
  <c r="T135" i="1"/>
  <c r="U135" i="1"/>
  <c r="T117" i="1"/>
  <c r="U117" i="1"/>
  <c r="U125" i="1"/>
  <c r="T125" i="1"/>
  <c r="T118" i="1"/>
  <c r="U118" i="1"/>
  <c r="T7" i="1"/>
  <c r="U7" i="1"/>
  <c r="T48" i="1"/>
  <c r="U48" i="1"/>
  <c r="T63" i="1"/>
  <c r="U63" i="1"/>
  <c r="T37" i="1"/>
  <c r="U37" i="1"/>
  <c r="T51" i="1"/>
  <c r="U51" i="1"/>
  <c r="T201" i="1"/>
  <c r="U201" i="1"/>
  <c r="T11" i="1"/>
  <c r="U11" i="1"/>
  <c r="T211" i="1"/>
  <c r="U211" i="1"/>
  <c r="T71" i="1"/>
  <c r="U71" i="1"/>
  <c r="T100" i="1"/>
  <c r="U100" i="1"/>
  <c r="T120" i="1"/>
  <c r="U120" i="1"/>
  <c r="T61" i="1"/>
  <c r="U61" i="1"/>
  <c r="T96" i="1"/>
  <c r="U96" i="1"/>
  <c r="T6" i="1"/>
  <c r="U6" i="1"/>
  <c r="T47" i="1"/>
  <c r="U47" i="1"/>
  <c r="T116" i="1"/>
  <c r="U116" i="1"/>
  <c r="T136" i="1"/>
  <c r="U136" i="1"/>
  <c r="T12" i="1"/>
  <c r="U12" i="1"/>
  <c r="T19" i="1"/>
  <c r="U19" i="1"/>
  <c r="T62" i="1"/>
  <c r="U62" i="1"/>
  <c r="R19" i="1"/>
  <c r="R51" i="1"/>
  <c r="R7" i="1"/>
  <c r="R96" i="1"/>
  <c r="R192" i="1"/>
  <c r="R117" i="1"/>
  <c r="R62" i="1"/>
  <c r="R71" i="1"/>
  <c r="R6" i="1"/>
  <c r="R123" i="1"/>
  <c r="R201" i="1"/>
  <c r="R125" i="1"/>
  <c r="R120" i="1"/>
  <c r="R64" i="1"/>
  <c r="R136" i="1"/>
  <c r="R63" i="1"/>
  <c r="R135" i="1"/>
  <c r="R116" i="1"/>
  <c r="R11" i="1"/>
  <c r="R118" i="1"/>
  <c r="R37" i="1"/>
  <c r="R48" i="1"/>
  <c r="R211" i="1"/>
  <c r="R12" i="1"/>
  <c r="R61" i="1"/>
  <c r="R124" i="1"/>
  <c r="R100" i="1"/>
  <c r="R47" i="1"/>
  <c r="L205" i="1" l="1"/>
  <c r="M205" i="1" s="1"/>
  <c r="N205" i="1" l="1"/>
  <c r="S205" i="1" s="1"/>
  <c r="T205" i="1" l="1"/>
  <c r="U205" i="1"/>
  <c r="R205" i="1"/>
  <c r="G24" i="2" l="1"/>
  <c r="G36" i="2"/>
  <c r="G48" i="2"/>
  <c r="G60" i="2"/>
  <c r="G46" i="2"/>
  <c r="G11" i="2"/>
  <c r="G47" i="2"/>
  <c r="G35" i="2"/>
  <c r="G22" i="2"/>
  <c r="G34" i="2"/>
  <c r="F47" i="2"/>
  <c r="F35" i="2"/>
  <c r="G10" i="2"/>
  <c r="F23" i="2"/>
  <c r="G58" i="2"/>
  <c r="G12" i="2"/>
  <c r="F11" i="2"/>
  <c r="F363" i="2"/>
  <c r="F442" i="2"/>
  <c r="F418" i="2"/>
  <c r="G393" i="2"/>
  <c r="G357" i="2"/>
  <c r="G321" i="2"/>
  <c r="F285" i="2"/>
  <c r="F225" i="2"/>
  <c r="F399" i="2"/>
  <c r="F460" i="2"/>
  <c r="G477" i="2"/>
  <c r="G459" i="2"/>
  <c r="G441" i="2"/>
  <c r="G417" i="2"/>
  <c r="F393" i="2"/>
  <c r="F357" i="2"/>
  <c r="F321" i="2"/>
  <c r="F219" i="2"/>
  <c r="F423" i="2"/>
  <c r="F477" i="2"/>
  <c r="F459" i="2"/>
  <c r="F441" i="2"/>
  <c r="F417" i="2"/>
  <c r="G387" i="2"/>
  <c r="G351" i="2"/>
  <c r="G315" i="2"/>
  <c r="F213" i="2"/>
  <c r="F231" i="2"/>
  <c r="G476" i="2"/>
  <c r="G458" i="2"/>
  <c r="F436" i="2"/>
  <c r="F412" i="2"/>
  <c r="F387" i="2"/>
  <c r="F351" i="2"/>
  <c r="F315" i="2"/>
  <c r="F279" i="2"/>
  <c r="F207" i="2"/>
  <c r="G446" i="2"/>
  <c r="F472" i="2"/>
  <c r="F454" i="2"/>
  <c r="G435" i="2"/>
  <c r="G411" i="2"/>
  <c r="G381" i="2"/>
  <c r="G345" i="2"/>
  <c r="G309" i="2"/>
  <c r="F273" i="2"/>
  <c r="F201" i="2"/>
  <c r="F291" i="2"/>
  <c r="G471" i="2"/>
  <c r="G453" i="2"/>
  <c r="F435" i="2"/>
  <c r="F411" i="2"/>
  <c r="F381" i="2"/>
  <c r="F345" i="2"/>
  <c r="F309" i="2"/>
  <c r="F267" i="2"/>
  <c r="F195" i="2"/>
  <c r="F327" i="2"/>
  <c r="F471" i="2"/>
  <c r="F453" i="2"/>
  <c r="F430" i="2"/>
  <c r="F406" i="2"/>
  <c r="G375" i="2"/>
  <c r="G339" i="2"/>
  <c r="G303" i="2"/>
  <c r="F261" i="2"/>
  <c r="F189" i="2"/>
  <c r="G464" i="2"/>
  <c r="G470" i="2"/>
  <c r="G452" i="2"/>
  <c r="G429" i="2"/>
  <c r="G405" i="2"/>
  <c r="F375" i="2"/>
  <c r="F339" i="2"/>
  <c r="F303" i="2"/>
  <c r="F255" i="2"/>
  <c r="F183" i="2"/>
  <c r="F448" i="2"/>
  <c r="F429" i="2"/>
  <c r="F405" i="2"/>
  <c r="G369" i="2"/>
  <c r="G333" i="2"/>
  <c r="G297" i="2"/>
  <c r="F249" i="2"/>
  <c r="F177" i="2"/>
  <c r="F466" i="2"/>
  <c r="F424" i="2"/>
  <c r="F400" i="2"/>
  <c r="F369" i="2"/>
  <c r="F333" i="2"/>
  <c r="F297" i="2"/>
  <c r="F243" i="2"/>
  <c r="F171" i="2"/>
  <c r="G465" i="2"/>
  <c r="G447" i="2"/>
  <c r="F465" i="2"/>
  <c r="F447" i="2"/>
  <c r="G423" i="2"/>
  <c r="G399" i="2"/>
  <c r="G363" i="2"/>
  <c r="G327" i="2"/>
  <c r="G291" i="2"/>
  <c r="F237" i="2"/>
  <c r="G285" i="2"/>
  <c r="G279" i="2"/>
  <c r="G273" i="2"/>
  <c r="G267" i="2"/>
  <c r="G261" i="2"/>
  <c r="G255" i="2"/>
  <c r="G249" i="2"/>
  <c r="G243" i="2"/>
  <c r="G237" i="2"/>
  <c r="G231" i="2"/>
  <c r="G225" i="2"/>
  <c r="G219" i="2"/>
  <c r="G213" i="2"/>
  <c r="G207" i="2"/>
  <c r="G201" i="2"/>
  <c r="G195" i="2"/>
  <c r="G189" i="2"/>
  <c r="G183" i="2"/>
  <c r="G177" i="2"/>
  <c r="G171" i="2"/>
  <c r="G165" i="2"/>
  <c r="G159" i="2"/>
  <c r="G153" i="2"/>
  <c r="G147" i="2"/>
  <c r="G141" i="2"/>
  <c r="G135" i="2"/>
  <c r="G129" i="2"/>
  <c r="G123" i="2"/>
  <c r="G117" i="2"/>
  <c r="G111" i="2"/>
  <c r="G105" i="2"/>
  <c r="G99" i="2"/>
  <c r="G93" i="2"/>
  <c r="G87" i="2"/>
  <c r="G81" i="2"/>
  <c r="G75" i="2"/>
  <c r="G69" i="2"/>
  <c r="G63" i="2"/>
  <c r="G55" i="2"/>
  <c r="G49" i="2"/>
  <c r="G40" i="2"/>
  <c r="G31" i="2"/>
  <c r="G25" i="2"/>
  <c r="F17" i="2"/>
  <c r="F8" i="2"/>
  <c r="F24" i="2"/>
  <c r="F165" i="2"/>
  <c r="F159" i="2"/>
  <c r="F153" i="2"/>
  <c r="F147" i="2"/>
  <c r="F141" i="2"/>
  <c r="F135" i="2"/>
  <c r="F129" i="2"/>
  <c r="F123" i="2"/>
  <c r="F117" i="2"/>
  <c r="F111" i="2"/>
  <c r="F105" i="2"/>
  <c r="F99" i="2"/>
  <c r="F93" i="2"/>
  <c r="F87" i="2"/>
  <c r="F81" i="2"/>
  <c r="F75" i="2"/>
  <c r="F69" i="2"/>
  <c r="F63" i="2"/>
  <c r="F55" i="2"/>
  <c r="F49" i="2"/>
  <c r="F40" i="2"/>
  <c r="F31" i="2"/>
  <c r="F25" i="2"/>
  <c r="G16" i="2"/>
  <c r="G7" i="2"/>
  <c r="F34" i="2"/>
  <c r="G440" i="2"/>
  <c r="G434" i="2"/>
  <c r="G428" i="2"/>
  <c r="G422" i="2"/>
  <c r="G416" i="2"/>
  <c r="G410" i="2"/>
  <c r="G404" i="2"/>
  <c r="G398" i="2"/>
  <c r="G392" i="2"/>
  <c r="G386" i="2"/>
  <c r="G380" i="2"/>
  <c r="G374" i="2"/>
  <c r="G368" i="2"/>
  <c r="G362" i="2"/>
  <c r="G356" i="2"/>
  <c r="G350" i="2"/>
  <c r="G344" i="2"/>
  <c r="G338" i="2"/>
  <c r="G332" i="2"/>
  <c r="G326" i="2"/>
  <c r="G320" i="2"/>
  <c r="G314" i="2"/>
  <c r="G308" i="2"/>
  <c r="G302" i="2"/>
  <c r="G296" i="2"/>
  <c r="G290" i="2"/>
  <c r="G278" i="2"/>
  <c r="G272" i="2"/>
  <c r="G266" i="2"/>
  <c r="G260" i="2"/>
  <c r="G254" i="2"/>
  <c r="G248" i="2"/>
  <c r="G242" i="2"/>
  <c r="G236" i="2"/>
  <c r="G230" i="2"/>
  <c r="G224" i="2"/>
  <c r="G218" i="2"/>
  <c r="G212" i="2"/>
  <c r="G206" i="2"/>
  <c r="G200" i="2"/>
  <c r="G194" i="2"/>
  <c r="G188" i="2"/>
  <c r="G182" i="2"/>
  <c r="G176" i="2"/>
  <c r="G170" i="2"/>
  <c r="G164" i="2"/>
  <c r="G158" i="2"/>
  <c r="G152" i="2"/>
  <c r="G146" i="2"/>
  <c r="G140" i="2"/>
  <c r="G134" i="2"/>
  <c r="G128" i="2"/>
  <c r="G122" i="2"/>
  <c r="G116" i="2"/>
  <c r="G110" i="2"/>
  <c r="G104" i="2"/>
  <c r="G98" i="2"/>
  <c r="G92" i="2"/>
  <c r="G86" i="2"/>
  <c r="G80" i="2"/>
  <c r="G74" i="2"/>
  <c r="G68" i="2"/>
  <c r="G62" i="2"/>
  <c r="G54" i="2"/>
  <c r="G45" i="2"/>
  <c r="G39" i="2"/>
  <c r="G30" i="2"/>
  <c r="G23" i="2"/>
  <c r="F16" i="2"/>
  <c r="F7" i="2"/>
  <c r="F36" i="2"/>
  <c r="F428" i="2"/>
  <c r="F422" i="2"/>
  <c r="F416" i="2"/>
  <c r="F410" i="2"/>
  <c r="F404" i="2"/>
  <c r="F398" i="2"/>
  <c r="F392" i="2"/>
  <c r="F386" i="2"/>
  <c r="F380" i="2"/>
  <c r="F374" i="2"/>
  <c r="F368" i="2"/>
  <c r="F362" i="2"/>
  <c r="F356" i="2"/>
  <c r="F350" i="2"/>
  <c r="F344" i="2"/>
  <c r="F338" i="2"/>
  <c r="F332" i="2"/>
  <c r="F326" i="2"/>
  <c r="F320" i="2"/>
  <c r="F314" i="2"/>
  <c r="F308" i="2"/>
  <c r="F302" i="2"/>
  <c r="F296" i="2"/>
  <c r="F290" i="2"/>
  <c r="F278" i="2"/>
  <c r="F272" i="2"/>
  <c r="F266" i="2"/>
  <c r="F260" i="2"/>
  <c r="F254" i="2"/>
  <c r="F248" i="2"/>
  <c r="F242" i="2"/>
  <c r="F236" i="2"/>
  <c r="F230" i="2"/>
  <c r="F224" i="2"/>
  <c r="F218" i="2"/>
  <c r="F212" i="2"/>
  <c r="F206" i="2"/>
  <c r="F200" i="2"/>
  <c r="F194" i="2"/>
  <c r="F188" i="2"/>
  <c r="F182" i="2"/>
  <c r="F176" i="2"/>
  <c r="F170" i="2"/>
  <c r="F164" i="2"/>
  <c r="F158" i="2"/>
  <c r="F152" i="2"/>
  <c r="F146" i="2"/>
  <c r="F140" i="2"/>
  <c r="F134" i="2"/>
  <c r="F128" i="2"/>
  <c r="F122" i="2"/>
  <c r="F116" i="2"/>
  <c r="F110" i="2"/>
  <c r="F104" i="2"/>
  <c r="F98" i="2"/>
  <c r="F92" i="2"/>
  <c r="F86" i="2"/>
  <c r="F80" i="2"/>
  <c r="F74" i="2"/>
  <c r="F68" i="2"/>
  <c r="F62" i="2"/>
  <c r="F54" i="2"/>
  <c r="F45" i="2"/>
  <c r="F39" i="2"/>
  <c r="F30" i="2"/>
  <c r="G21" i="2"/>
  <c r="G15" i="2"/>
  <c r="G6" i="2"/>
  <c r="F46" i="2"/>
  <c r="F470" i="2"/>
  <c r="F446" i="2"/>
  <c r="G475" i="2"/>
  <c r="G469" i="2"/>
  <c r="G463" i="2"/>
  <c r="G457" i="2"/>
  <c r="G451" i="2"/>
  <c r="G445" i="2"/>
  <c r="G439" i="2"/>
  <c r="G433" i="2"/>
  <c r="G427" i="2"/>
  <c r="G421" i="2"/>
  <c r="G415" i="2"/>
  <c r="G409" i="2"/>
  <c r="G403" i="2"/>
  <c r="G397" i="2"/>
  <c r="G391" i="2"/>
  <c r="G385" i="2"/>
  <c r="G379" i="2"/>
  <c r="G373" i="2"/>
  <c r="G367" i="2"/>
  <c r="G361" i="2"/>
  <c r="G355" i="2"/>
  <c r="G349" i="2"/>
  <c r="G343" i="2"/>
  <c r="G337" i="2"/>
  <c r="G331" i="2"/>
  <c r="G325" i="2"/>
  <c r="G319" i="2"/>
  <c r="G313" i="2"/>
  <c r="G307" i="2"/>
  <c r="G301" i="2"/>
  <c r="G295" i="2"/>
  <c r="G289" i="2"/>
  <c r="G283" i="2"/>
  <c r="G277" i="2"/>
  <c r="G271" i="2"/>
  <c r="G265" i="2"/>
  <c r="G259" i="2"/>
  <c r="G253" i="2"/>
  <c r="G247" i="2"/>
  <c r="G241" i="2"/>
  <c r="G235" i="2"/>
  <c r="G229" i="2"/>
  <c r="G223" i="2"/>
  <c r="G217" i="2"/>
  <c r="G211" i="2"/>
  <c r="G205" i="2"/>
  <c r="G199" i="2"/>
  <c r="G193" i="2"/>
  <c r="G187" i="2"/>
  <c r="G181" i="2"/>
  <c r="G175" i="2"/>
  <c r="G169" i="2"/>
  <c r="G163" i="2"/>
  <c r="G157" i="2"/>
  <c r="G151" i="2"/>
  <c r="G145" i="2"/>
  <c r="G139" i="2"/>
  <c r="G133" i="2"/>
  <c r="G127" i="2"/>
  <c r="G121" i="2"/>
  <c r="G115" i="2"/>
  <c r="G109" i="2"/>
  <c r="G103" i="2"/>
  <c r="G97" i="2"/>
  <c r="G91" i="2"/>
  <c r="G85" i="2"/>
  <c r="G79" i="2"/>
  <c r="G73" i="2"/>
  <c r="G67" i="2"/>
  <c r="G61" i="2"/>
  <c r="G53" i="2"/>
  <c r="G44" i="2"/>
  <c r="G38" i="2"/>
  <c r="G29" i="2"/>
  <c r="F21" i="2"/>
  <c r="F15" i="2"/>
  <c r="F6" i="2"/>
  <c r="F48" i="2"/>
  <c r="F464" i="2"/>
  <c r="F433" i="2"/>
  <c r="F427" i="2"/>
  <c r="F421" i="2"/>
  <c r="F415" i="2"/>
  <c r="F409" i="2"/>
  <c r="F403" i="2"/>
  <c r="F397" i="2"/>
  <c r="F391" i="2"/>
  <c r="F385" i="2"/>
  <c r="F379" i="2"/>
  <c r="F373" i="2"/>
  <c r="F367" i="2"/>
  <c r="F361" i="2"/>
  <c r="F355" i="2"/>
  <c r="F349" i="2"/>
  <c r="F343" i="2"/>
  <c r="F337" i="2"/>
  <c r="F331" i="2"/>
  <c r="F325" i="2"/>
  <c r="F319" i="2"/>
  <c r="F313" i="2"/>
  <c r="F307" i="2"/>
  <c r="F301" i="2"/>
  <c r="F295" i="2"/>
  <c r="F289" i="2"/>
  <c r="F283" i="2"/>
  <c r="F277" i="2"/>
  <c r="F271" i="2"/>
  <c r="F265" i="2"/>
  <c r="F259" i="2"/>
  <c r="F253" i="2"/>
  <c r="F247" i="2"/>
  <c r="F241" i="2"/>
  <c r="F235" i="2"/>
  <c r="F229" i="2"/>
  <c r="F223" i="2"/>
  <c r="F217" i="2"/>
  <c r="F211" i="2"/>
  <c r="F205" i="2"/>
  <c r="F199" i="2"/>
  <c r="F193" i="2"/>
  <c r="F187" i="2"/>
  <c r="F181" i="2"/>
  <c r="F175" i="2"/>
  <c r="F169" i="2"/>
  <c r="F163" i="2"/>
  <c r="F157" i="2"/>
  <c r="F151" i="2"/>
  <c r="F145" i="2"/>
  <c r="F139" i="2"/>
  <c r="F133" i="2"/>
  <c r="F127" i="2"/>
  <c r="F121" i="2"/>
  <c r="F115" i="2"/>
  <c r="F109" i="2"/>
  <c r="F103" i="2"/>
  <c r="F97" i="2"/>
  <c r="F91" i="2"/>
  <c r="F85" i="2"/>
  <c r="F79" i="2"/>
  <c r="F73" i="2"/>
  <c r="F67" i="2"/>
  <c r="F61" i="2"/>
  <c r="F53" i="2"/>
  <c r="F44" i="2"/>
  <c r="F38" i="2"/>
  <c r="F29" i="2"/>
  <c r="G20" i="2"/>
  <c r="G14" i="2"/>
  <c r="G5" i="2"/>
  <c r="F58" i="2"/>
  <c r="F434" i="2"/>
  <c r="F463" i="2"/>
  <c r="G474" i="2"/>
  <c r="G426" i="2"/>
  <c r="G396" i="2"/>
  <c r="G390" i="2"/>
  <c r="G384" i="2"/>
  <c r="G378" i="2"/>
  <c r="G372" i="2"/>
  <c r="G366" i="2"/>
  <c r="G360" i="2"/>
  <c r="G354" i="2"/>
  <c r="G348" i="2"/>
  <c r="G342" i="2"/>
  <c r="G336" i="2"/>
  <c r="G330" i="2"/>
  <c r="G324" i="2"/>
  <c r="G318" i="2"/>
  <c r="G312" i="2"/>
  <c r="G306" i="2"/>
  <c r="G300" i="2"/>
  <c r="G294" i="2"/>
  <c r="G288" i="2"/>
  <c r="G282" i="2"/>
  <c r="G276" i="2"/>
  <c r="G270" i="2"/>
  <c r="G264" i="2"/>
  <c r="G258" i="2"/>
  <c r="G252" i="2"/>
  <c r="G246" i="2"/>
  <c r="G240" i="2"/>
  <c r="G234" i="2"/>
  <c r="G228" i="2"/>
  <c r="G222" i="2"/>
  <c r="G216" i="2"/>
  <c r="G210" i="2"/>
  <c r="G204" i="2"/>
  <c r="G198" i="2"/>
  <c r="G192" i="2"/>
  <c r="G186" i="2"/>
  <c r="G180" i="2"/>
  <c r="G174" i="2"/>
  <c r="G168" i="2"/>
  <c r="G162" i="2"/>
  <c r="G156" i="2"/>
  <c r="G150" i="2"/>
  <c r="G144" i="2"/>
  <c r="G138" i="2"/>
  <c r="G132" i="2"/>
  <c r="G126" i="2"/>
  <c r="G120" i="2"/>
  <c r="G114" i="2"/>
  <c r="G108" i="2"/>
  <c r="G102" i="2"/>
  <c r="G96" i="2"/>
  <c r="G90" i="2"/>
  <c r="G84" i="2"/>
  <c r="G78" i="2"/>
  <c r="G72" i="2"/>
  <c r="G66" i="2"/>
  <c r="G59" i="2"/>
  <c r="G52" i="2"/>
  <c r="G43" i="2"/>
  <c r="G37" i="2"/>
  <c r="G28" i="2"/>
  <c r="F20" i="2"/>
  <c r="F14" i="2"/>
  <c r="F5" i="2"/>
  <c r="F60" i="2"/>
  <c r="F476" i="2"/>
  <c r="F452" i="2"/>
  <c r="F475" i="2"/>
  <c r="F445" i="2"/>
  <c r="G468" i="2"/>
  <c r="G420" i="2"/>
  <c r="F474" i="2"/>
  <c r="F456" i="2"/>
  <c r="F450" i="2"/>
  <c r="F444" i="2"/>
  <c r="F438" i="2"/>
  <c r="F432" i="2"/>
  <c r="F426" i="2"/>
  <c r="F420" i="2"/>
  <c r="F414" i="2"/>
  <c r="F408" i="2"/>
  <c r="F402" i="2"/>
  <c r="F396" i="2"/>
  <c r="F390" i="2"/>
  <c r="F384" i="2"/>
  <c r="F378" i="2"/>
  <c r="F372" i="2"/>
  <c r="F366" i="2"/>
  <c r="F360" i="2"/>
  <c r="F354" i="2"/>
  <c r="F348" i="2"/>
  <c r="F342" i="2"/>
  <c r="F336" i="2"/>
  <c r="F330" i="2"/>
  <c r="F324" i="2"/>
  <c r="F318" i="2"/>
  <c r="F312" i="2"/>
  <c r="F306" i="2"/>
  <c r="F300" i="2"/>
  <c r="F294" i="2"/>
  <c r="F288" i="2"/>
  <c r="F282" i="2"/>
  <c r="F276" i="2"/>
  <c r="F270" i="2"/>
  <c r="F264" i="2"/>
  <c r="F258" i="2"/>
  <c r="F252" i="2"/>
  <c r="F246" i="2"/>
  <c r="F240" i="2"/>
  <c r="F234" i="2"/>
  <c r="F228" i="2"/>
  <c r="F222" i="2"/>
  <c r="F216" i="2"/>
  <c r="F210" i="2"/>
  <c r="F204" i="2"/>
  <c r="F198" i="2"/>
  <c r="F192" i="2"/>
  <c r="F186" i="2"/>
  <c r="F180" i="2"/>
  <c r="F174" i="2"/>
  <c r="F168" i="2"/>
  <c r="F162" i="2"/>
  <c r="F156" i="2"/>
  <c r="F150" i="2"/>
  <c r="F144" i="2"/>
  <c r="F138" i="2"/>
  <c r="F132" i="2"/>
  <c r="F126" i="2"/>
  <c r="F120" i="2"/>
  <c r="F114" i="2"/>
  <c r="F108" i="2"/>
  <c r="F102" i="2"/>
  <c r="F96" i="2"/>
  <c r="F90" i="2"/>
  <c r="F84" i="2"/>
  <c r="F78" i="2"/>
  <c r="F72" i="2"/>
  <c r="F66" i="2"/>
  <c r="F59" i="2"/>
  <c r="F52" i="2"/>
  <c r="F43" i="2"/>
  <c r="F37" i="2"/>
  <c r="F28" i="2"/>
  <c r="G19" i="2"/>
  <c r="G13" i="2"/>
  <c r="G4" i="2"/>
  <c r="F440" i="2"/>
  <c r="F469" i="2"/>
  <c r="F451" i="2"/>
  <c r="G462" i="2"/>
  <c r="G456" i="2"/>
  <c r="G450" i="2"/>
  <c r="G444" i="2"/>
  <c r="G414" i="2"/>
  <c r="G467" i="2"/>
  <c r="G455" i="2"/>
  <c r="G449" i="2"/>
  <c r="G437" i="2"/>
  <c r="G431" i="2"/>
  <c r="G425" i="2"/>
  <c r="G419" i="2"/>
  <c r="G413" i="2"/>
  <c r="G407" i="2"/>
  <c r="G401" i="2"/>
  <c r="G395" i="2"/>
  <c r="G389" i="2"/>
  <c r="G383" i="2"/>
  <c r="G377" i="2"/>
  <c r="G371" i="2"/>
  <c r="G365" i="2"/>
  <c r="G359" i="2"/>
  <c r="G353" i="2"/>
  <c r="G347" i="2"/>
  <c r="G341" i="2"/>
  <c r="G335" i="2"/>
  <c r="G329" i="2"/>
  <c r="G323" i="2"/>
  <c r="G317" i="2"/>
  <c r="G311" i="2"/>
  <c r="G305" i="2"/>
  <c r="G299" i="2"/>
  <c r="G293" i="2"/>
  <c r="G287" i="2"/>
  <c r="G281" i="2"/>
  <c r="G275" i="2"/>
  <c r="G269" i="2"/>
  <c r="G263" i="2"/>
  <c r="G257" i="2"/>
  <c r="G251" i="2"/>
  <c r="G245" i="2"/>
  <c r="G239" i="2"/>
  <c r="G233" i="2"/>
  <c r="G227" i="2"/>
  <c r="G221" i="2"/>
  <c r="G215" i="2"/>
  <c r="G209" i="2"/>
  <c r="G203" i="2"/>
  <c r="G197" i="2"/>
  <c r="G191" i="2"/>
  <c r="G185" i="2"/>
  <c r="G179" i="2"/>
  <c r="G173" i="2"/>
  <c r="G167" i="2"/>
  <c r="G161" i="2"/>
  <c r="G155" i="2"/>
  <c r="G149" i="2"/>
  <c r="G143" i="2"/>
  <c r="G137" i="2"/>
  <c r="G131" i="2"/>
  <c r="G125" i="2"/>
  <c r="G119" i="2"/>
  <c r="G113" i="2"/>
  <c r="G107" i="2"/>
  <c r="G101" i="2"/>
  <c r="G95" i="2"/>
  <c r="G89" i="2"/>
  <c r="G83" i="2"/>
  <c r="G77" i="2"/>
  <c r="G71" i="2"/>
  <c r="G65" i="2"/>
  <c r="G57" i="2"/>
  <c r="G51" i="2"/>
  <c r="G42" i="2"/>
  <c r="G33" i="2"/>
  <c r="G27" i="2"/>
  <c r="F19" i="2"/>
  <c r="F13" i="2"/>
  <c r="F4" i="2"/>
  <c r="F439" i="2"/>
  <c r="G438" i="2"/>
  <c r="G402" i="2"/>
  <c r="F462" i="2"/>
  <c r="G473" i="2"/>
  <c r="G461" i="2"/>
  <c r="G443" i="2"/>
  <c r="F473" i="2"/>
  <c r="F467" i="2"/>
  <c r="F461" i="2"/>
  <c r="F455" i="2"/>
  <c r="F449" i="2"/>
  <c r="F443" i="2"/>
  <c r="F437" i="2"/>
  <c r="F431" i="2"/>
  <c r="F425" i="2"/>
  <c r="F419" i="2"/>
  <c r="F413" i="2"/>
  <c r="F407" i="2"/>
  <c r="F401" i="2"/>
  <c r="F395" i="2"/>
  <c r="F389" i="2"/>
  <c r="F383" i="2"/>
  <c r="F377" i="2"/>
  <c r="F371" i="2"/>
  <c r="F365" i="2"/>
  <c r="F359" i="2"/>
  <c r="F353" i="2"/>
  <c r="F347" i="2"/>
  <c r="F341" i="2"/>
  <c r="F335" i="2"/>
  <c r="F329" i="2"/>
  <c r="F323" i="2"/>
  <c r="F317" i="2"/>
  <c r="F311" i="2"/>
  <c r="F305" i="2"/>
  <c r="F299" i="2"/>
  <c r="F293" i="2"/>
  <c r="F287" i="2"/>
  <c r="F281" i="2"/>
  <c r="F275" i="2"/>
  <c r="F269" i="2"/>
  <c r="F263" i="2"/>
  <c r="F257" i="2"/>
  <c r="F251" i="2"/>
  <c r="F245" i="2"/>
  <c r="F239" i="2"/>
  <c r="F233" i="2"/>
  <c r="F227" i="2"/>
  <c r="F221" i="2"/>
  <c r="F215" i="2"/>
  <c r="F209" i="2"/>
  <c r="F203" i="2"/>
  <c r="F197" i="2"/>
  <c r="F191" i="2"/>
  <c r="F185" i="2"/>
  <c r="F179" i="2"/>
  <c r="F173" i="2"/>
  <c r="F167" i="2"/>
  <c r="F161" i="2"/>
  <c r="F155" i="2"/>
  <c r="F149" i="2"/>
  <c r="F143" i="2"/>
  <c r="F137" i="2"/>
  <c r="F131" i="2"/>
  <c r="F125" i="2"/>
  <c r="F119" i="2"/>
  <c r="F113" i="2"/>
  <c r="F107" i="2"/>
  <c r="F101" i="2"/>
  <c r="F95" i="2"/>
  <c r="F89" i="2"/>
  <c r="F83" i="2"/>
  <c r="F77" i="2"/>
  <c r="F71" i="2"/>
  <c r="F65" i="2"/>
  <c r="F57" i="2"/>
  <c r="F51" i="2"/>
  <c r="F42" i="2"/>
  <c r="F33" i="2"/>
  <c r="F27" i="2"/>
  <c r="G18" i="2"/>
  <c r="G9" i="2"/>
  <c r="G3" i="2"/>
  <c r="F10" i="2"/>
  <c r="F458" i="2"/>
  <c r="F457" i="2"/>
  <c r="G432" i="2"/>
  <c r="G408" i="2"/>
  <c r="F468" i="2"/>
  <c r="F2" i="2"/>
  <c r="G472" i="2"/>
  <c r="G466" i="2"/>
  <c r="G460" i="2"/>
  <c r="G454" i="2"/>
  <c r="G448" i="2"/>
  <c r="G442" i="2"/>
  <c r="G436" i="2"/>
  <c r="G430" i="2"/>
  <c r="G424" i="2"/>
  <c r="G418" i="2"/>
  <c r="G412" i="2"/>
  <c r="G406" i="2"/>
  <c r="G400" i="2"/>
  <c r="G394" i="2"/>
  <c r="G388" i="2"/>
  <c r="G382" i="2"/>
  <c r="G376" i="2"/>
  <c r="G370" i="2"/>
  <c r="G364" i="2"/>
  <c r="G358" i="2"/>
  <c r="G352" i="2"/>
  <c r="G346" i="2"/>
  <c r="G340" i="2"/>
  <c r="G334" i="2"/>
  <c r="G328" i="2"/>
  <c r="G322" i="2"/>
  <c r="G316" i="2"/>
  <c r="G310" i="2"/>
  <c r="G304" i="2"/>
  <c r="G298" i="2"/>
  <c r="G292" i="2"/>
  <c r="G286" i="2"/>
  <c r="G280" i="2"/>
  <c r="G274" i="2"/>
  <c r="G268" i="2"/>
  <c r="G262" i="2"/>
  <c r="G256" i="2"/>
  <c r="G250" i="2"/>
  <c r="G244" i="2"/>
  <c r="G238" i="2"/>
  <c r="G232" i="2"/>
  <c r="G226" i="2"/>
  <c r="G220" i="2"/>
  <c r="G214" i="2"/>
  <c r="G208" i="2"/>
  <c r="G202" i="2"/>
  <c r="G196" i="2"/>
  <c r="G190" i="2"/>
  <c r="G184" i="2"/>
  <c r="G178" i="2"/>
  <c r="G172" i="2"/>
  <c r="G166" i="2"/>
  <c r="G160" i="2"/>
  <c r="G154" i="2"/>
  <c r="G148" i="2"/>
  <c r="G142" i="2"/>
  <c r="G136" i="2"/>
  <c r="G130" i="2"/>
  <c r="G124" i="2"/>
  <c r="G118" i="2"/>
  <c r="G112" i="2"/>
  <c r="G106" i="2"/>
  <c r="G100" i="2"/>
  <c r="G94" i="2"/>
  <c r="G88" i="2"/>
  <c r="G82" i="2"/>
  <c r="G76" i="2"/>
  <c r="G70" i="2"/>
  <c r="G64" i="2"/>
  <c r="G56" i="2"/>
  <c r="G50" i="2"/>
  <c r="G41" i="2"/>
  <c r="G32" i="2"/>
  <c r="G26" i="2"/>
  <c r="F18" i="2"/>
  <c r="F9" i="2"/>
  <c r="F3" i="2"/>
  <c r="F12" i="2"/>
  <c r="F394" i="2"/>
  <c r="F388" i="2"/>
  <c r="F382" i="2"/>
  <c r="F376" i="2"/>
  <c r="F370" i="2"/>
  <c r="F364" i="2"/>
  <c r="F358" i="2"/>
  <c r="F352" i="2"/>
  <c r="F346" i="2"/>
  <c r="F340" i="2"/>
  <c r="F334" i="2"/>
  <c r="F328" i="2"/>
  <c r="F322" i="2"/>
  <c r="F316" i="2"/>
  <c r="F310" i="2"/>
  <c r="F304" i="2"/>
  <c r="F298" i="2"/>
  <c r="F292" i="2"/>
  <c r="F286" i="2"/>
  <c r="F280" i="2"/>
  <c r="F274" i="2"/>
  <c r="F268" i="2"/>
  <c r="F262" i="2"/>
  <c r="F256" i="2"/>
  <c r="F250" i="2"/>
  <c r="F244" i="2"/>
  <c r="F238" i="2"/>
  <c r="F232" i="2"/>
  <c r="F226" i="2"/>
  <c r="F220" i="2"/>
  <c r="F214" i="2"/>
  <c r="F208" i="2"/>
  <c r="F202" i="2"/>
  <c r="F196" i="2"/>
  <c r="F190" i="2"/>
  <c r="F184" i="2"/>
  <c r="F178" i="2"/>
  <c r="F172" i="2"/>
  <c r="F166" i="2"/>
  <c r="F160" i="2"/>
  <c r="F154" i="2"/>
  <c r="F148" i="2"/>
  <c r="F142" i="2"/>
  <c r="F136" i="2"/>
  <c r="F130" i="2"/>
  <c r="F124" i="2"/>
  <c r="F118" i="2"/>
  <c r="F112" i="2"/>
  <c r="F106" i="2"/>
  <c r="F100" i="2"/>
  <c r="F94" i="2"/>
  <c r="F88" i="2"/>
  <c r="F82" i="2"/>
  <c r="F76" i="2"/>
  <c r="F70" i="2"/>
  <c r="F64" i="2"/>
  <c r="F56" i="2"/>
  <c r="F50" i="2"/>
  <c r="F41" i="2"/>
  <c r="F32" i="2"/>
  <c r="F26" i="2"/>
  <c r="G17" i="2"/>
  <c r="G8" i="2"/>
  <c r="F22" i="2"/>
  <c r="Q250" i="1"/>
  <c r="L250" i="1" l="1"/>
  <c r="M250" i="1" s="1"/>
  <c r="N250" i="1" l="1"/>
  <c r="S250" i="1" s="1"/>
  <c r="T250" i="1" l="1"/>
  <c r="U250" i="1"/>
  <c r="R250" i="1"/>
  <c r="T1" i="1" l="1"/>
  <c r="U1" i="1"/>
  <c r="I3" i="3" l="1"/>
  <c r="I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2AE555-B8EE-43B4-BFD0-82650B6F4BED}" keepAlive="1" name="Запрос — Сергей проводка (2)" description="Соединение с запросом &quot;Сергей проводка (2)&quot; в книге." type="5" refreshedVersion="7" background="1" saveData="1">
    <dbPr connection="Provider=Microsoft.Mashup.OleDb.1;Data Source=$Workbook$;Location=&quot;Сергей проводка (2)&quot;;Extended Properties=&quot;&quot;" command="SELECT * FROM [Сергей проводка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<sst xmlns="http://schemas.openxmlformats.org/spreadsheetml/2006/main" count="5021" uniqueCount="2108">
  <si>
    <t>ID</t>
  </si>
  <si>
    <t>Артикул поставщика</t>
  </si>
  <si>
    <t>ВАЗ 1119-3724010</t>
  </si>
  <si>
    <t>ВАЗ 1118-3724026-20</t>
  </si>
  <si>
    <t>ВАЗ 2123-3724026-80</t>
  </si>
  <si>
    <t>Ваз 1118-3724030</t>
  </si>
  <si>
    <t>ВАЗ 2123-3724026-30</t>
  </si>
  <si>
    <t>ВАЗ 21214-3724026-44</t>
  </si>
  <si>
    <t>ВАЗ 21214-3724026-80</t>
  </si>
  <si>
    <t>ВАЗ 21903-3724026-45</t>
  </si>
  <si>
    <t>ВАЗ 21144-3724026</t>
  </si>
  <si>
    <t>ВАЗ 21154-3724026-40</t>
  </si>
  <si>
    <t>ВАЗ 2170-210-50</t>
  </si>
  <si>
    <t>ВАЗ 2115-3724026-11</t>
  </si>
  <si>
    <t>ВАЗ 2115-3724026-50</t>
  </si>
  <si>
    <t>ВАЗ 21102-3724026-05</t>
  </si>
  <si>
    <t>ВАЗ 21103-3724026-11</t>
  </si>
  <si>
    <t>ВАЗ 21104 -3724026-10</t>
  </si>
  <si>
    <t>ВАЗ 21073-3724026-10</t>
  </si>
  <si>
    <t>ВАЗ 21074-3724026</t>
  </si>
  <si>
    <t>ВАЗ 21043-3724026-10</t>
  </si>
  <si>
    <t>ВАЗ 21102-3724026-51</t>
  </si>
  <si>
    <t>ВАЗ 2115-3724026-40</t>
  </si>
  <si>
    <t>ВАЗ 2111-01 3724030-01</t>
  </si>
  <si>
    <t>ВАЗ 2112-3724030-20</t>
  </si>
  <si>
    <t>ВАЗ 2106-3724008-80</t>
  </si>
  <si>
    <t>ВАЗ 21213-3724030</t>
  </si>
  <si>
    <t>ВАЗ 2121-3724008</t>
  </si>
  <si>
    <t>ВАЗ 21011-3724008</t>
  </si>
  <si>
    <t>ВАЗ 21145-3724030-10</t>
  </si>
  <si>
    <t>ВАЗ 21073-3724030-30</t>
  </si>
  <si>
    <t>ВАЗ 21154-3724030-10</t>
  </si>
  <si>
    <t>ВАЗ 21213-3724010</t>
  </si>
  <si>
    <t>ВАЗ 2115-3724030-50</t>
  </si>
  <si>
    <t>ВАЗ 21043-3724030</t>
  </si>
  <si>
    <t>ВАЗ 2107-3724030</t>
  </si>
  <si>
    <t>ВАЗ 2115-3724226(комплект)</t>
  </si>
  <si>
    <t>ВАЗ 21154-3724010-30</t>
  </si>
  <si>
    <t>ВАЗ 2104-3724210</t>
  </si>
  <si>
    <t>ВАЗ 21099-3724210</t>
  </si>
  <si>
    <t>ВАЗ 2111-3724210-03</t>
  </si>
  <si>
    <t>ВАЗ 2112-3724210-03</t>
  </si>
  <si>
    <t>ВАЗ 2110-3724010-20</t>
  </si>
  <si>
    <t>ВАЗ 2112-3724010-10</t>
  </si>
  <si>
    <t>ВАЗ 2172-3724551-30</t>
  </si>
  <si>
    <t>ВАЗ 2172-3724550-30</t>
  </si>
  <si>
    <t>ВАЗ 2123-3724551</t>
  </si>
  <si>
    <t>ВАЗ 2104-3724030</t>
  </si>
  <si>
    <t>ВАЗ 2107-3724210-20</t>
  </si>
  <si>
    <t>ВАЗ 2114-3724210</t>
  </si>
  <si>
    <t>ВАЗ 2115-3724210-31</t>
  </si>
  <si>
    <t>ВАЗ 21083-3724030</t>
  </si>
  <si>
    <t>ВАЗ 2110-3724210-03</t>
  </si>
  <si>
    <t>ВАЗ 2105-3724030</t>
  </si>
  <si>
    <t>ВАЗ 2105,07,04 (карбюратор)</t>
  </si>
  <si>
    <t>ВАЗ 21082-3724030</t>
  </si>
  <si>
    <t>ВАЗ 2109-3724210</t>
  </si>
  <si>
    <t>ВАЗ 2190-3724545-10</t>
  </si>
  <si>
    <t>ВАЗ 21703-3724551-90</t>
  </si>
  <si>
    <t>ВАЗ 2105-3724210</t>
  </si>
  <si>
    <t>ВАЗ 2106-3724210</t>
  </si>
  <si>
    <t>ВАЗ 1118-3724100</t>
  </si>
  <si>
    <t>ВАЗ 2111-3724558</t>
  </si>
  <si>
    <t>ВАЗ 2110-3724019</t>
  </si>
  <si>
    <t>ВАЗ 2110-3724226</t>
  </si>
  <si>
    <t>ВАЗ 21011-3724210</t>
  </si>
  <si>
    <t>ВАЗ 2112-3724558</t>
  </si>
  <si>
    <t>ВАЗ 2110-3724026</t>
  </si>
  <si>
    <t>ВАЗ 2105-3724035</t>
  </si>
  <si>
    <t>ВАЗ 1118-3724148</t>
  </si>
  <si>
    <t>ВАЗ 2110-3724070</t>
  </si>
  <si>
    <t>ВАЗ 2101,05,07-3724070</t>
  </si>
  <si>
    <t>ВАЗ 2106-3724070</t>
  </si>
  <si>
    <t>ВАЗ 2115-3724070</t>
  </si>
  <si>
    <t>ВАЗ 2108,2115-3724080</t>
  </si>
  <si>
    <t>ВАЗ 21104-3724148</t>
  </si>
  <si>
    <t>ВАЗ 2106-3724030</t>
  </si>
  <si>
    <t>ВАЗ 21093-3724019</t>
  </si>
  <si>
    <t>ВАЗ 2115-3724019</t>
  </si>
  <si>
    <t>ВАЗ 2112-3724037</t>
  </si>
  <si>
    <t>ВАЗ 2110-3724551</t>
  </si>
  <si>
    <t>ВАЗ 2110-3724550</t>
  </si>
  <si>
    <t>ВАЗ 11186-3724036</t>
  </si>
  <si>
    <t>ВАЗ 21214-3724036</t>
  </si>
  <si>
    <t>ВАЗ 2101-3724080</t>
  </si>
  <si>
    <t>ВАЗ 2108-3724026</t>
  </si>
  <si>
    <t>ВАЗ 2111-3724036</t>
  </si>
  <si>
    <t>ВАЗ 2112-3724036</t>
  </si>
  <si>
    <t>ВАЗ 2123-3724036</t>
  </si>
  <si>
    <t>ВАЗ 1118-3724214</t>
  </si>
  <si>
    <t>ВАЗ 2101</t>
  </si>
  <si>
    <t>ВАЗ 2105-3724026</t>
  </si>
  <si>
    <t>ВАЗ 21074-3724026-20</t>
  </si>
  <si>
    <t>ВАЗ 1118-3724026-31</t>
  </si>
  <si>
    <t>ВАЗ 21102-3724026-70</t>
  </si>
  <si>
    <t>ВАЗ 2115-3724026-70</t>
  </si>
  <si>
    <t>ВАЗ 21154-3724026-30</t>
  </si>
  <si>
    <t>ВАЗ 21214-3724026-61</t>
  </si>
  <si>
    <t>ВАЗ 21214-3724026-97</t>
  </si>
  <si>
    <t>ВАЗ 11184-3724026-10</t>
  </si>
  <si>
    <t>ВАЗ 2170-3724026-60</t>
  </si>
  <si>
    <t>ВАЗ 2123-3724026-62</t>
  </si>
  <si>
    <t>ВАЗ 21053-3724030</t>
  </si>
  <si>
    <t>ВАЗ 21093-3724026-60</t>
  </si>
  <si>
    <t>ВАЗ 2112-3724030</t>
  </si>
  <si>
    <t>ВАЗ 2123,2111</t>
  </si>
  <si>
    <t>ВАЗ 1117-3724210</t>
  </si>
  <si>
    <t>ВАЗ 1118 -3724070</t>
  </si>
  <si>
    <t>ВАЗ 1118-3724550-10</t>
  </si>
  <si>
    <t>ВАЗ 1118-3724210</t>
  </si>
  <si>
    <t>ВАЗ 1119-3724210</t>
  </si>
  <si>
    <t>Ваз 11183-3724030</t>
  </si>
  <si>
    <t>ВАЗ 11186-3724030-20</t>
  </si>
  <si>
    <t>ВАЗ 1118-26-40-41</t>
  </si>
  <si>
    <t>ВАЗ 1118-3724019</t>
  </si>
  <si>
    <t>ВАЗ 11184- 3724026-46</t>
  </si>
  <si>
    <t>ВАЗ 1118-3724010</t>
  </si>
  <si>
    <t>Жгут проводов рампы 21129-3724036 на Лада Калина 2, Гранта, Приора, Vesta, XRAY</t>
  </si>
  <si>
    <t>ВАЗ 2190-3724210</t>
  </si>
  <si>
    <t>ВАЗ 2170-3724030</t>
  </si>
  <si>
    <t>ВАЗ 2172-3724030</t>
  </si>
  <si>
    <t>ВАЗ 2170-3724030-21</t>
  </si>
  <si>
    <t>ВАЗ 2170-3724030-30</t>
  </si>
  <si>
    <t>ВАЗ 2170-3724030-70</t>
  </si>
  <si>
    <t>ВАЗ 21703-3724030</t>
  </si>
  <si>
    <t>ВАЗ 2170-3724210</t>
  </si>
  <si>
    <t>ВАЗ 21703-210-23</t>
  </si>
  <si>
    <t>ВАЗ 2171-210-20</t>
  </si>
  <si>
    <t>ВАЗ 21713-210-00</t>
  </si>
  <si>
    <t>ВАЗ 2170-3724030-61</t>
  </si>
  <si>
    <t>ВАЗ 21703-3724550-90</t>
  </si>
  <si>
    <t>ВАЗ 2172-3724010</t>
  </si>
  <si>
    <t>ВАЗ 2170-3724010-62</t>
  </si>
  <si>
    <t>ВАЗ 2170-3724010-30</t>
  </si>
  <si>
    <t>ВАЗ 2170-3724026</t>
  </si>
  <si>
    <t>ВАЗ 2170 -3724070</t>
  </si>
  <si>
    <t>ВАЗ 2170-3724010</t>
  </si>
  <si>
    <t>ВАЗ 2190-3724026-40</t>
  </si>
  <si>
    <t>Жгут проводов системы зажигания 2190-3724026-40 на Лада Гранта</t>
  </si>
  <si>
    <t>ВАЗ 2190-3724030</t>
  </si>
  <si>
    <t>ВАЗ 2190-3724544-10</t>
  </si>
  <si>
    <t>ВАЗ 21922-3724030-50</t>
  </si>
  <si>
    <t>ВАЗ 2191-3724030-61</t>
  </si>
  <si>
    <t>ВАЗ 21917-3724030-00</t>
  </si>
  <si>
    <t>ВАЗ 2191-3724030-63</t>
  </si>
  <si>
    <t>ВАЗ 2190-3724030-51</t>
  </si>
  <si>
    <t>ВАЗ 21912-3724030-53</t>
  </si>
  <si>
    <t>ВАЗ 21917-3724030-03</t>
  </si>
  <si>
    <t>ВАЗ 21920-3724030-63</t>
  </si>
  <si>
    <t>ВАЗ 21920-3724030-60</t>
  </si>
  <si>
    <t>ВАЗ 21920-3724030-70</t>
  </si>
  <si>
    <t>ВАЗ 21922-3724030-73</t>
  </si>
  <si>
    <t>ВАЗ 21902-3724030-54</t>
  </si>
  <si>
    <t>ВАЗ 2190-3724010-03</t>
  </si>
  <si>
    <t>Ваз 21922-3724010-20</t>
  </si>
  <si>
    <t>Жгут проводов фар и генератора 21922-3724010-20 на Лада Гранта</t>
  </si>
  <si>
    <t>ВАЗ 21924-3724010-20</t>
  </si>
  <si>
    <t>Жгут проводов фар и генератора 21901-3724010-00 на Лада Гранта</t>
  </si>
  <si>
    <t>ВАЗ 2190-3724010</t>
  </si>
  <si>
    <t>ВАЗ 2123-3724010-58</t>
  </si>
  <si>
    <t>ВАЗ 2123-3724210</t>
  </si>
  <si>
    <t>ВАЗ 2123-3724558</t>
  </si>
  <si>
    <t>ВАЗ 2123-3724030-20</t>
  </si>
  <si>
    <t>ВАЗ 2123-3724026-60</t>
  </si>
  <si>
    <t>ВАЗ 2123-3724026-90</t>
  </si>
  <si>
    <t>ВАЗ 2123-3724010-44</t>
  </si>
  <si>
    <t>ВАЗ 2123-3724030-90</t>
  </si>
  <si>
    <t>ВАЗ 2123-3724030-94</t>
  </si>
  <si>
    <t>ВАЗ 2123-3724010-51</t>
  </si>
  <si>
    <t>31631-3724010-10</t>
  </si>
  <si>
    <t>Жгут проводов панели приборов 31631-3724010-10 на УАЗ Патриот</t>
  </si>
  <si>
    <t>31631-3724020</t>
  </si>
  <si>
    <t>Жгут проводов фар и генератора 31631-3724020 на УАЗ Патриот с АБС и кондиционером</t>
  </si>
  <si>
    <t>ВАЗ 21213-3724070</t>
  </si>
  <si>
    <t>ВАЗ 21213-3724210</t>
  </si>
  <si>
    <t>ВАЗ 21214"М"3724010-90</t>
  </si>
  <si>
    <t>ВАЗ 21214-3724026-21</t>
  </si>
  <si>
    <t>ВАЗ 21214-3724026-60</t>
  </si>
  <si>
    <t>ВАЗ 21214-3724026-86</t>
  </si>
  <si>
    <t>ВАЗ 21214-3724210</t>
  </si>
  <si>
    <t>ВАЗ 2131-3724210</t>
  </si>
  <si>
    <t>ВАЗ 21214"М"3724030-70</t>
  </si>
  <si>
    <t>№ п/п</t>
  </si>
  <si>
    <t>Наименование товара</t>
  </si>
  <si>
    <t>Номер детали</t>
  </si>
  <si>
    <t>ПРОВОД 0,5</t>
  </si>
  <si>
    <t>ПРОВОД 0,75</t>
  </si>
  <si>
    <t>ПРОВОД 1,0</t>
  </si>
  <si>
    <t>ПРОВОД 1,5</t>
  </si>
  <si>
    <t>ПРОВОД 2,5</t>
  </si>
  <si>
    <t>ПРОВОД 4,0</t>
  </si>
  <si>
    <t>ПРОВОД 6,0</t>
  </si>
  <si>
    <t>ПРОВОД 10,0</t>
  </si>
  <si>
    <t>ПРОВОД 16,0</t>
  </si>
  <si>
    <t>ПРОВОД 25,0</t>
  </si>
  <si>
    <t>ПРОВОД 35,0</t>
  </si>
  <si>
    <t>ПРОВОД 50,0</t>
  </si>
  <si>
    <t>ПРОВОД 70,0</t>
  </si>
  <si>
    <t>ВАЗ 2101,2110,1118</t>
  </si>
  <si>
    <t>Жгут проводов под капот (передняя часть)</t>
  </si>
  <si>
    <t>Жгут проводов задний</t>
  </si>
  <si>
    <t>ВАЗ 2104</t>
  </si>
  <si>
    <t>Жгут системы зажигания (от контроллера)</t>
  </si>
  <si>
    <t>ВАЗ 21043</t>
  </si>
  <si>
    <t>Жгут панели приборов (автомобиль 2104, панель 2107)</t>
  </si>
  <si>
    <t>Жгут панели приборов</t>
  </si>
  <si>
    <t>ВАЗ 21044</t>
  </si>
  <si>
    <t>ВАЗ 21044-3724030-70</t>
  </si>
  <si>
    <t>ВАЗ 2105</t>
  </si>
  <si>
    <t>Жгут проводов под капот в сборе</t>
  </si>
  <si>
    <t>Жгут системы зажигания(коммутаторный пучок )</t>
  </si>
  <si>
    <t>Коса панели приборов</t>
  </si>
  <si>
    <t>ВАЗ 21053</t>
  </si>
  <si>
    <t>Жгут панели приборов(05 инжектор)</t>
  </si>
  <si>
    <t>Разъём в фару Н-4(в сборе)</t>
  </si>
  <si>
    <t>ВАЗ 2105-07-08</t>
  </si>
  <si>
    <t>Разъём в фару Н-4(голый)</t>
  </si>
  <si>
    <t>Разъём задних фонарей</t>
  </si>
  <si>
    <t>ВАЗ 2105,08</t>
  </si>
  <si>
    <t>Жгут проводов задний(инжектор)</t>
  </si>
  <si>
    <t>ВАЗ 2106</t>
  </si>
  <si>
    <t>Провод втягивающего реле</t>
  </si>
  <si>
    <t>Проводка под капот (передняя часть)</t>
  </si>
  <si>
    <t>Жгут подфарников(галоши компл.) 2103-3724020/021</t>
  </si>
  <si>
    <t>(за пару)</t>
  </si>
  <si>
    <t>ВАЗ 2107</t>
  </si>
  <si>
    <t>Жгут системы зажигания (от контроллера к двигателю)</t>
  </si>
  <si>
    <t>Жгут панели приборов 07 инжекторная</t>
  </si>
  <si>
    <t>Жгут панели приборов карбюраторная</t>
  </si>
  <si>
    <t xml:space="preserve">Жгут системы зажигания </t>
  </si>
  <si>
    <t>Жгут проводов системы зажигания(Е-газ) от контроллера</t>
  </si>
  <si>
    <t>ВАЗ 2108</t>
  </si>
  <si>
    <t>Проводка противотуманных фар (монтажный набор) кнопка+реле</t>
  </si>
  <si>
    <t>ВАЗ 2108,09,99(карбюратор)</t>
  </si>
  <si>
    <t>Жгут панели приборов(высокая панель инжектор)</t>
  </si>
  <si>
    <t>Жгут соединения бензонасоса со жгутом ЭБУ</t>
  </si>
  <si>
    <t>ВАЗ 21082-3724037</t>
  </si>
  <si>
    <t>Жгут системы зажигания(старого образца)</t>
  </si>
  <si>
    <t>ВАЗ 21083-3724026(янв. 61)</t>
  </si>
  <si>
    <t>Жгут панели приборов карбюратор высокая панель</t>
  </si>
  <si>
    <t>ВАЗ 2108-3724010-01</t>
  </si>
  <si>
    <t>ВАЗ 21083-3724017-10</t>
  </si>
  <si>
    <t>Жгут системы зажигания(комутаторный)</t>
  </si>
  <si>
    <t>Жгут проводов панели приборов(низкая)</t>
  </si>
  <si>
    <t>ВАЗ 2108-3724070</t>
  </si>
  <si>
    <t>Жгут стеклоподъёмника универсальный на 2 кнопки</t>
  </si>
  <si>
    <t>ВАЗ 2108-3724226</t>
  </si>
  <si>
    <t>ВАЗ 2109</t>
  </si>
  <si>
    <t>Жгут проводов омывателя и стеклоочистителя</t>
  </si>
  <si>
    <t>Жгут системы зажигания</t>
  </si>
  <si>
    <t>ВАЗ 21093-3724026-80</t>
  </si>
  <si>
    <t>ВАЗ 2110</t>
  </si>
  <si>
    <t>Жгут высоковольтных проводов (Милена)</t>
  </si>
  <si>
    <t>ВАЗ 2111(8 клапанная)</t>
  </si>
  <si>
    <t>Жгут высоковольтных проводов(Слон)</t>
  </si>
  <si>
    <t>ВАЗ 2112(16 клапанная)</t>
  </si>
  <si>
    <t>Жгут панели приборов (v-1500)</t>
  </si>
  <si>
    <t>Жгут панели приборов (v-1600)</t>
  </si>
  <si>
    <t>ВАЗ 2111-03 3724030-03</t>
  </si>
  <si>
    <t>Жгут проводов багажника</t>
  </si>
  <si>
    <t>ВАЗ 2110-3724558</t>
  </si>
  <si>
    <t>Жгут проводов бензобака</t>
  </si>
  <si>
    <t>Жгут проводов бензобака н.о.</t>
  </si>
  <si>
    <t>ВАЗ 2112-3724037-40</t>
  </si>
  <si>
    <t>Жгут проводов модулей</t>
  </si>
  <si>
    <t>Жгут проводов печки-стеклоочистителя</t>
  </si>
  <si>
    <t>ВАЗ 2112-3724019</t>
  </si>
  <si>
    <t>Жгут проводов противотуманных фар (монтажный набор)</t>
  </si>
  <si>
    <t>ВАЗ 2110-евро панель</t>
  </si>
  <si>
    <t>Жгут проводов салона и подсветки</t>
  </si>
  <si>
    <t>Жгут проводов салона и ручника</t>
  </si>
  <si>
    <t>Жгут проводов системы зажигания</t>
  </si>
  <si>
    <t>ВАЗ 21102-3724026-01</t>
  </si>
  <si>
    <t>ВАЗ 21103-3724026-01</t>
  </si>
  <si>
    <t>ВАЗ 21104-3724026</t>
  </si>
  <si>
    <t>Жгут проводов стеклоподъёмников и центрального замка</t>
  </si>
  <si>
    <t>Жгут проводов фар и генератора</t>
  </si>
  <si>
    <t>Жгут проводов форсунок</t>
  </si>
  <si>
    <t>Жгут проводов электроусилителя руля(производство Россия) Эконом</t>
  </si>
  <si>
    <t>Жгут проводов системы зажигания (коммутаторный пучок)</t>
  </si>
  <si>
    <t>ВАЗ 2114</t>
  </si>
  <si>
    <t>Жгут проводов панели приборов (14,15 с электронной педалью газа)</t>
  </si>
  <si>
    <t>ВАЗ 21154-3724030-00</t>
  </si>
  <si>
    <t>Жгут проводов панели приборов</t>
  </si>
  <si>
    <t>Жгут  проводов панели приборов</t>
  </si>
  <si>
    <t>ВАЗ 2115-3724030-60</t>
  </si>
  <si>
    <t>ВАЗ 2115-3724030-70</t>
  </si>
  <si>
    <t>ВАЗ 2115-3724030-80</t>
  </si>
  <si>
    <t>Монтажный набор для подключения Евро Аварийки</t>
  </si>
  <si>
    <t>ВАЗ 21154-3724026-20</t>
  </si>
  <si>
    <t>Жгут проводов системы зажигания 16-ти клапанная супер авто</t>
  </si>
  <si>
    <t>Жгут проводов противотуманных фар(монтажный набор)</t>
  </si>
  <si>
    <t>ВАЗ 2115</t>
  </si>
  <si>
    <t>ВАЗ 2114 -3724010-10</t>
  </si>
  <si>
    <t>Жгут проводов фар и генератора(14,15 с электронной педалью газа)</t>
  </si>
  <si>
    <t>ВАЗ 21154-3724010</t>
  </si>
  <si>
    <t>"Калина"</t>
  </si>
  <si>
    <t xml:space="preserve">Жгут проводов салона </t>
  </si>
  <si>
    <t>Жгут проводов задней двери</t>
  </si>
  <si>
    <t>Жгут проводов панели приборов в сб.с монтажным блоком</t>
  </si>
  <si>
    <t>Жгут проводов электроусилителя руля(эл-тель производство Корея)</t>
  </si>
  <si>
    <t>Жгут проводов системы зажигания (8-ми клапанная Е-газ)</t>
  </si>
  <si>
    <t>ВАЗ 1118-3724026-30</t>
  </si>
  <si>
    <t>Жгут  проводов системы зажигания</t>
  </si>
  <si>
    <t>ВАЗ 11184-3724026</t>
  </si>
  <si>
    <t>ВАЗ 11184-3724026-45</t>
  </si>
  <si>
    <t>Жгут проводов стеклоочистителя</t>
  </si>
  <si>
    <t>Монтажный набор для подключения противотуманных фар</t>
  </si>
  <si>
    <t xml:space="preserve">ВАЗ 1118 </t>
  </si>
  <si>
    <t>Монтажный набор для подключения лобового стекла с подогревом</t>
  </si>
  <si>
    <t>ВАЗ 1118</t>
  </si>
  <si>
    <t>"Нива"</t>
  </si>
  <si>
    <t>Жгут проводов системы зажигания коммутаторный</t>
  </si>
  <si>
    <t>ВАЗ 21213-3724026</t>
  </si>
  <si>
    <t>ВАЗ 21213-3724080</t>
  </si>
  <si>
    <t>Жгут проводов под капот(передняя часть)</t>
  </si>
  <si>
    <t>Разъём предохранителя (на четыре шт.)</t>
  </si>
  <si>
    <t>ВАЗ 21214</t>
  </si>
  <si>
    <t>Жгут проводов приборов фар и генератора</t>
  </si>
  <si>
    <t>Жгут высоковольтных проводов</t>
  </si>
  <si>
    <t>ВАЗ 21214(Нива,классика)</t>
  </si>
  <si>
    <t>Жгут проводов системы зажигания(с электронной педалью) газа)</t>
  </si>
  <si>
    <t>"Урбан"</t>
  </si>
  <si>
    <t>ВАЗ 2131-3724210-А-1</t>
  </si>
  <si>
    <t>ВАЗ 21214-3724026-А-1</t>
  </si>
  <si>
    <t>ВАЗ 21214-3724026-А-2</t>
  </si>
  <si>
    <t>ВАЗ 21214-3724026-А-3</t>
  </si>
  <si>
    <t>"Шевроле-Нива"</t>
  </si>
  <si>
    <t>Жгут  проводов фар и генератора с ABS</t>
  </si>
  <si>
    <t>ВАЗ 2123</t>
  </si>
  <si>
    <t>Жгут проводов крышки багажника</t>
  </si>
  <si>
    <t>Жгут проводов системы зажигания (старого образца)</t>
  </si>
  <si>
    <t>ВАЗ 2123-3724026-20</t>
  </si>
  <si>
    <t>ВАЗ 2123-3724070</t>
  </si>
  <si>
    <t>Проводка противотуманных фар(монтажный набор)</t>
  </si>
  <si>
    <t>Монтажный набор для подключения обогрева лобового стекла</t>
  </si>
  <si>
    <t>Жгут проводов правой двери</t>
  </si>
  <si>
    <t>ВАЗ 2123-3724550</t>
  </si>
  <si>
    <t>Жгут проводов левой двери</t>
  </si>
  <si>
    <t>ВАЗ 2123-3724026-61</t>
  </si>
  <si>
    <t>ВАЗ 2123-3724026-81</t>
  </si>
  <si>
    <t>"Приора"</t>
  </si>
  <si>
    <t>Жгут панели приборов в сборе с монтажным блоком</t>
  </si>
  <si>
    <t>Жгут панели приборов Е-газ</t>
  </si>
  <si>
    <t>Жгут проводов передней левой двери(зеркало без поворотника)</t>
  </si>
  <si>
    <t>Жгут проводов передней левой двери(зеркало с поворотником)</t>
  </si>
  <si>
    <t>Жгут проводов передней правой двери(зеркало без поворотника)</t>
  </si>
  <si>
    <t>Жгут проводов передней правой двери(зеркало с поворотником)</t>
  </si>
  <si>
    <t>Жгут проводов фар и генератора с АБС и кондиционером</t>
  </si>
  <si>
    <t>Жгут проводов фар и генератора с кондиционером HALA</t>
  </si>
  <si>
    <t>ВАЗ 21702-3724026</t>
  </si>
  <si>
    <t>ВАЗ 2170-3724026-10</t>
  </si>
  <si>
    <t>ВАЗ 2170</t>
  </si>
  <si>
    <t>"Гранта"</t>
  </si>
  <si>
    <t>Жгут проводов противотуманных фар</t>
  </si>
  <si>
    <t>ВАЗ 2190</t>
  </si>
  <si>
    <t>Жгут проводов передней левой двери</t>
  </si>
  <si>
    <t>Жгут проводов передней правой двери</t>
  </si>
  <si>
    <t xml:space="preserve">Жгут проводов панели приборов </t>
  </si>
  <si>
    <t>Жгут проводов фар и генератора АКПП</t>
  </si>
  <si>
    <t>ВАЗ 21920-010-01</t>
  </si>
  <si>
    <t>ВАЗ 21920-010-12</t>
  </si>
  <si>
    <t>ВАЗ 21904-010-00</t>
  </si>
  <si>
    <t>ВАЗ 21921-010-00</t>
  </si>
  <si>
    <t>Лада Largus</t>
  </si>
  <si>
    <t>Контроллер</t>
  </si>
  <si>
    <t>Сопротивление печки</t>
  </si>
  <si>
    <t>Жгут ABS</t>
  </si>
  <si>
    <t>Испаритель отопителя</t>
  </si>
  <si>
    <t>Кнопка подогрева сидений</t>
  </si>
  <si>
    <t>Форсунки(16-кл) штука</t>
  </si>
  <si>
    <t>Обогрев сидений(штатный), компл. На 2 сидения</t>
  </si>
  <si>
    <t>Мотор отопителя</t>
  </si>
  <si>
    <t>Датчик парктроника</t>
  </si>
  <si>
    <t>Мотор стеклоочистителя(VALEO)</t>
  </si>
  <si>
    <t>Датчик коленвала 8-ми кл.</t>
  </si>
  <si>
    <t>Датчик коленвала 16-ти кл.</t>
  </si>
  <si>
    <t>Жгут контроллера 8-ми кл</t>
  </si>
  <si>
    <t>Жгут контроллера 16-ти кл</t>
  </si>
  <si>
    <t>Лада "Vesta"</t>
  </si>
  <si>
    <t>Жгут проводов передний в сборе(HARN-FR LH)</t>
  </si>
  <si>
    <t>Жгут проводов передний в сборе</t>
  </si>
  <si>
    <t>Электроусилитель руля X-RAY</t>
  </si>
  <si>
    <t>УАЗ "Патриот"</t>
  </si>
  <si>
    <t>Жгут проводов фарный-генераторный(АБС+конд.)</t>
  </si>
  <si>
    <t>Жгут проводов фарный-генераторный(конд.)</t>
  </si>
  <si>
    <t>3163-3724020-55</t>
  </si>
  <si>
    <t>Салон-зад</t>
  </si>
  <si>
    <t>31631-3724030-45</t>
  </si>
  <si>
    <t>3163-3724062-10</t>
  </si>
  <si>
    <t>31631-3724050</t>
  </si>
  <si>
    <t>3163-3724050</t>
  </si>
  <si>
    <t>Жгут</t>
  </si>
  <si>
    <t>31631-3724021</t>
  </si>
  <si>
    <t>Разъём в мотор печки</t>
  </si>
  <si>
    <t>Разъём прикуривателя</t>
  </si>
  <si>
    <t>ВАЗ 2123,2114,2115</t>
  </si>
  <si>
    <t>Разъём в блок кнопок стеклоподъёмника</t>
  </si>
  <si>
    <t>ВАЗ 2170,1118</t>
  </si>
  <si>
    <t>Разъём кнопки стеклоподъёмника</t>
  </si>
  <si>
    <t>ВАЗ 2170(на одну кнопку)</t>
  </si>
  <si>
    <t>Разъём в фару BOSH</t>
  </si>
  <si>
    <t>К жгуту бензонасоса, к датчику кислорода штыревая</t>
  </si>
  <si>
    <t>Жгута бензонасоса, к датчику кислорода гнездовая</t>
  </si>
  <si>
    <t>П</t>
  </si>
  <si>
    <t>К бензонасосу, к датчику уровня топлива 4-х контактная гнездовая</t>
  </si>
  <si>
    <t>К форсунке BOSCH 0280158502</t>
  </si>
  <si>
    <t>К форсунке</t>
  </si>
  <si>
    <t>К датчику скорости, датчику Холла</t>
  </si>
  <si>
    <t>К датчуку коленчатого вала</t>
  </si>
  <si>
    <t>К датчику холостого хода</t>
  </si>
  <si>
    <t>К модулю зажигания (старого образца)</t>
  </si>
  <si>
    <t>К ДМРВ - 137,116 троссовая педаль</t>
  </si>
  <si>
    <t>К выкл.:подкапот тлампы, дверному, контрольной лампы зад.хода</t>
  </si>
  <si>
    <t>К ДМРВ 2105, 2107 (SIEMENS)</t>
  </si>
  <si>
    <t>К ДМРВ 1117-1119, 2170-2172,21214(16 КЛ.) с электронной педалью акселер.</t>
  </si>
  <si>
    <t>К датчику температуры, к датчику ABS окружающей среды</t>
  </si>
  <si>
    <t>К реле генератора 1117-1119</t>
  </si>
  <si>
    <t>К датчику скорости 1117-1119</t>
  </si>
  <si>
    <t>5-контактная штыревая</t>
  </si>
  <si>
    <t>6-контактная штыревая</t>
  </si>
  <si>
    <t>5-контактная гнездовая герметичная</t>
  </si>
  <si>
    <t>6-контактная гнездовая герметичная</t>
  </si>
  <si>
    <t>К датчику фаз</t>
  </si>
  <si>
    <t>К блокиратору выбора линии заднего хода 1117-1119</t>
  </si>
  <si>
    <t>К противотуманным фарам Н11</t>
  </si>
  <si>
    <t>К электро приводу и ДПДЗ д/двиг. С электронной педалью акселератора(16 клап.)</t>
  </si>
  <si>
    <t>К дат. Дав. Масла, температуры охлаждающей жидкости 1117-1119, 2170-2172,2190 и их модификации</t>
  </si>
  <si>
    <t>К электродвигателю отопителя</t>
  </si>
  <si>
    <t>К блок-фаре 1117-1119 и их модификации</t>
  </si>
  <si>
    <t>К электронной педали акселератора для автомобилей Lada</t>
  </si>
  <si>
    <t xml:space="preserve">К эл.приводу и ДПДЗ д\двиг. С эл.педалью акселератора(8 клап) </t>
  </si>
  <si>
    <t>К блок-фаре 2170-2172  и их модификации</t>
  </si>
  <si>
    <t>К электро вентилятору радиатора 1118, 2123</t>
  </si>
  <si>
    <t>К датчику иммобилайзера 2-х контактная зеленая</t>
  </si>
  <si>
    <t>К датчику иммобилайзера 2-х контактная черная</t>
  </si>
  <si>
    <t>1-контактная гнездовая</t>
  </si>
  <si>
    <t>К стартеру и генератору 1-контактная гнездовая</t>
  </si>
  <si>
    <t>К датчику уровня масла</t>
  </si>
  <si>
    <t>К датчику уровня омывающей жидкости, уровня тормозной жидкости</t>
  </si>
  <si>
    <t>К кнопке стекло подъемника 118-2123</t>
  </si>
  <si>
    <t>К заднему фонарю 2105,2107,2108-21099</t>
  </si>
  <si>
    <t>К заднему фонарю 2110-2112</t>
  </si>
  <si>
    <t>К задней скорости 1117-1119(ручник) 2-х контактная гнездовая</t>
  </si>
  <si>
    <t>К реле 4-контактному</t>
  </si>
  <si>
    <t>К реле 5-контактному</t>
  </si>
  <si>
    <t>К реле 4-контактному 2110 сборное</t>
  </si>
  <si>
    <t>К реле 5-контактному, реле стеклоочистителя 2110 сборное</t>
  </si>
  <si>
    <t>К переключателю отопителя 1117-1119 - 118</t>
  </si>
  <si>
    <t>К переключателю отопителя 2108-21099,2113-2115</t>
  </si>
  <si>
    <t>К переключателю отопителя 2123,2170-2172</t>
  </si>
  <si>
    <t>Диагностики 12-контактная(Евро 2)</t>
  </si>
  <si>
    <t>Диагностики 16-контактная(Евро 3,4)</t>
  </si>
  <si>
    <t>К выключателю(замку) зажигания 2104-2107</t>
  </si>
  <si>
    <t>К реле задних противотуманных фонарей 2110-2115 (6-ти контактный)</t>
  </si>
  <si>
    <t>К выключателю(замку) зажигания 2108-21099 8-ми контактная гнездовая</t>
  </si>
  <si>
    <t>К выключателю(замку) зажигания 1117-1119,2123,2170-2172,2190 и их модификации</t>
  </si>
  <si>
    <t>К подрул.перекл. Света фар 2108-2115,1117-1119,2123,2170-2172</t>
  </si>
  <si>
    <t>К подрул.перекл.очист.вет.стекла 2108-2115,1117-1119, 2123,2170-2172</t>
  </si>
  <si>
    <t>К клавишным переключателям 2101-2107</t>
  </si>
  <si>
    <t>К выключателю аварийной сигнал. 2104-2107, 2113-2115</t>
  </si>
  <si>
    <t>К кнопочным выключателям 2113-2115,2123,1117-1119,2170-2172,2190</t>
  </si>
  <si>
    <t>К прикуривателю 2110-2115,2123,1117-1119,2170-2172,2190 и их модификаций</t>
  </si>
  <si>
    <t>К унифицированым кнопочным выключателям 2108-2112</t>
  </si>
  <si>
    <t>К модулю(блоку)управления светотехникой 1117-1119,2170-2172,2190 и их модификаций</t>
  </si>
  <si>
    <t>К реле 1118-1119 с проводами</t>
  </si>
  <si>
    <t>Чехол клеммы АКБ "+"</t>
  </si>
  <si>
    <t>Материал латунь лужоный</t>
  </si>
  <si>
    <t>Два зажимных болта Клемма ремонтная "+" или "-"(штука) цена за 1 штуку</t>
  </si>
  <si>
    <t>Клемма ремонтная "+" или "-" шпилька М 10 (штука) цена за одну штуку</t>
  </si>
  <si>
    <t>Клемма ремонтная "+" или "-" М 8 шпилька, цена за одну штуку</t>
  </si>
  <si>
    <t>Разъем соединения двери с кузовом 1118,2123 папа со стороны двери</t>
  </si>
  <si>
    <t>Разъем соединения двери с кузовом 1118,212 3мама со стороны кузова</t>
  </si>
  <si>
    <t>соединение контролерного жгута с панельным</t>
  </si>
  <si>
    <t>разъем блока абс нового образца</t>
  </si>
  <si>
    <t>Разъем фары Н-4 в сборе</t>
  </si>
  <si>
    <t>Разъем электовентилятора 2190,(Гранта), Приора с кондиционером HALLA</t>
  </si>
  <si>
    <t>Разъем резистора сопротивления электровентилятора 1118, 2123</t>
  </si>
  <si>
    <t>Массовый провод плетенка, 30 см</t>
  </si>
  <si>
    <t>Массовый провод плетенка, 40 см</t>
  </si>
  <si>
    <t>Массовый провод плетенка, 50 см</t>
  </si>
  <si>
    <t>Разъем прицепного устройства "папа плюс мама"латунный 6-ти контактный (комплект)</t>
  </si>
  <si>
    <t>завод</t>
  </si>
  <si>
    <t>Провод массы в изоляции 30 см</t>
  </si>
  <si>
    <t>Провод массы в изоляции 50 см</t>
  </si>
  <si>
    <t>Провод массы в изоляции 70 см</t>
  </si>
  <si>
    <t>Комбинация приборов</t>
  </si>
  <si>
    <t>1118-3801010-10</t>
  </si>
  <si>
    <t>1118-3801010-12</t>
  </si>
  <si>
    <t>2170-3801010-30</t>
  </si>
  <si>
    <t>2172-3801010-20</t>
  </si>
  <si>
    <t>2172-3801010-50</t>
  </si>
  <si>
    <t>2172-3801010-50 с навигацией</t>
  </si>
  <si>
    <t>2190-3801010-10</t>
  </si>
  <si>
    <t>2190-3801010-20</t>
  </si>
  <si>
    <t>2190-3801010-30</t>
  </si>
  <si>
    <t>2190-3801010-40</t>
  </si>
  <si>
    <t>2190-3801010-50 с навигацией</t>
  </si>
  <si>
    <t>2190-3801010-60 с навигацией</t>
  </si>
  <si>
    <t>2190-3801010-70</t>
  </si>
  <si>
    <t>2190-3801010-80</t>
  </si>
  <si>
    <t>2190-3801010-90 с навигацией</t>
  </si>
  <si>
    <t>2192-3801010-20</t>
  </si>
  <si>
    <t>2192-3801010-40</t>
  </si>
  <si>
    <t>2192-3801010-50 с навигацией</t>
  </si>
  <si>
    <t>2192-3801010-70</t>
  </si>
  <si>
    <t>2192-3801010-80</t>
  </si>
  <si>
    <t>248105500 R</t>
  </si>
  <si>
    <t>248109918 R</t>
  </si>
  <si>
    <t>8450005648 с навигацией</t>
  </si>
  <si>
    <t>Изолента тряпичная мягкая (ворсистая) 19 мм ширина толщина рулона 90 мм</t>
  </si>
  <si>
    <t>Изолента тряпичная плащевка 19 мм ширина толщина рулона 88 мм</t>
  </si>
  <si>
    <t>Изолента ПВХ 19 мм ширина толщина рулона 68 мм</t>
  </si>
  <si>
    <t>Зеленый разъем комбинации приборов без проводов GERMANY</t>
  </si>
  <si>
    <t>Электро-механический усилитель руля</t>
  </si>
  <si>
    <t>1117-02</t>
  </si>
  <si>
    <t>LADA ГРАНТА FL</t>
  </si>
  <si>
    <t>X-RAY</t>
  </si>
  <si>
    <t>Vesta</t>
  </si>
  <si>
    <t>Электро корректор фар 2190-2110</t>
  </si>
  <si>
    <t>Электро корректор фар 2109</t>
  </si>
  <si>
    <t>Блок монтаж 2106 большой (завод)</t>
  </si>
  <si>
    <t>Блок монтаж 2106 малый (завод)</t>
  </si>
  <si>
    <t>Блок монтаж 2106 большой (евро)</t>
  </si>
  <si>
    <t>Поставщик</t>
  </si>
  <si>
    <t>Под заказ</t>
  </si>
  <si>
    <t>сергей проводка</t>
  </si>
  <si>
    <t>Удлинитель разъема печки на ВАЗ 2110-12, Шевроле Нива</t>
  </si>
  <si>
    <t>1</t>
  </si>
  <si>
    <t>21214-3724026-A2</t>
  </si>
  <si>
    <t>Жгут проводов для подключения электроусилителя руля ВАЗ</t>
  </si>
  <si>
    <t>Предохранителя ЕВРО, стандарт</t>
  </si>
  <si>
    <t>К выключателю(замку) зажигания 2110-2115 8-ми контактная, гнездовая</t>
  </si>
  <si>
    <t>К блоку(модулю)переключателей левой передней(водительской) двери 1117-1119        (10 контактов)</t>
  </si>
  <si>
    <t>К моторедуктору зад.стекл.1117-1119,к выкл.пед.тори.(с эл.пед.акселер.)1117-1119,2170-2172 (4-х контактный разъем)</t>
  </si>
  <si>
    <t>К щитку приборов 2190 гранта в сборе с проводами Калина 2 (желтый)</t>
  </si>
  <si>
    <t>К щитку приборов 1118,2170(зеленая в сборе с проводами)</t>
  </si>
  <si>
    <t>Разъем трех контактный силовой Гранта, Приора, Калина 2 Серый</t>
  </si>
  <si>
    <t>Разъем двухконтактный силовой Гранта, Калина 2, Приора (синий)</t>
  </si>
  <si>
    <t>Разъем одноконтактный силовой Гранта Приора (желтый)</t>
  </si>
  <si>
    <t>Монтажный набор обогрева лобового стекла 2190;118</t>
  </si>
  <si>
    <t>Монтажный набор обогрева лобового стекла 2170;2123</t>
  </si>
  <si>
    <t>Набор для подключения "Волговских сигналов"</t>
  </si>
  <si>
    <t>Набор для подключения противотуманных фар-(проводка;реле;кнопка) 2114</t>
  </si>
  <si>
    <t>Набор для подключения противотуманных фар-(проводка;реле;кнопка) 2106</t>
  </si>
  <si>
    <t>Набор для подключения противотуманных фар-(проводка;реле;кнопка) 2107</t>
  </si>
  <si>
    <t>Набор для подключения противотуманных фар-(проводка;реле;кнопка) 2108</t>
  </si>
  <si>
    <t>Набор для подключения противотуманных фар-(проводка;реле;кнопка) 2110</t>
  </si>
  <si>
    <t>Набор для подключения противотуманных фар-(проводка;реле;кнопка) 2110 Е</t>
  </si>
  <si>
    <t>Набор для подключения противотуманных фар-(проводка;реле;кнопка) 118</t>
  </si>
  <si>
    <t>Набор для подключения противотуманных фар-(проводка;реле;кнопка) 2170</t>
  </si>
  <si>
    <t>Набор для подключения противотуманных фар-(проводка;реле;кнопка) 2190</t>
  </si>
  <si>
    <t>Набор для подключения противотуманных фар-(проводка;реле;кнопка) 2123</t>
  </si>
  <si>
    <t>Набор для подключения противотуманных фар-(проводка;реле;кнопка) Vesta бюджет</t>
  </si>
  <si>
    <t>Набор для подключения противотуманных фар-(проводка;реле;кнопка) Vesta завод</t>
  </si>
  <si>
    <t>Наименование</t>
  </si>
  <si>
    <t>6</t>
  </si>
  <si>
    <t>Монтажный блок для ВАЗ 2113-2115</t>
  </si>
  <si>
    <t>Монтажный блок для ВАЗ 2110-2112</t>
  </si>
  <si>
    <t>Монтажный блок в сборе для Шевроле Нива</t>
  </si>
  <si>
    <t>21043-3724030</t>
  </si>
  <si>
    <t>21043724210</t>
  </si>
  <si>
    <t>2114-3724070-20</t>
  </si>
  <si>
    <t>2101372408001</t>
  </si>
  <si>
    <t>219207905030</t>
  </si>
  <si>
    <t>2104-3724030</t>
  </si>
  <si>
    <t>Рек</t>
  </si>
  <si>
    <t>Факт</t>
  </si>
  <si>
    <t>Произв</t>
  </si>
  <si>
    <t>"Гранта"Жгут проводов фар и генератораВАЗ 21920-010-01</t>
  </si>
  <si>
    <t>"Гранта"Жгут проводов фар и генератораВАЗ 21920-010-12</t>
  </si>
  <si>
    <t>ВАЗ 2101Жгут проводов соединительный (клемма "+"  евро)ВАЗ 2101,05,07-3724070</t>
  </si>
  <si>
    <t>ВАЗ 2101Жгут проводов под капот (передняя часть)ВАЗ 21011-3724008</t>
  </si>
  <si>
    <t>ВАЗ 2101Жгут проводов заднийВАЗ 21011-3724210</t>
  </si>
  <si>
    <t>ВАЗ 2101Жгут проводов соединительный (клемма "-" евро 26 см)ВАЗ 2101-3724080</t>
  </si>
  <si>
    <t>ВАЗ 2104Жгут системы зажигания (от контроллера)ВАЗ 21043-3724026-10</t>
  </si>
  <si>
    <t>ВАЗ 21043Жгут панели приборов (автомобиль 2104, панель 2107)ВАЗ 21043-3724030</t>
  </si>
  <si>
    <t>ВАЗ 2104Жгут панели приборовВАЗ 2104-3724030</t>
  </si>
  <si>
    <t>ВАЗ 2104Жгут проводов заднийВАЗ 2104-3724210</t>
  </si>
  <si>
    <t>ВАЗ 21044Жгут панели приборовВАЗ 21044-3724030-70</t>
  </si>
  <si>
    <t>ВАЗ 2105Жгут панели приборовВАЗ 2105-3724030</t>
  </si>
  <si>
    <t>ВАЗ 2105Жгут проводов под капот в сбореВАЗ 2105,07,04 (карбюратор)</t>
  </si>
  <si>
    <t>ВАЗ 2105Жгут системы зажигания(коммутаторный пучок )ВАЗ 2105-3724026</t>
  </si>
  <si>
    <t>ВАЗ 2105Коса панели приборовВАЗ 2105-3724035</t>
  </si>
  <si>
    <t>ВАЗ 21053Жгут панели приборов(05 инжектор)ВАЗ 21053-3724030</t>
  </si>
  <si>
    <t>ВАЗ 2105Жгут проводов задний(инжектор)ВАЗ 2107-3724210-20</t>
  </si>
  <si>
    <t>ВАЗ 2106Проводка под капот (передняя часть)ВАЗ 2106-3724008-80</t>
  </si>
  <si>
    <t>ВАЗ 2106Коса панели приборовВАЗ 2106-3724030</t>
  </si>
  <si>
    <t>ВАЗ 2106Жгут проводов заднийВАЗ 2106-3724210</t>
  </si>
  <si>
    <t>ВАЗ 2106Жгут подфарников(галоши компл.) 2103-3724020/021(за пару)</t>
  </si>
  <si>
    <t>ВАЗ 2107Жгут системы зажигания (от контроллера к двигателю)ВАЗ 21073-3724026-10</t>
  </si>
  <si>
    <t>ВАЗ 2107Жгут панели приборов 07 инжекторнаяВАЗ 21073-3724030-30</t>
  </si>
  <si>
    <t>ВАЗ 2107Жгут панели приборов карбюраторнаяВАЗ 2107-3724030</t>
  </si>
  <si>
    <t>ВАЗ 2107Жгут системы зажигания ВАЗ 21074-3724026</t>
  </si>
  <si>
    <t>ВАЗ 2107Жгут проводов системы зажигания(Е-газ) от контроллераВАЗ 21074-3724026-20</t>
  </si>
  <si>
    <t>ВАЗ 2108Жгут панели приборов(высокая панель инжектор)ВАЗ 21082-3724030</t>
  </si>
  <si>
    <t>ВАЗ 2108Жгут панели приборов карбюратор высокая панельВАЗ 21083-3724030</t>
  </si>
  <si>
    <t>ВАЗ 2108Жгут системы зажигания(комутаторный)ВАЗ 2108-3724026</t>
  </si>
  <si>
    <t>ВАЗ 2109Жгут проводов омывателя и стеклоочистителяВАЗ 21093-3724019</t>
  </si>
  <si>
    <t>ВАЗ 2109Жгут системы зажиганияВАЗ 21093-3724026-60</t>
  </si>
  <si>
    <t>ВАЗ 2109Жгут проводов заднийВАЗ 2109-3724210</t>
  </si>
  <si>
    <t>ВАЗ 2109Жгут проводов заднийВАЗ 21099-3724210</t>
  </si>
  <si>
    <t>ВАЗ 2110Жгут панели приборовВАЗ 2112-3724030</t>
  </si>
  <si>
    <t>ВАЗ 2110Жгут панели приборовВАЗ 2112-3724030-20</t>
  </si>
  <si>
    <t>ВАЗ 2110Жгут панели приборов (v-1500)ВАЗ 2111-01 3724030-01</t>
  </si>
  <si>
    <t>ВАЗ 2110Жгут проводов багажникаВАЗ 2110-3724558</t>
  </si>
  <si>
    <t>ВАЗ 2110Жгут проводов багажникаВАЗ 2111-3724558</t>
  </si>
  <si>
    <t>ВАЗ 2110Жгут проводов багажникаВАЗ 2112-3724558</t>
  </si>
  <si>
    <t>ВАЗ 2110Жгут проводов бензобакаВАЗ 2112-3724037</t>
  </si>
  <si>
    <t>ВАЗ 2110Жгут проводов бензобака н.о.ВАЗ 2112-3724037-40</t>
  </si>
  <si>
    <t>ВАЗ 2110Жгут проводов заднийВАЗ 2111-3724210-03</t>
  </si>
  <si>
    <t>ВАЗ 2110Жгут проводов заднийВАЗ 2112-3724210-03</t>
  </si>
  <si>
    <t>ВАЗ 2110Жгут проводов заднийВАЗ 2110-3724210-03</t>
  </si>
  <si>
    <t>ВАЗ 2110Жгут проводов модулейВАЗ 21104-3724148</t>
  </si>
  <si>
    <t>ВАЗ 2110Жгут проводов печки-стеклоочистителяВАЗ 2110-3724019</t>
  </si>
  <si>
    <t>ВАЗ 2110Жгут проводов печки-стеклоочистителяВАЗ 2112-3724019</t>
  </si>
  <si>
    <t>ВАЗ 2110Жгут проводов салона и подсветкиВАЗ 2110-3724551</t>
  </si>
  <si>
    <t>ВАЗ 2110Жгут проводов салона и ручникаВАЗ 2110-3724550</t>
  </si>
  <si>
    <t>ВАЗ 2110Жгут проводов системы зажиганияВАЗ 21102-3724026-05</t>
  </si>
  <si>
    <t>ВАЗ 2110Жгут проводов системы зажиганияВАЗ 21102-3724026-51</t>
  </si>
  <si>
    <t>ВАЗ 2110Жгут проводов системы зажиганияВАЗ 21103-3724026-11</t>
  </si>
  <si>
    <t>ВАЗ 2110Жгут проводов системы зажиганияВАЗ 21104 -3724026-10</t>
  </si>
  <si>
    <t>ВАЗ 2110Жгут проводов стеклоподъёмников и центрального замкаВАЗ 2110-3724226</t>
  </si>
  <si>
    <t>ВАЗ 2110Жгут проводов фар и генератораВАЗ 2112-3724010-10</t>
  </si>
  <si>
    <t>ВАЗ 2110Жгут проводов фар и генератораВАЗ 2110-3724010-20</t>
  </si>
  <si>
    <t>ВАЗ 2110Жгут проводов форсунокВАЗ 2111-3724036</t>
  </si>
  <si>
    <t>ВАЗ 2110Жгут проводов форсунокВАЗ 2112-3724036</t>
  </si>
  <si>
    <t>ВАЗ 2110Жгут проводов системы зажигания (коммутаторный пучок)ВАЗ 2110-3724026</t>
  </si>
  <si>
    <t>ВАЗ 2114Жгут проводов панели приборов (14,15 с электронной педалью газа)ВАЗ 21154-3724030-10</t>
  </si>
  <si>
    <t>ВАЗ 2114Жгут проводов панели приборовВАЗ 21145-3724030-10</t>
  </si>
  <si>
    <t>ВАЗ 2114Жгут проводов панели приборовВАЗ 2115-3724030-50</t>
  </si>
  <si>
    <t>ВАЗ 2114Жгут проводов системы зажиганияВАЗ 2115-3724026-11</t>
  </si>
  <si>
    <t>ВАЗ 2114Жгут проводов системы зажиганияВАЗ 2115-3724026-40</t>
  </si>
  <si>
    <t>ВАЗ 2114Жгут проводов системы зажиганияВАЗ 2115-3724026-50</t>
  </si>
  <si>
    <t>ВАЗ 2114Жгут проводов системы зажиганияВАЗ 21154-3724026-20</t>
  </si>
  <si>
    <t>ВАЗ 2114Жгут проводов системы зажиганияВАЗ 21154-3724026-30</t>
  </si>
  <si>
    <t>ВАЗ 2114Жгут проводов системы зажигания 16-ти клапанная супер автоВАЗ 21154-3724026-40</t>
  </si>
  <si>
    <t>ВАЗ 2114Жгут проводов системы зажиганияВАЗ 2115-3724026-70</t>
  </si>
  <si>
    <t>ВАЗ 2114Клемма "+" (евро)ВАЗ 2115-3724070</t>
  </si>
  <si>
    <t>ВАЗ 2114Жгут проводов омывателя и стеклоочистителяВАЗ 2115-3724019</t>
  </si>
  <si>
    <t>ВАЗ 2114Жгут проводов заднийВАЗ 2114-3724210</t>
  </si>
  <si>
    <t>ВАЗ 2114Жгут проводов заднийВАЗ 2115-3724210-31</t>
  </si>
  <si>
    <t>ВАЗ 2114Жгут проводов фар и генератора(14,15 с электронной педалью газа)ВАЗ 21154-3724010-30</t>
  </si>
  <si>
    <t>"Калина"Жгут проводов салона ВАЗ 1117-3724210</t>
  </si>
  <si>
    <t>"Калина"Клемма " +" (евро)ВАЗ 1118 -3724070</t>
  </si>
  <si>
    <t>"Калина"Жгут проводов форсунокВАЗ 11186-3724036</t>
  </si>
  <si>
    <t>"Калина"Жгут проводов задней двериВАЗ 1118-3724550-10</t>
  </si>
  <si>
    <t>"Калина"Жгут проводов модулейВАЗ 1118-3724148</t>
  </si>
  <si>
    <t>"Калина"Жгут проводов заднийВАЗ 1118-3724210</t>
  </si>
  <si>
    <t>"Калина"Жгут проводов заднийВАЗ 1119-3724210</t>
  </si>
  <si>
    <t>"Калина"Жгут проводов панели приборов в сб.с монтажным блокомВаз 1118-3724030</t>
  </si>
  <si>
    <t>"Калина"Жгут проводов панели приборовВаз 11183-3724030</t>
  </si>
  <si>
    <t>"Калина"Жгут проводов панели приборовВАЗ 11186-3724030-20</t>
  </si>
  <si>
    <t>"Калина"Жгут проводов фар и генератораВАЗ 1118-3724010</t>
  </si>
  <si>
    <t>"Калина"Жгут проводов фар и генератораВАЗ 1119-3724010</t>
  </si>
  <si>
    <t>"Калина"Жгут проводов электроусилителя руля(эл-тель производство Корея)ВАЗ 1118-3724100</t>
  </si>
  <si>
    <t>"Калина"Жгут проводов системы зажигания (8-ми клапанная Е-газ)ВАЗ 1118-26-40-41</t>
  </si>
  <si>
    <t>"Калина"Жгут проводов системы зажиганияВАЗ 1118-3724026-20</t>
  </si>
  <si>
    <t>"Калина"Жгут  проводов системы зажиганияВАЗ 11184-3724026-10</t>
  </si>
  <si>
    <t>"Калина"Жгут проводов стеклоочистителяВАЗ 1118-3724019</t>
  </si>
  <si>
    <t>"Калина"Жгут проводов системы зажиганияВАЗ 11184- 3724026-46</t>
  </si>
  <si>
    <t>"Калина"ВАЗ 1118-3724026-31</t>
  </si>
  <si>
    <t>"Нива"Жгут проводов заднийВАЗ 21213-3724210</t>
  </si>
  <si>
    <t>"Нива"Жгут проводов под капот(передняя часть)ВАЗ 2121-3724008</t>
  </si>
  <si>
    <t>"Нива"Разъём предохранителя (на четыре шт.)ВАЗ 21214</t>
  </si>
  <si>
    <t>"Нива"Жгут проводов приборов фар и генератораВАЗ 21214"М"3724010-90</t>
  </si>
  <si>
    <t>"Нива"Жгут проводов панели приборовВАЗ 21214"М"3724030-70</t>
  </si>
  <si>
    <t>"Нива"Жгут проводов системы зажиганияВАЗ 21214-3724026-21</t>
  </si>
  <si>
    <t>"Нива"Жгут проводов системы зажигания(с электронной педалью) газа)ВАЗ 21214-3724026-44</t>
  </si>
  <si>
    <t>"Нива"Жгут проводов системы зажиганияВАЗ 21214-3724026-60</t>
  </si>
  <si>
    <t>"Нива"Жгут проводов системы зажиганияВАЗ 21214-3724026-61</t>
  </si>
  <si>
    <t>"Нива"Жгут проводов системы зажиганияВАЗ 21214-3724026-80</t>
  </si>
  <si>
    <t>"Нива"Жгут  проводов системы зажиганияВАЗ 21214-3724026-86</t>
  </si>
  <si>
    <t>"Нива"Жгут проводов системы зажиганияВАЗ 21214-3724026-97</t>
  </si>
  <si>
    <t>"Нива"Жгут проводов форсунокВАЗ 21214-3724036</t>
  </si>
  <si>
    <t>"Нива"Жгут проводов заднийВАЗ 21214-3724210</t>
  </si>
  <si>
    <t>"Нива"Жгут проводов заднийВАЗ 2131-3724210</t>
  </si>
  <si>
    <t>"Урбан"Жгут проводов системы зажиганияВАЗ 21214-3724026-А-2</t>
  </si>
  <si>
    <t>"Шевроле-Нива"Жгут  проводов фар и генератора с ABSВАЗ 2123-3724010-58</t>
  </si>
  <si>
    <t>"Шевроле-Нива"Жгут проводов заднийВАЗ 2123-3724210</t>
  </si>
  <si>
    <t>"Шевроле-Нива"Жгут проводов крышки багажникаВАЗ 2123-3724558</t>
  </si>
  <si>
    <t>"Шевроле-Нива"Жгут проводов панели приборовВАЗ 2123-3724030-20</t>
  </si>
  <si>
    <t>"Шевроле-Нива"Жгут проводов системы зажиганияВАЗ 2123-3724026-30</t>
  </si>
  <si>
    <t>"Шевроле-Нива"Жгут проводов системы зажиганияВАЗ 2123-3724026-60</t>
  </si>
  <si>
    <t>"Шевроле-Нива"Жгут проводов системы зажиганияВАЗ 2123-3724026-90</t>
  </si>
  <si>
    <t>"Шевроле-Нива"Жгут проводов системы зажиганияВАЗ 2123-3724026-80</t>
  </si>
  <si>
    <t>"Шевроле-Нива"Жгут проводов системы зажиганияВАЗ 2123-3724026-62</t>
  </si>
  <si>
    <t>"Шевроле-Нива"Жгут проводов фар и генератораВАЗ 2123-3724010-44</t>
  </si>
  <si>
    <t>"Шевроле-Нива"Жгут проводов форсунокВАЗ 2123-3724036</t>
  </si>
  <si>
    <t>"Шевроле-Нива"Жгут проводов панели приборовВАЗ 2123-3724030-90</t>
  </si>
  <si>
    <t>"Шевроле-Нива"Жгут проводов панели приборовВАЗ 2123-3724030-94</t>
  </si>
  <si>
    <t>"Шевроле-Нива"Жгут проводов фар и генератораВАЗ 2123-3724010-51</t>
  </si>
  <si>
    <t>"Шевроле-Нива"Жгут проводов левой двериВАЗ 2123-3724551</t>
  </si>
  <si>
    <t>"Приора"Жгут панели приборов в сборе с монтажным блокомВАЗ 2170-3724030</t>
  </si>
  <si>
    <t>"Приора"Жгут панели приборов в сборе с монтажным блокомВАЗ 2172-3724030</t>
  </si>
  <si>
    <t>"Приора"Жгут панели приборов в сборе с монтажным блокомВАЗ 2170-3724030-21</t>
  </si>
  <si>
    <t>"Приора"Жгут панели приборов в сборе с монтажным блокомВАЗ 2170-3724030-30</t>
  </si>
  <si>
    <t>"Приора"Жгут панели приборов в сборе с монтажным блокомВАЗ 2170-3724030-70</t>
  </si>
  <si>
    <t>"Приора"Жгут панели приборов Е-газВАЗ 21703-3724030</t>
  </si>
  <si>
    <t>"Приора"Жгут проводов заднийВАЗ 2170-3724210</t>
  </si>
  <si>
    <t>"Приора"Жгут проводов заднийВАЗ 2170-210-50</t>
  </si>
  <si>
    <t>"Приора"Жгут проводов заднийВАЗ 21703-210-23</t>
  </si>
  <si>
    <t>"Приора"Жгут проводов заднийВАЗ 2171-210-20</t>
  </si>
  <si>
    <t>"Приора"Жгут проводов заднийВАЗ 21713-210-00</t>
  </si>
  <si>
    <t>"Приора"Жгут проводов панели приборовВАЗ 2170-3724030-61</t>
  </si>
  <si>
    <t>"Приора"Жгут проводов передней левой двери(зеркало без поворотника)ВАЗ 21703-3724551-90</t>
  </si>
  <si>
    <t>"Приора"Жгут проводов передней левой двери(зеркало с поворотником)ВАЗ 2172-3724551-30</t>
  </si>
  <si>
    <t>"Приора"Жгут проводов передней правой двери(зеркало без поворотника)ВАЗ 21703-3724550-90</t>
  </si>
  <si>
    <t>"Приора"Жгут проводов передней правой двери(зеркало с поворотником)ВАЗ 2172-3724550-30</t>
  </si>
  <si>
    <t>"Приора"Жгут проводов фар и генератораВАЗ 2170-3724010</t>
  </si>
  <si>
    <t>"Приора"Жгут проводов фар и генератораВАЗ 2172-3724010</t>
  </si>
  <si>
    <t>"Приора"Жгут проводов фар и генератора с АБС и кондиционеромВАЗ 2170-3724010-62</t>
  </si>
  <si>
    <t>"Приора"Жгут проводов фар и генератора с кондиционером HALAВАЗ 2170-3724010-30</t>
  </si>
  <si>
    <t>"Приора"Жгут системы зажиганияВАЗ 2170-3724026</t>
  </si>
  <si>
    <t>"Приора"Жгут системы зажиганияВАЗ 2170-3724026-60</t>
  </si>
  <si>
    <t>"Приора"Монтажный набор для подключения лобового стекла с подогревомВАЗ 2170</t>
  </si>
  <si>
    <t>"Гранта"Жгут проводов фар и генератораВАЗ 2190-3724010</t>
  </si>
  <si>
    <t>"Гранта"Жгут проводов системы зажиганияВАЗ 2190-3724026-40</t>
  </si>
  <si>
    <t>"Гранта"Жгут проводов панели приборовВАЗ 2190-3724030</t>
  </si>
  <si>
    <t>"Гранта"Жгут проводов заднийВАЗ 2190-3724210</t>
  </si>
  <si>
    <t>"Гранта"Жгут проводов системы зажиганияВАЗ 21903-3724026-45</t>
  </si>
  <si>
    <t>"Гранта"Жгут проводов передней левой двериВАЗ 2190-3724545-10</t>
  </si>
  <si>
    <t>"Гранта"Жгут проводов передней правой двериВАЗ 2190-3724544-10</t>
  </si>
  <si>
    <t>"Гранта"Монтажный набор для подключения лобового стекла с подогревомВАЗ 2190</t>
  </si>
  <si>
    <t>"Гранта"Жгут проводов панели приборов ВАЗ 21922-3724030-50</t>
  </si>
  <si>
    <t>"Гранта"Жгут проводов панели приборов ВАЗ 2191-3724030-61</t>
  </si>
  <si>
    <t>"Гранта"Жгут проводов панели приборов ВАЗ 21917-3724030-00</t>
  </si>
  <si>
    <t>"Гранта"Жгут проводов панели приборов ВАЗ 2191-3724030-63</t>
  </si>
  <si>
    <t>"Гранта"Жгут проводов панели приборов ВАЗ 2190-3724030-51</t>
  </si>
  <si>
    <t>"Гранта"Жгут проводов панели приборов ВАЗ 21912-3724030-53</t>
  </si>
  <si>
    <t>"Гранта"Жгут проводов панели приборов ВАЗ 21917-3724030-03</t>
  </si>
  <si>
    <t>"Гранта"Жгут проводов панели приборов ВАЗ 21920-3724030-63</t>
  </si>
  <si>
    <t>"Гранта"Жгут проводов панели приборов ВАЗ 21920-3724030-60</t>
  </si>
  <si>
    <t>"Гранта"Жгут проводов панели приборов ВАЗ 21920-3724030-70</t>
  </si>
  <si>
    <t>"Гранта"Жгут проводов панели приборов ВАЗ 21922-3724030-73</t>
  </si>
  <si>
    <t>"Гранта"Жгут проводов панели приборов ВАЗ 21902-3724030-54</t>
  </si>
  <si>
    <t>"Гранта"Жгут проводов фар и генератораВАЗ 2190-3724010-03</t>
  </si>
  <si>
    <t>"Гранта"Жгут проводов фар и генератора АКППВаз 21922-3724010-20</t>
  </si>
  <si>
    <t>"Гранта"Жгут проводов фар и генератора АКППВАЗ 21924-3724010-20</t>
  </si>
  <si>
    <t>"Гранта"Жгут проводов фар и генератораВАЗ 21904-010-00</t>
  </si>
  <si>
    <t>"Гранта"Жгут проводов фар и генератораВАЗ 21921-010-00</t>
  </si>
  <si>
    <t>УАЗ "Патриот"Жгут проводов фарный-генераторный(АБС+конд.)31631-3724020</t>
  </si>
  <si>
    <t>"Шевроле-Нива"Разъём в мотор печкиВАЗ 2123,2111</t>
  </si>
  <si>
    <t>https://motorring.ru/product/12591-ghgut-provodov-paneli-priborov-11186-3724030-20-dlya-lada</t>
  </si>
  <si>
    <t>https://motorring.ru/product/12631-ghgut-paneli-priborov-sbore-montaghnym-blokom-priora</t>
  </si>
  <si>
    <t>https://motorring.ru/product/12630-ghgut-paneli-priborov-sbore-montaghnym-blokom-2170-priora</t>
  </si>
  <si>
    <t>https://motorring.ru/product/12629-ghgut-paneli-priborov-sbore-montaghnym-blokom-2170</t>
  </si>
  <si>
    <t>https://motorring.ru/product/12652-ghgut-provodov-paneli-priborov-2190-3724030-dlya-lada</t>
  </si>
  <si>
    <t>https://motorring.ru/product/12659-ghgut-provodov-paneli-priborov-21922-3724030-50-dlya-lada</t>
  </si>
  <si>
    <t>https://motorring.ru/product/12660</t>
  </si>
  <si>
    <t>https://motorring.ru/product/12665-ghgut-provodov-paneli-priborov-21917-3724030-03-dlya-lada</t>
  </si>
  <si>
    <t>https://motorring.ru/product/12666-ghgut-provodov-paneli-priborov-21920-3724030-63-dlya-lada</t>
  </si>
  <si>
    <t>https://motorring.ru/product/12667-ghgut-provodov-paneli-priborov-21920-3724030-60-dlya-lada</t>
  </si>
  <si>
    <t>https://motorring.ru/product/12668-ghgut-provodov-paneli-priborov-21920-3724030-70-dlya-lada</t>
  </si>
  <si>
    <t>https://motorring.ru/product/12669-ghgut-provodov-paneli-priborov-21922-3724030-73-dlya-lada</t>
  </si>
  <si>
    <t>1-929407-1</t>
  </si>
  <si>
    <t>АХ-330</t>
  </si>
  <si>
    <t>AX315</t>
  </si>
  <si>
    <t>Мин</t>
  </si>
  <si>
    <t>Макс</t>
  </si>
  <si>
    <t>ВАЗ 2108-3724030</t>
  </si>
  <si>
    <t>Жгут проводов системы зажигания эл. Педаль</t>
  </si>
  <si>
    <t>Ваз 21901-3724010-00</t>
  </si>
  <si>
    <t>по запросу</t>
  </si>
  <si>
    <t>КПП FDN</t>
  </si>
  <si>
    <t>Разъём в комбинации приборов(зеленый) в сборе с проводами</t>
  </si>
  <si>
    <t>ВАЗ 2105Жгут проводов заднийВАЗ 2105-3724210</t>
  </si>
  <si>
    <t>ВАЗ 2108Жгут проводов панели приборов(низкая)ВАЗ 2108-3724030</t>
  </si>
  <si>
    <t>ВАЗ 2114Жгут проводов системы зажигания эл. ПедальВАЗ 21144-3724026</t>
  </si>
  <si>
    <t>"Гранта"Жгут проводов фар и генератораВаз 21901-3724010-00</t>
  </si>
  <si>
    <t>2112372455810</t>
  </si>
  <si>
    <t>RZM-284426613R</t>
  </si>
  <si>
    <t>MR</t>
  </si>
  <si>
    <t>%</t>
  </si>
  <si>
    <t>https://motorring.ru/product/12540-provod-massy-pletenka-70sm-vaz-2101</t>
  </si>
  <si>
    <t>https://motorring.ru/product/12541-ghgut-provodov-soedinitelynyy-klemma-evro-2101-07-3724070</t>
  </si>
  <si>
    <t>https://motorring.ru/product/12559-kosa-paneli-priborov-2106-3724030-dlya-vaz-2106</t>
  </si>
  <si>
    <t>https://motorring.ru/product/12576-ghgut-provodov-salona-ruchnika-2110-3724550-dlya-vaz</t>
  </si>
  <si>
    <t>https://motorring.ru/product/12567</t>
  </si>
  <si>
    <t>https://motorring.ru/product/12201-plyusovoy-provod-generatora-2114-3724070-20-dlya-vaz</t>
  </si>
  <si>
    <t>https://motorring.ru/product/12552</t>
  </si>
  <si>
    <t>https://motorring.ru/product/12579-ghgut-provodov-steklopodyemnikov-centralynogo-zamka</t>
  </si>
  <si>
    <t>https://motorring.ru/product/16523-ghgut-provodov-peredney-pravoy-dveri-11186-3724550-dlya</t>
  </si>
  <si>
    <t>https://motorring.ru/product/12550</t>
  </si>
  <si>
    <t>https://motorring.ru/product/13973-ghgut-provodov-dveri-voditelya-2123-3724551-14-dlya</t>
  </si>
  <si>
    <t>https://motorring.ru/product/12639-ghgut-provodov-peredney-levoy-dveri-bez-povtoritelya</t>
  </si>
  <si>
    <t>https://motorring.ru/product/13964-ghgut-provodov-far-generatora-2110-3724010-20-dlya-vaz</t>
  </si>
  <si>
    <t>https://motorring.ru/product/12553-ghgut-paneli-priborov-21053-3724030-dlya-vaz-2105</t>
  </si>
  <si>
    <t>https://motorring.ru/product/13951-ghgut-provodov-paneli-priborov-21145-3724030-10-dlya-vaz</t>
  </si>
  <si>
    <t>https://motorring.ru/product/13950</t>
  </si>
  <si>
    <t>https://motorring.ru/product/12569-ghgut-provodov-zadniy-2111-3724210-03-dlya-vaz-2111</t>
  </si>
  <si>
    <t>https://motorring.ru/product/13940-provodka-pod-kapot-perednyaya-chasty-2106-3724008-80-dlya</t>
  </si>
  <si>
    <t>https://motorring.ru/product/12616-ghgut-provodov-zadniy-2123-3724210-dlya-shevrole-niva</t>
  </si>
  <si>
    <t>https://motorring.ru/product/6762-ghgut-sistemy-zaghiganiya-kontrollera-dvigatelyu-2107</t>
  </si>
  <si>
    <t>https://motorring.ru/product/4414</t>
  </si>
  <si>
    <t>https://motorring.ru/product/12636-ghgut-provodov-zadniy-2171-3724210-20-dlya-lada-priora</t>
  </si>
  <si>
    <t>https://motorring.ru/product/12675-ghgut-provodov-far-generatora-21920-3724010-01-dlya-lada</t>
  </si>
  <si>
    <t>https://motorring.ru/product/12678-ghgut-provodov-far-generatora-21921-3724010-00-dlya-lada</t>
  </si>
  <si>
    <t>https://motorring.ru/product/13978</t>
  </si>
  <si>
    <t>https://motorring.ru/product/6772-ghgut-provodov-sistemy-zaghiganiya-21103-3724026-11</t>
  </si>
  <si>
    <t>https://motorring.ru/product/13948-ghgut-paneli-priborov-2112-3724030-20-vaz-2110-2111-2112</t>
  </si>
  <si>
    <t>https://motorring.ru/product/13969-ghgut-provodov-far-generatora-2190-3724010-dlya-lada-granta</t>
  </si>
  <si>
    <t>https://motorring.ru/product/12625-ghgut-provodov-paneli-priborov-2123-3724030-94-dlya</t>
  </si>
  <si>
    <t>https://motorring.ru/product/6767-ghgut-provodov-sistemy-zaghiganiya-21093-3724026-60-dlya</t>
  </si>
  <si>
    <t>https://motorring.ru/product/6776-ghgut-provodov-kontrollera-21150-3724026-40-dlya-vaz</t>
  </si>
  <si>
    <t>https://motorring.ru/product/13939-ghgut-provodov-motornogo-otseka-21900-3724010-13-dlya-lada</t>
  </si>
  <si>
    <t>https://motorring.ru/product/12677-ghgut-provodov-far-generatora-21904-3724010-00-dlya-lada</t>
  </si>
  <si>
    <t>https://motorring.ru/product/12676-ghgut-provodov-far-generatora-21920-3724010-12-dlya-lada</t>
  </si>
  <si>
    <t>https://motorring.ru/product/12671-ghgut-provodov-far-generatora-2190-3724010-03-dlya-lada</t>
  </si>
  <si>
    <t>https://motorring.ru/product/6783-ghgut-provodov-sistemy-zaghiganiya-21214-3724026-80-lada</t>
  </si>
  <si>
    <t>https://motorring.ru/product/6923-ghgut-provodov-sistemy-zaghiganiya-2123-3724026-62-dlya</t>
  </si>
  <si>
    <t>https://motorring.ru/product/12609-ghgut-provodov-sistemy-zaghiganiya-21214-3724026-44-lada</t>
  </si>
  <si>
    <t>https://motorring.ru/product/18484-razyem-elektrozerkal-lada-kalina-granta-vesta</t>
  </si>
  <si>
    <t>https://motorring.ru/product/12628-ghgut-paneli-priborov-sbore-montaghnym-blokom-2172-3724030</t>
  </si>
  <si>
    <t>https://motorring.ru/product/12583</t>
  </si>
  <si>
    <t>https://motorring.ru/product/12205</t>
  </si>
  <si>
    <t>https://motorring.ru/product/19644-razyem-kolodka-zelenyy-bez-provodov-dlya-kombinacii</t>
  </si>
  <si>
    <t>Column1</t>
  </si>
  <si>
    <t>Column2</t>
  </si>
  <si>
    <t>Column3</t>
  </si>
  <si>
    <t>Column4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</si>
  <si>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</si>
  <si>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</si>
  <si>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</si>
  <si>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</si>
  <si>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</si>
  <si>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</si>
  <si>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</si>
  <si>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</si>
  <si>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</si>
  <si>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</si>
  <si>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</si>
  <si>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</si>
  <si>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</si>
  <si>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https://docs.google.com/spreadsheets/d/1f8_y-lcqVEuKpceVw_F97NEKzue5YmQtx8GIXUS_2B8/export?format=xlsx</t>
  </si>
  <si>
    <t>Плетёнка "-" (кольцо/кольцо), 70 см</t>
  </si>
  <si>
    <t>Жгут проводов соединительный (КЛЕММА "+"  евро)</t>
  </si>
  <si>
    <t>Жгут проводов соединительный (КЛЕММА " - " евро)</t>
  </si>
  <si>
    <t>Жгут проводов соединительный (КЛЕММА "-" евро 26 см)</t>
  </si>
  <si>
    <t>Жгут проводов соединительный АКБ (КЛЕММА "+"евро)</t>
  </si>
  <si>
    <t>Жгут проводов соединительный (КЛЕММА "+"евро)</t>
  </si>
  <si>
    <t>Жгут проводов под капот в сборе завод, из 4-х частей</t>
  </si>
  <si>
    <t>КЛЕММА – (евро)</t>
  </si>
  <si>
    <t>КЛЕММА +(евро)</t>
  </si>
  <si>
    <t>Жгут проводов под капот в сборе, из 4-х частей</t>
  </si>
  <si>
    <t>ВАЗ 2110-372410055</t>
  </si>
  <si>
    <t>КЛЕММА "+" (евро)</t>
  </si>
  <si>
    <t>Жгут проводов свеклоподъёмников и центрального замка из 4-х частей</t>
  </si>
  <si>
    <t>КЛЕММА " +" (евро)</t>
  </si>
  <si>
    <t>Жгут проводов панели приборов(карбюраторная)</t>
  </si>
  <si>
    <t>КЛЕММА "–"  (евро)</t>
  </si>
  <si>
    <t>Жгут проводов габаритов и ходовых огней за штуку</t>
  </si>
  <si>
    <t>КЛЕММА "+"\"-"(евро)</t>
  </si>
  <si>
    <t>КЛЕММА "-"</t>
  </si>
  <si>
    <t>КЛЕММА "+"</t>
  </si>
  <si>
    <t>К датчику детонации с резинкой</t>
  </si>
  <si>
    <t>К выключателю аварийной сигнал. 2108-2112,1117-1119,2123 к кнопке 2108;2110</t>
  </si>
  <si>
    <t>Разъем к контролеру BOSH(евро 4) за шт.</t>
  </si>
  <si>
    <t>400+400</t>
  </si>
  <si>
    <t>Блок силовых предохранителей 2170(он же 2190)</t>
  </si>
  <si>
    <t>Крышка к блоку силовых предохранителей</t>
  </si>
  <si>
    <t>ВАЗ 2101Плетёнка "-" (кольцо/кольцо), 70 смВАЗ 2101</t>
  </si>
  <si>
    <t>ВАЗ 2106Жгут проводов соединительный (КЛЕММА "+"евро)ВАЗ 2106-3724070</t>
  </si>
  <si>
    <t>ВАЗ 2108КЛЕММА – (евро)ВАЗ 2108,2115-3724080</t>
  </si>
  <si>
    <t>ВАЗ 2109Жгут проводов под капот в сборе, из 4-х частейВАЗ 2108,09,99(карбюратор)</t>
  </si>
  <si>
    <t>ВАЗ 2110Жгут проводов электроусилителя руля(производство Россия) ЭкономВАЗ 2110-372410055</t>
  </si>
  <si>
    <t>ВАЗ 2110КЛЕММА "+" (евро)ВАЗ 2110-3724070</t>
  </si>
  <si>
    <t>ВАЗ 2114Жгут проводов свеклоподъёмников и центрального замка из 4-х частейВАЗ 2115-3724226(комплект)</t>
  </si>
  <si>
    <t>"Нива"Жгут проводов панели приборов(карбюраторная)ВАЗ 21213-3724030</t>
  </si>
  <si>
    <t>"Нива"КЛЕММА "+" (евро)ВАЗ 21213-3724070</t>
  </si>
  <si>
    <t>"Нива"Жгут проводов габаритов и ходовых огней за штукуВАЗ 21214</t>
  </si>
  <si>
    <t>"Приора"КЛЕММА "+" (евро)ВАЗ 2170 -3724070</t>
  </si>
  <si>
    <t>173.3722-01м</t>
  </si>
  <si>
    <t>21230372201022</t>
  </si>
  <si>
    <t>2115-3724210</t>
  </si>
  <si>
    <t>21099-3724210</t>
  </si>
  <si>
    <t>Column20</t>
  </si>
  <si>
    <t>https://motorring.ru/product/12663-ghgut-provodov-paneli-priborov-2190-3724030-51-dlya-lada</t>
  </si>
  <si>
    <t>https://motorring.ru/product/12672-ghgut-provodov-far-generatora-21922-3724010-20-lada-granta</t>
  </si>
  <si>
    <t>https://motorring.ru/product/12615-ghgut-provodov-far-generatora-2123-3724010-58-dlya-shevrole</t>
  </si>
  <si>
    <t>https://motorring.ru/product/12595-ghgut-provodov-sistemy-zaghiganiya-1118-3724026-46-dlya</t>
  </si>
  <si>
    <t>https://motorring.ru/product/12605-ghgut-provodov-sistemy-zaghiganiya-21214-3724026-21-dlya</t>
  </si>
  <si>
    <t>https://motorring.ru/product/12593-ghgut-provodov-sistemy-zaghiganiya-1118-3724026-20-dlya</t>
  </si>
  <si>
    <t>https://motorring.ru/product/12611-ghgut-provodov-sistemy-zaghiganiya-21214-3724026-86-dlya</t>
  </si>
  <si>
    <t>https://motorring.ru/product/12654-ghgut-provodov-sistemy-zaghiganiya-21903-3724026-45-dlya</t>
  </si>
  <si>
    <t>https://motorring.ru/product/24496-ghgut-provodov-paneli-priborov-21214-3724030-70-lada-niva</t>
  </si>
  <si>
    <t>https://motorring.ru/product/12626-ghgut-provodov-far-generatora-2123-3724010-51-dlya-shevrole</t>
  </si>
  <si>
    <t>https://motorring.ru/product/12563-ghgut-paneli-priborov-2112-3724030-dlya-vaz-2110-2112</t>
  </si>
  <si>
    <t>https://motorring.ru/product/14322-ghgut-provodov-far-generatora-1119-3724010-40-lada-kalina</t>
  </si>
  <si>
    <t>https://motorring.ru/product/13963-ghgut-provodov-far-generatora-1119-3724010-lada-kalina</t>
  </si>
  <si>
    <t>https://motorring.ru/product/12618-ghgut-provodov-paneli-priborov-2123-3724030-20-dlya</t>
  </si>
  <si>
    <t>https://motorring.ru/product/12637-ghgut-provodov-zadniy-21713-3721210-00-dlya-lada-priora</t>
  </si>
  <si>
    <t>https://motorring.ru/product/36904-ghgut-provodov-zadniy-2131-3724210-lada-4x4-5d</t>
  </si>
  <si>
    <t>https://motorring.ru/product/12612-ghgut-provodov-zadniy-21214-3724210-dlya-korotkoy-lada-4h4</t>
  </si>
  <si>
    <t>https://motorring.ru/product/13943-ghgut-paneli-priborov-21073-3724030-30-dlya-vaz-2107</t>
  </si>
  <si>
    <t>https://motorring.ru/product/12640-ghgut-provodov-peredney-levoy-dveri-povtoritelem</t>
  </si>
  <si>
    <t>https://motorring.ru/product/12601-ghgut-provodov-zadniy-21213-3724210-dlya-korotkoy-lada-4h4</t>
  </si>
  <si>
    <t>https://motorring.ru/product/12209-ghgut-provodov-zadniy-2115-3724210-41-dlya-vaz-2115</t>
  </si>
  <si>
    <t>https://motorring.ru/product/12210-ghgut-provodov-zadniy-2115-3724210-31-vaz-2115</t>
  </si>
  <si>
    <t>https://motorring.ru/product/12212-ghgut-provodov-zadniy-2115-3724210-dlya-vaz-2115</t>
  </si>
  <si>
    <t>https://motorring.ru/product/13942-ghgut-paneli-priborov-2107-3724030-dlya-karbyuratornyh-vaz</t>
  </si>
  <si>
    <t>https://motorring.ru/product/12557-ghgut-provodov-zadniy-2105-3724210-dlya-vaz-2105</t>
  </si>
  <si>
    <t>https://motorring.ru/product/12548-ghgut-paneli-priborov-2105-3724030-vaz-2105</t>
  </si>
  <si>
    <t>https://motorring.ru/product/13981-ghgut-provodov-rampy-21179-3724036-00-cargen-vesta</t>
  </si>
  <si>
    <t>https://motorring.ru/product/16522-ghgut-provodov-peredney-levoy-dveri-11186-3724551-dlya-lada</t>
  </si>
  <si>
    <t>https://motorring.ru/product/12574-ghgut-provodov-pechki-stekloochistitelya-2112-3724019</t>
  </si>
  <si>
    <t>https://motorring.ru/product/13956-ghgut-provodov-rampy-21127-3724036-cargen-dlya-lada-kalina</t>
  </si>
  <si>
    <t>https://motorring.ru/product/12594-ghgut-provodov-stekloochistitelya-1118-3724019-dlya-lada</t>
  </si>
  <si>
    <t>https://motorring.ru/product/26472-ghgut-provodov-salona-podsvetki-2110-3724551-dlya-vaz</t>
  </si>
  <si>
    <t>https://motorring.ru/product/13977-ghgut-provodov-katushek-zaghiganiya-lada-kalina-granta</t>
  </si>
  <si>
    <t>https://motorring.ru/product/1014-ghgut-provodov-katushek-zaghiganiya-1118-3724148-dvigatelya</t>
  </si>
  <si>
    <t>https://motorring.ru/product/14975-ghgut-provodov-katushek-zaghiganiya-11174-3724148</t>
  </si>
  <si>
    <t>https://motorring.ru/product/13851-ghgut-provodov-kommutatora-21050-3724026-dlya-vaz-2104-2107</t>
  </si>
  <si>
    <t>https://motorring.ru/product/13941-ghgut-provodov-podsvetki-zadnego-nomera-11180-3724214-lada</t>
  </si>
  <si>
    <t>https://motorring.ru/product/13960-ghgut-provodov-salona-zadnih-fonarey-2109-3724210-dlya-vaz</t>
  </si>
  <si>
    <t>Код</t>
  </si>
  <si>
    <t>Разн</t>
  </si>
  <si>
    <t>Y / N</t>
  </si>
  <si>
    <t>Кол-во</t>
  </si>
  <si>
    <t>Y</t>
  </si>
  <si>
    <t>0</t>
  </si>
  <si>
    <t>21940-3724248-00</t>
  </si>
  <si>
    <t>2197-3724248-00</t>
  </si>
  <si>
    <t>21213-3724030</t>
  </si>
  <si>
    <t>1118-3724070</t>
  </si>
  <si>
    <t>2110-3724070</t>
  </si>
  <si>
    <t>21213-3724070</t>
  </si>
  <si>
    <t>2170-3724070</t>
  </si>
  <si>
    <t>https://motorring.ru/product/13961-ghgut-provodov-salona-zadnih-fonarey-21099-3724210-dlya-vaz</t>
  </si>
  <si>
    <t>ВАЗ 2170-3724026-50</t>
  </si>
  <si>
    <t>ПРОВОДА высоковольтные LADA Гранта FL, LADA Ларгус 8-ми клап.</t>
  </si>
  <si>
    <t>2105-3724030</t>
  </si>
  <si>
    <t>Жгут панели приборов для ВАЗ 2105</t>
  </si>
  <si>
    <t>2105-3724035</t>
  </si>
  <si>
    <t>21053-3724030</t>
  </si>
  <si>
    <t>Жгут панели приборов для ВАЗ 2106</t>
  </si>
  <si>
    <t>2106-3724030</t>
  </si>
  <si>
    <t>2107-3724030</t>
  </si>
  <si>
    <t>2112-3724030</t>
  </si>
  <si>
    <t>Жгут подфарников для ВАЗ 2106</t>
  </si>
  <si>
    <t>Жгут проводов багажника для ВАЗ 2110</t>
  </si>
  <si>
    <t>2110-3724558</t>
  </si>
  <si>
    <t>Жгут проводов багажника для ВАЗ 2111</t>
  </si>
  <si>
    <t>2111-3724558</t>
  </si>
  <si>
    <t>Жгут проводов багажника для ВАЗ 2112</t>
  </si>
  <si>
    <t>2112-3724558</t>
  </si>
  <si>
    <t>2112-3724037</t>
  </si>
  <si>
    <t>Жгут проводов бензобака для ВАЗ 2110-2112</t>
  </si>
  <si>
    <t>Жгут проводов боковых дверей для ВАЗ 2114, 2115</t>
  </si>
  <si>
    <t>2115-3724226</t>
  </si>
  <si>
    <t>Жгут проводов габаритов и ходовых огней для Лада Нива 4х4</t>
  </si>
  <si>
    <t>Жгут проводов датчика системы парковки для Лада Калина 2</t>
  </si>
  <si>
    <t>Жгут проводов задней двери для Лада Калина</t>
  </si>
  <si>
    <t>2115-3724550</t>
  </si>
  <si>
    <t>Жгут проводов задний для ВАЗ 2101, 2102</t>
  </si>
  <si>
    <t>21011-3724210</t>
  </si>
  <si>
    <t>2105-3724210</t>
  </si>
  <si>
    <t>Жгут проводов задний для ВАЗ 2106</t>
  </si>
  <si>
    <t>2106-3724210</t>
  </si>
  <si>
    <t>Жгут проводов задний для ВАЗ 2110</t>
  </si>
  <si>
    <t>Жгут проводов задний для ВАЗ 2111</t>
  </si>
  <si>
    <t>Жгут проводов задний для ВАЗ 2112</t>
  </si>
  <si>
    <t>1118-3724210</t>
  </si>
  <si>
    <t>1119-3724210</t>
  </si>
  <si>
    <t>21214-3724210</t>
  </si>
  <si>
    <t>21213-3724210</t>
  </si>
  <si>
    <t>2131-3724210</t>
  </si>
  <si>
    <t>Жгут проводов задний для Шевроле Нива</t>
  </si>
  <si>
    <t>2123-3724210</t>
  </si>
  <si>
    <t>21104-3724148</t>
  </si>
  <si>
    <t>21127-3724148</t>
  </si>
  <si>
    <t>1118-3724148</t>
  </si>
  <si>
    <t>11174-3724148</t>
  </si>
  <si>
    <t>Жгут проводов контроллера для Лада Калина</t>
  </si>
  <si>
    <t>Жгут проводов коробки воздухопритока для ВАЗ 2108-21099, 2113-2115</t>
  </si>
  <si>
    <t>2114-3724019</t>
  </si>
  <si>
    <t>Жгут проводов крышки багажника для Шевроле Нива</t>
  </si>
  <si>
    <t>2123-3724558</t>
  </si>
  <si>
    <t>21213-3724010</t>
  </si>
  <si>
    <t>21082-3724030</t>
  </si>
  <si>
    <t>Жгут проводов печки-стеклоочистителя для ВАЗ 2110</t>
  </si>
  <si>
    <t>2110-3724019</t>
  </si>
  <si>
    <t>Жгут проводов печки-стеклоочистителя для ВАЗ 2111</t>
  </si>
  <si>
    <t>2111-3724019</t>
  </si>
  <si>
    <t>21011-3724008</t>
  </si>
  <si>
    <t>2121-3724008</t>
  </si>
  <si>
    <t>Жгут проводов салона и задних фонарей для ВАЗ 2104</t>
  </si>
  <si>
    <t>Жгут проводов салона и задних фонарей для ВАЗ 2108, 2109</t>
  </si>
  <si>
    <t>Жгут проводов салона и задних фонарей для ВАЗ 2108, 2109, 2113, 2114</t>
  </si>
  <si>
    <t>21144-3724210</t>
  </si>
  <si>
    <t>Жгут проводов салона и задних фонарей для ВАЗ 21099</t>
  </si>
  <si>
    <t>Жгут проводов салона и задних фонарей для ВАЗ 21099, 2115</t>
  </si>
  <si>
    <t>Жгут проводов салона и задних фонарей для ВАЗ 2115</t>
  </si>
  <si>
    <t>Жгут проводов салона и подсветки для ВАЗ 2110-2112</t>
  </si>
  <si>
    <t>2110-3724551</t>
  </si>
  <si>
    <t>Жгут проводов салона и ручника для ВАЗ 2110-2112</t>
  </si>
  <si>
    <t>2110-3724550</t>
  </si>
  <si>
    <t>2110-3724026</t>
  </si>
  <si>
    <t>2106-3724070</t>
  </si>
  <si>
    <t>Жгут проводов стеклоподъемников и центрального замка для ВАЗ 2110-2112</t>
  </si>
  <si>
    <t>2110-3724226</t>
  </si>
  <si>
    <t>2112-3724036</t>
  </si>
  <si>
    <t>2111-3724036</t>
  </si>
  <si>
    <t>Жгут проводов форсунок для Лада Нива 4х4</t>
  </si>
  <si>
    <t>21214-3724036</t>
  </si>
  <si>
    <t>Жгут проводов форсунок для Шевроле Нива</t>
  </si>
  <si>
    <t>2123-3724036</t>
  </si>
  <si>
    <t>Клемма + евро для ВАЗ 2110-2112</t>
  </si>
  <si>
    <t>Клемма + евро для Лада Нива 4х4</t>
  </si>
  <si>
    <t>Минусовой провод массы для ВАЗ 2101-2107</t>
  </si>
  <si>
    <t>21044-3724080</t>
  </si>
  <si>
    <t>Минусовой провод массы для ВАЗ 2108-21099, 2113-2115</t>
  </si>
  <si>
    <t>Плюсовой провод генератора для ВАЗ 2108-21099, 2113-2115</t>
  </si>
  <si>
    <t>Жгут проводов системы зажигания эл. Педаль газа</t>
  </si>
  <si>
    <t>Жгут проводов системы зажигания эл педаль газа</t>
  </si>
  <si>
    <t>ВАЗ 21703-3724550-19</t>
  </si>
  <si>
    <t>https://motorring.ru/product/6566-kabely-udlinitely-gps-antenny-itelma-dlya-lada-priora</t>
  </si>
  <si>
    <t>не нашел</t>
  </si>
  <si>
    <t>https://motorring.ru/product/31140-ghgut-provodov-salona-zadnih-fonarey-2112-3724558-10-cargen</t>
  </si>
  <si>
    <t>1290 снят</t>
  </si>
  <si>
    <t>https://motorring.ru/product/31402-razyemy-provodami-cargen-12078090-datchiku-pologheniya</t>
  </si>
  <si>
    <t>https://motorring.ru/product/12673-ghgut-provodov-far-generatora-21924-3724010-20-dlya-lada</t>
  </si>
  <si>
    <t>https://motorring.ru/product/12670-ghgut-provodov-paneli-priborov-21902-3724030-54-dlya-lada</t>
  </si>
  <si>
    <t>https://motorring.ru/product/12664-ghgut-provodov-paneli-priborov-21912-3724030-53-dlya-lada</t>
  </si>
  <si>
    <t>https://motorring.ru/product/12632-ghgut-paneli-priborov-21703-3724030-dlya-lada-priora-e-gaz</t>
  </si>
  <si>
    <t>https://motorring.ru/product/12662-ghgut-provodov-paneli-priborov-blokom-predohraniteley</t>
  </si>
  <si>
    <t>https://motorring.ru/product/12661-ghgut-provodov-paneli-priborov-blokom-predohraniteley</t>
  </si>
  <si>
    <t>https://motorring.ru/product/12638-ghgut-provodov-paneli-priborov-blokom-predohraniteley</t>
  </si>
  <si>
    <t>22990 снят</t>
  </si>
  <si>
    <t>https://motorring.ru/product/12590-ghgut-provodov-paneli-priborov-sbore-blokom-predohraniteley</t>
  </si>
  <si>
    <t>https://motorring.ru/product/33722-ghgut-provodov-sistemy-zaghiganiya-21214-3724026-a2-4x4</t>
  </si>
  <si>
    <t>10990 снят</t>
  </si>
  <si>
    <t>https://motorring.ru/product/12621-ghgut-provodov-sistemy-zaghiganiya-2123-3724026-90-dlya</t>
  </si>
  <si>
    <t>https://motorring.ru/product/6922-ghgut-provodov-zaghiganiya-2123-3724026-80-shevrolet-niva</t>
  </si>
  <si>
    <t>https://motorring.ru/product/12620-ghgut-provodov-sistemy-zaghiganiya-2123-3724026-60-dlya</t>
  </si>
  <si>
    <t>https://motorring.ru/product/12619-ghgut-provodov-sistemy-zaghiganiya-2123-3724026-30-dlya</t>
  </si>
  <si>
    <t>https://motorring.ru/product/22407-originalynyy-ghgut-provodov-sistemy-zaghiganiya</t>
  </si>
  <si>
    <t>https://motorring.ru/product/6786-ghgut-provodov-sistemy-zaghiganiya-11184-3724026-10-dlya</t>
  </si>
  <si>
    <t>https://motorring.ru/product/12592-ghgut-provodov-sistemy-zaghiganiya-1118-3724026-40-dlya</t>
  </si>
  <si>
    <t>https://motorring.ru/product/36903-ghgut-provodov-sistemy-zaghiganiya-1118-3724026-31-kalina</t>
  </si>
  <si>
    <t>https://motorring.ru/product/6785-ghgut-provodov-sistemy-zaghiganiya-21214-3724026-97-dlya</t>
  </si>
  <si>
    <t>https://motorring.ru/product/6782-ghgut-provodov-sistemy-zaghiganiya-lada-4h4</t>
  </si>
  <si>
    <t>13790 снят</t>
  </si>
  <si>
    <t>https://motorring.ru/product/12610-ghgut-provodov-sistemy-zaghiganiya-21214-3724026-60-dlya</t>
  </si>
  <si>
    <t>https://motorring.ru/product/12645-ghgut-provodov-far-generatora-2170-3724010-62-dlya-lada</t>
  </si>
  <si>
    <t>https://motorring.ru/product/12589-ghgut-provodov-paneli-priborov-sbore-montaghnym-blokom</t>
  </si>
  <si>
    <t>https://motorring.ru/product/12683-ghgut-provodov-far-generatora-31631-3724020-dlya-uaz</t>
  </si>
  <si>
    <t>https://motorring.ru/product/12651-ghgut-provodov-sistemy-zaghiganiya-2190-3724026-40-dlya</t>
  </si>
  <si>
    <t>https://motorring.ru/product/12647-ghgut-provodov-sistemy-zaghiganiya-2170-3724026-lada-priora</t>
  </si>
  <si>
    <t>https://motorring.ru/product/13959-ghgut-provodov-zadniy-2106-3724210-dlya-vaz-2106</t>
  </si>
  <si>
    <t>https://motorring.ru/product/13937-ghgut-provodov-motornogo-otseka-21050-3724010-dlya-vaz-2104</t>
  </si>
  <si>
    <t>https://motorring.ru/product/13958-ghgut-provodov-zadniy-2107-3724210-20-dlya-vaz-2105-2107</t>
  </si>
  <si>
    <t>https://motorring.ru/product/13946-ghgut-provodov-paneli-priborov-21083-3724030-dlya-vaz</t>
  </si>
  <si>
    <t>https://motorring.ru/product/12206-ghgut-provodov-steklopodyemnikov-bokovyh-dverey</t>
  </si>
  <si>
    <t>https://motorring.ru/product/12542-jgut-provodov-pod-kapot-21011-3724008-vaz-2101</t>
  </si>
  <si>
    <t>https://motorring.ru/product/13944-ghgut-provodov-paneli-priborov-2108-3724030-vaz-2108-21099</t>
  </si>
  <si>
    <t>https://motorring.ru/product/39077-ghgut-provodov-zadniy-21144-3724210-10-dlya-vaz-2108-2109</t>
  </si>
  <si>
    <t>https://motorring.ru/product/25895-ghgut-provodov-paneli-priborov-2115-3724030-50-vaz</t>
  </si>
  <si>
    <t>https://motorring.ru/product/26489-farogeneratornyy-ghgut-provodov-21154-3724010-30-dlya</t>
  </si>
  <si>
    <t>https://motorring.ru/product/13971-ghgut-provodov-motornogo-otseka-21213-3724010-dlya-lada-4h4</t>
  </si>
  <si>
    <t>https://motorring.ru/product/12642-ghgut-provodov-peredney-pravoy-dveri-povtoritelem</t>
  </si>
  <si>
    <t>https://motorring.ru/product/12546-ghgut-paneli-priborov-21043-3724030-vaz-2104-panelyyu-2107</t>
  </si>
  <si>
    <t>https://motorring.ru/product/13957-ghgut-provodov-salona-zadnih-fonarey-2104-3724210-dlya-vaz</t>
  </si>
  <si>
    <t>https://motorring.ru/product/12549</t>
  </si>
  <si>
    <t>https://motorring.ru/product/13945-ghgut-provodov-paneli-priborov-21082-3724030-dlya-vaz</t>
  </si>
  <si>
    <t>https://motorring.ru/product/13965-ghgut-provodov-far-generatora-2112-3724010-10-vaz-2110-2112</t>
  </si>
  <si>
    <t>https://motorring.ru/product/12571-ghgut-provodov-zadniy-2110-3724210-03-dlya-vaz-2110</t>
  </si>
  <si>
    <t>https://motorring.ru/product/12570-ghgut-provodov-zadniy-2112-3724210-03-dlya-vaz-2112</t>
  </si>
  <si>
    <t>https://motorring.ru/product/12682-ghgut-provodov-paneli-priborov-31631-3724010-10-dlya-uaz</t>
  </si>
  <si>
    <t>4590 снят</t>
  </si>
  <si>
    <t>https://motorring.ru/product/11289-blok-predohraniteley-montaghnyy-blok-394-3722m-shevrole</t>
  </si>
  <si>
    <t>https://motorring.ru/product/33544-blok-predohraniteley-montaghnyy-blok-vaz-2105</t>
  </si>
  <si>
    <t>https://motorring.ru/product/37805-blok-rele-predohraniteley-avar-sbore-vaz-2110</t>
  </si>
  <si>
    <t>https://motorring.ru/product/13938-ghgut-provodov-motornogo-otseka-sbore-2108-3724010</t>
  </si>
  <si>
    <t>https://motorring.ru/product/11504-blok-predohraniteley-montaghnyy-blok-vaz-2107-inghektor</t>
  </si>
  <si>
    <t>https://motorring.ru/product/12587-ghgut-provodov-zadniy-1118-3724210-dlya-lada-kalina-sedan</t>
  </si>
  <si>
    <t>https://motorring.ru/product/13947-ghgut-provodov-paneli-priborov-21110-3724030-01-vaz</t>
  </si>
  <si>
    <t>https://motorring.ru/product/12598-ghgut-provodov-paneli-priborov-21213-3724030-lada-4h4-niva</t>
  </si>
  <si>
    <t>https://motorring.ru/product/12602-ghgut-provodov-pod-kapot-perednyaya-chasty-2121-3724008</t>
  </si>
  <si>
    <t>https://motorring.ru/product/12633-ghgut-provodov-zadniy-2170-3724210-dlya-lada-priora-sedan</t>
  </si>
  <si>
    <t>https://motorring.ru/product/12650-montaghnyy-nabor-dlya-dlya-podklyucheniya-lobovogo-stekla</t>
  </si>
  <si>
    <t>https://motorring.ru/product/33549-montaghnyy-blok-rele-predohraniteley-vaz-21083-avar-sbore</t>
  </si>
  <si>
    <t>https://motorring.ru/product/37832-blok-predohraniteley-montaghnyy-novogo-obrazca-vaz-2108-21099</t>
  </si>
  <si>
    <t>https://motorring.ru/product/12674-ghgut-provodov-far-generatora-21901-3724010-00-dlya-lada</t>
  </si>
  <si>
    <t>https://motorring.ru/product/12588-ghgut-provodov-zadniy-1119-3724210-dlya-lada-kalina</t>
  </si>
  <si>
    <t>https://motorring.ru/product/12635-ghgut-provodov-zadniy-21703-3724210-23-dlya-lada-priora</t>
  </si>
  <si>
    <t>https://motorring.ru/product/12545</t>
  </si>
  <si>
    <t>https://motorring.ru/product/19675</t>
  </si>
  <si>
    <t>https://motorring.ru/product/6770-ghgut-provodov-sistemy-zaghiganiya-21102-3724026-51-dlya</t>
  </si>
  <si>
    <t>https://motorring.ru/product/12624-ghgut-provodov-paneli-priborov-2123-3724030-90-dlya</t>
  </si>
  <si>
    <t>https://motorring.ru/product/12634-ghgut-provodov-zadniy-2170-3724210-50-dlya-lada-priora</t>
  </si>
  <si>
    <t>https://motorring.ru/product/13962-ghgut-provodov-far-generatora-1118-3724010-dlya-lada-kalina</t>
  </si>
  <si>
    <t>https://motorring.ru/product/6768-ghgut-provodov-sistemy-zaghiganiya-21102-3724026-05-dlya</t>
  </si>
  <si>
    <t>https://motorring.ru/product/31820-ghgut-provodov-kontrollera-ebu-21102-3724026-70-dlya-vaz</t>
  </si>
  <si>
    <t>https://motorring.ru/product/26493-ghgut-provodov-far-generatora-21214-3724010-90-lada-niva</t>
  </si>
  <si>
    <t>https://motorring.ru/product/12622-ghgut-provodov-far-generatora-2123-3724010-44-dlya-shevrole</t>
  </si>
  <si>
    <t>https://motorring.ru/product/13968-ghgut-provodov-far-generatora-2170-3724010-dlya-lada-priora</t>
  </si>
  <si>
    <t>https://motorring.ru/product/36908-ghgut-provodov-far-generatora-2172-3724010-priora</t>
  </si>
  <si>
    <t>https://motorring.ru/product/6773-ghgut-provodov-sistemy-zaghiganiya-21104-3724026-10-vaz</t>
  </si>
  <si>
    <t>https://motorring.ru/product/12646-ghgut-provodov-far-generatora-2170-3724010-30-dlya-lada</t>
  </si>
  <si>
    <t>https://motorring.ru/product/6787</t>
  </si>
  <si>
    <t>https://motorring.ru/product/6921-ghgut-provodov-kontrollera-21700-3724026-60-dlya-lada</t>
  </si>
  <si>
    <t>https://motorring.ru/product/6774-ghgut-provodov-kontrollera-e-gaz-21144-3724026-00-vaz</t>
  </si>
  <si>
    <t>https://motorring.ru/product/6775-ghgut-provodov-kontrollera-21150-3724026-11-dlya-vaz</t>
  </si>
  <si>
    <t>https://motorring.ru/product/6777-ghgut-provodov-kontrollera-21150-3724026-50-vaz-2113</t>
  </si>
  <si>
    <t>https://motorring.ru/product/6778-ghgut-provodov-sistemy-zaghiganiya-2115-3724026-70-dlya-vaz</t>
  </si>
  <si>
    <t>https://motorring.ru/product/6780-ghgut-provodov-sistemy-zaghiganiya-21154-3724026-30-bez</t>
  </si>
  <si>
    <t>https://motorring.ru/product/12584-ghgut-provodov-salona-1117-3724210-dlya-lada-kalina</t>
  </si>
  <si>
    <t>https://motorring.ru/product/12653-ghgut-provodov-zadniy-2190-3724210-dlya-lada-granta-sedan</t>
  </si>
  <si>
    <t>https://motorring.ru/product/12658-montaghnyy-nabor-dlya-podklyucheniya-lobovogo-stekla</t>
  </si>
  <si>
    <t>https://motorring.ru/product/13972-ghgut-provodov-rampy-21129-3724036-00-lada-kalina-granta</t>
  </si>
  <si>
    <t>пересмотреть</t>
  </si>
  <si>
    <t>https://motorring.ru/product/12641-ghgut-provodov-peredney-pravoy-dveri-bez-povtoritelya</t>
  </si>
  <si>
    <t>https://motorring.ru/product/12657-ghgut-provodov-peredney-pravoy-dveri-2190-3724544-10-dlya</t>
  </si>
  <si>
    <t>https://motorring.ru/product/12655-ghgut-provodov-peredney-levoy-dveri-2190-3724545-10-dlya</t>
  </si>
  <si>
    <t>https://motorring.ru/product/4597-ghgut-provodov-dlya-podklyucheniya-elektrousilitelya-rulya</t>
  </si>
  <si>
    <t>https://motorring.ru/product/12565</t>
  </si>
  <si>
    <t>https://motorring.ru/product/12566-ghgut-provodov-bagaghnika-vaz-2112</t>
  </si>
  <si>
    <t>https://motorring.ru/product/12617</t>
  </si>
  <si>
    <t>990 снят</t>
  </si>
  <si>
    <t>не такой</t>
  </si>
  <si>
    <t>https://motorring.ru/product/12564-ghgut-provodov-bagaghnika-2110-3724558-dlya-vaz-2110</t>
  </si>
  <si>
    <t>https://motorring.ru/product/12543-jgut-provodov-zadniy-21011-3724210-vaz-2101</t>
  </si>
  <si>
    <t>https://motorring.ru/product/12561-ghgut-podfarnikov-vaz-2106</t>
  </si>
  <si>
    <t>https://motorring.ru/product/12599-klemma-evro-21213-3724070-lada-4h4-niva-21213-2131</t>
  </si>
  <si>
    <t>https://motorring.ru/product/12580-klemma-evro-2110-3724070-dlya-vaz-2110-2112</t>
  </si>
  <si>
    <t>https://motorring.ru/product/10237-razyem-kombinacii-priborov-lada-priora-kalina-kalina</t>
  </si>
  <si>
    <t>https://motorring.ru/product/12649-klemma-evro-2170-3724070-dlya-lada-priora</t>
  </si>
  <si>
    <t>https://motorring.ru/product/12204-ghgut-provodov-korobki-vozduhopritoka-2114-3724019-dlya-vaz</t>
  </si>
  <si>
    <t>https://motorring.ru/product/9701-ghgut-provodov-katushek-zaghiganiya-21104-3724148</t>
  </si>
  <si>
    <t>https://motorring.ru/product/26436-ghgut-provodov-stekloochistitelya-omyvatelya-21093-3724019</t>
  </si>
  <si>
    <t>https://motorring.ru/product/12202-minusovoy-provod-massy-2108-3724080-dlya-vaz-2108-21099</t>
  </si>
  <si>
    <t>https://motorring.ru/product/12560-ghgut-provodov-soedinitelynyy-klemma-evro-2106-3724070-dlya</t>
  </si>
  <si>
    <t>https://motorring.ru/product/12603-razyem-predohraniteley-4sht-lada-niva-4h4</t>
  </si>
  <si>
    <t>https://motorring.ru/product/12586-ghgut-provodov-zadney-dveri-1118-3724550-10-dlya-lada</t>
  </si>
  <si>
    <t>https://motorring.ru/product/12585-klemma-evro-1118-3724070-dlya-lada-kalina</t>
  </si>
  <si>
    <t>https://motorring.ru/product/13536-ghgut-provodov-gabaritov-hodovyh-ogney-pravyy-lada-niva-4h4</t>
  </si>
  <si>
    <t>https://motorring.ru/product/12623-ghgut-provodov-forsunok-2123-3724036-dlya-shevrole-niva</t>
  </si>
  <si>
    <t>https://motorring.ru/product/13976-ghgut-provodov-forsunok-21214-3724036-lada-4h4-niva-21214</t>
  </si>
  <si>
    <t>https://motorring.ru/product/13954-ghgut-provodov-forsunok-2111-3724036-vaz-2110-2112</t>
  </si>
  <si>
    <t>https://motorring.ru/product/13953-ghgut-provodov-rampy-11184-3724036-00-dlya-lada-kalina</t>
  </si>
  <si>
    <t>1290 cargen</t>
  </si>
  <si>
    <t>https://motorring.ru/product/13975-ghgut-provodov-forsunok-11186-3724036-dlya-lada-kalina</t>
  </si>
  <si>
    <t>https://motorring.ru/product/18505-razyem-bloka-upravleniya-steklopodyemnikami-perednimi</t>
  </si>
  <si>
    <t>https://motorring.ru/product/10889-ghgut-provodov-kommutatora-21080-3724026-dlya-vaz</t>
  </si>
  <si>
    <t>https://motorring.ru/product/12544-ghgut-provodov-soedinitelynyy-klemma-evro-2101-3724080-vaz</t>
  </si>
  <si>
    <t>https://motorring.ru/product/12581-razyem-motor-pechki-vaz-2110-2112-shevrole-niva</t>
  </si>
  <si>
    <t>https://motorring.ru/product/13974-ghgut-provodov-salona-zadniy-21922-3724210-02-dlya-lada</t>
  </si>
  <si>
    <t>Жгут панели приборов 2170 в сборе с монтажным блоком для Лада Приора</t>
  </si>
  <si>
    <t>2170-3724030</t>
  </si>
  <si>
    <t>Жгут панели приборов 2170-21 в сборе с монтажным блоком для Лада Приора</t>
  </si>
  <si>
    <t>Жгут панели приборов 2170-30 в сборе с монтажным блоком для Лада Приора</t>
  </si>
  <si>
    <t>Жгут панели приборов 2170-61 для Лада Приора</t>
  </si>
  <si>
    <t>Жгут панели приборов 2170-70 в сборе с монтажным блоком для Лада Приора</t>
  </si>
  <si>
    <t>Жгут панели приборов 2172 в сборе с монтажным блоком для Лада Приора</t>
  </si>
  <si>
    <t>2172-3724030</t>
  </si>
  <si>
    <t>21703-3724030</t>
  </si>
  <si>
    <t>Жгут проводов датчика системы парковки для Лада Гранта</t>
  </si>
  <si>
    <t>Жгут проводов датчика системы парковки для Лада Гранта FL</t>
  </si>
  <si>
    <t>2170-3724210</t>
  </si>
  <si>
    <t>Жгут проводов задний для ВАЗ 2105, 2107</t>
  </si>
  <si>
    <t>Жгут проводов задний для Лада Гранта седан</t>
  </si>
  <si>
    <t>2190-3724210</t>
  </si>
  <si>
    <t>2170-3724026</t>
  </si>
  <si>
    <t>Жгут проводов моторного отсека для Лада Гранта</t>
  </si>
  <si>
    <t>Жгут проводов панели приборов 1118 в сборе с монтажным блоком для Лада Калина</t>
  </si>
  <si>
    <t>1118-3724030</t>
  </si>
  <si>
    <t>Жгут проводов панели приборов 11183 в сборе с монтажным блоком для Лада Калина</t>
  </si>
  <si>
    <t>11183-3724030</t>
  </si>
  <si>
    <t>Жгут проводов панели приборов 11186 для Лада Калина</t>
  </si>
  <si>
    <t>Жгут проводов панели приборов для Лада Гранта</t>
  </si>
  <si>
    <t>2190-3724030</t>
  </si>
  <si>
    <t>Жгут проводов панели приборов с блоком предохранителей для Лада Гранта</t>
  </si>
  <si>
    <t>Жгут проводов передней левой двери для Лада Гранта</t>
  </si>
  <si>
    <t>Жгут проводов передней левой двери для Лада Калина, Гранта</t>
  </si>
  <si>
    <t>Жгут проводов передней правой двери для Лада Гранта</t>
  </si>
  <si>
    <t>Жгут проводов передней правой двери для Лада Калина</t>
  </si>
  <si>
    <t>11186-3724550</t>
  </si>
  <si>
    <t>Жгут проводов подсветки заднего номера для Лада Калина</t>
  </si>
  <si>
    <t>21129-3724036</t>
  </si>
  <si>
    <t>Жгут проводов салона для Лада Калина</t>
  </si>
  <si>
    <t>1117-3724210</t>
  </si>
  <si>
    <t>Жгут проводов салона задний для Лада Гранта, Калина 2</t>
  </si>
  <si>
    <t>Жгут проводов системы зажигания для Лада Гранта</t>
  </si>
  <si>
    <t>Жгут проводов стеклоочистителя для Лада Калина</t>
  </si>
  <si>
    <t>1118-3724019</t>
  </si>
  <si>
    <t>Жгут проводов фар и генератора  на Лада Гранта</t>
  </si>
  <si>
    <t>1118-3724010</t>
  </si>
  <si>
    <t>Жгут проводов фар и генератора 11180 для Лада Калина</t>
  </si>
  <si>
    <t>1119-3724010</t>
  </si>
  <si>
    <t>Жгут проводов фар и генератора 2172 для Лада Приора, Приора 2</t>
  </si>
  <si>
    <t>2172-3724010</t>
  </si>
  <si>
    <t>Жгут проводов фар и генератора для Лада Гранта</t>
  </si>
  <si>
    <t>2190-3724010</t>
  </si>
  <si>
    <t>2170-3724010</t>
  </si>
  <si>
    <t>11186-3724036</t>
  </si>
  <si>
    <t>Клемма + евро для Лада Калина</t>
  </si>
  <si>
    <t>Клемма + евро для Лада Приора, Приора 2</t>
  </si>
  <si>
    <t>Монтажный набор для подключения лобового стекла с подогревом для Лада Приора, Приора 2</t>
  </si>
  <si>
    <t>СВОД</t>
  </si>
  <si>
    <t>Данные</t>
  </si>
  <si>
    <t>К выключателю аварийной сигнала 2170-2172</t>
  </si>
  <si>
    <t>РЦ</t>
  </si>
  <si>
    <t>ЗЦ</t>
  </si>
  <si>
    <t>Кабель подключения камеры заднего вида для Лада Веста</t>
  </si>
  <si>
    <t>Column5</t>
  </si>
  <si>
    <t>Column6</t>
  </si>
  <si>
    <t>Column21</t>
  </si>
  <si>
    <t>Column22</t>
  </si>
  <si>
    <t>Column23</t>
  </si>
  <si>
    <t>Column24</t>
  </si>
  <si>
    <t>Column25</t>
  </si>
  <si>
    <t>Column26</t>
  </si>
  <si>
    <t>Column27</t>
  </si>
  <si>
    <t/>
  </si>
  <si>
    <t>ок</t>
  </si>
  <si>
    <t>ВАЗ 2107Жгут проводов под капот в сбореВАЗ 2105,07,04 (карбюратор)</t>
  </si>
  <si>
    <t>https://motorring.ru/product/12551-ghgut-provodov-pod-kapot-2105-sbore-dlya-vaz-2104-2105-2107</t>
  </si>
  <si>
    <t>Артикул</t>
  </si>
  <si>
    <t>Блок монтажный АВАР нового образца для ВАЗ 2105</t>
  </si>
  <si>
    <t>Блок монтажный для ВАЗ 2104-2107 с инжекторным двигателем</t>
  </si>
  <si>
    <t>Блок монтажный для ВАЗ 2104, 2105, 2107 с карбюраторным двигателем</t>
  </si>
  <si>
    <t>Жгут панели приборов 8450030715 для Лада Веста</t>
  </si>
  <si>
    <t>8450030715</t>
  </si>
  <si>
    <t>Лада "Vesta"Жгут проводов панели приборов8450030715</t>
  </si>
  <si>
    <t>https://motorring.ru/product/26499-ghgut-provodov-paneli-priborov-8450030715-lada-vesta</t>
  </si>
  <si>
    <t>Жгут панели приборов 8450031379 для Лада Веста</t>
  </si>
  <si>
    <t>8450031379</t>
  </si>
  <si>
    <t>Лада "Vesta"Жгут проводов панели приборов8450031379</t>
  </si>
  <si>
    <t>https://motorring.ru/product/26497-ghgut-provodov-paneli-priborov-8450031379-lada-vesta</t>
  </si>
  <si>
    <t>Жгут панели приборов 8450031623 для Лада Веста</t>
  </si>
  <si>
    <t>8450031623</t>
  </si>
  <si>
    <t>Лада "Vesta"Жгут проводов панели приборов8450031623</t>
  </si>
  <si>
    <t>https://motorring.ru/product/26498-ghgut-provodov-paneli-priborov-8450031623-lada-vesta</t>
  </si>
  <si>
    <t>Жгут панели приборов в сборе с монтажным блоком для Лада Приора 16-ти клапанный двигатель, Е-газ, с ABS, без кондиционера, ПТФ и датчика дождя</t>
  </si>
  <si>
    <t>Жгут панели приборов для ВАЗ 2104 инжекторный двигатель, с панелью 2107</t>
  </si>
  <si>
    <t>Жгут панели приборов для ВАЗ 2104 карбюраторный двигатель, с панелью 2105</t>
  </si>
  <si>
    <t>Жгут панели приборов для ВАЗ 2104 карбюраторный двигатель, с панелью 2107</t>
  </si>
  <si>
    <t>Жгут панели приборов для ВАЗ 2105 инжекторный двигатель</t>
  </si>
  <si>
    <t>Жгут панели приборов для ВАЗ 2105 карбюраторный двигатель</t>
  </si>
  <si>
    <t>Жгут панели приборов для ВАЗ 2107 инжекторный двигатель</t>
  </si>
  <si>
    <t>Жгут панели приборов для ВАЗ 2107 карбюраторный двигатель</t>
  </si>
  <si>
    <t>Жгут панели приборов для ВАЗ 2110-2112 1.5 л, с европанелью</t>
  </si>
  <si>
    <t>Жгут панели приборов для ВАЗ 2110-2112 1.6 л, с европанелью</t>
  </si>
  <si>
    <t>Жгут панели приборов для Лада Ларгус</t>
  </si>
  <si>
    <t>Лада LargusЖгут панели приборов</t>
  </si>
  <si>
    <t>https://motorring.ru/product/12681-ghgut-provodov-paneli-priborov-dlya-lada-largus</t>
  </si>
  <si>
    <t>Жгут проводов Cargen для подключения электроусилителя руля ВАЗ</t>
  </si>
  <si>
    <t>Жгут проводов АБС для Лада Ларгус</t>
  </si>
  <si>
    <t>Лада LargusЖгут ABS</t>
  </si>
  <si>
    <t>Жгут проводов бензобака нового образца для ВАЗ 2110-2112</t>
  </si>
  <si>
    <t>Жгут проводов генератора на ленте для ВАЗ 2108-21099</t>
  </si>
  <si>
    <t>ВАЗ 2108Жгут проводов генератора на лентеВАЗ 21083-3724017-10</t>
  </si>
  <si>
    <t>Жгут проводов двери водителя для Шевроле Нива под зеркало с электрорегулировкой</t>
  </si>
  <si>
    <t>Жгут проводов для подключения электроусилителя MANDO</t>
  </si>
  <si>
    <t>Жгут проводов задней двери для Лада Приора, Приора 2</t>
  </si>
  <si>
    <t>21703-3724550</t>
  </si>
  <si>
    <t>"Приора"Жгут проводов задней двериВАЗ 21703-3724550</t>
  </si>
  <si>
    <t>Жгут проводов задний 2170 для Лада Приора седан</t>
  </si>
  <si>
    <t>Жгут проводов задний 2170-50 для Лада Приора седан</t>
  </si>
  <si>
    <t>Жгут проводов задний 21703-23 для Лада Приора седан</t>
  </si>
  <si>
    <t>Жгут проводов задний 2171-20 для Лада Приора универсал</t>
  </si>
  <si>
    <t>Жгут проводов задний 21713-00 для Лада Приора универсал</t>
  </si>
  <si>
    <t>Жгут проводов задний в сборе для Лада Веста</t>
  </si>
  <si>
    <t>8450030721</t>
  </si>
  <si>
    <t>Лада "Vesta"Жгут проводов задний8450030721</t>
  </si>
  <si>
    <t>https://motorring.ru/product/19460-ghgut-provodov-lada-vesta</t>
  </si>
  <si>
    <t>Жгут проводов задний для ВАЗ 2105, 2107 инжекторный двигатель</t>
  </si>
  <si>
    <t>Жгут проводов задний для Лада Калина седан</t>
  </si>
  <si>
    <t>Жгут проводов задний для Лада Калина хэтчбек</t>
  </si>
  <si>
    <t>Жгут проводов задний для Лада Нива 4х4 3-х дверная, инжекторный двигатель</t>
  </si>
  <si>
    <t>Жгут проводов задний для Лада Нива 4х4 3-х дверная, карбюраторный двигатель</t>
  </si>
  <si>
    <t>Жгут проводов задний для Лада Нива 4х4 5-ти дверная, карбюраторный двигатель</t>
  </si>
  <si>
    <t>Жгут проводов задний для Лада Нива 4х4 Урбан 5-ти дверная</t>
  </si>
  <si>
    <t>"Урбан"Жгут проводов заднийВАЗ 2131-3724210-А-1</t>
  </si>
  <si>
    <t>Жгут проводов задний дополнительный правый для ВАЗ 2115</t>
  </si>
  <si>
    <t>Жгут проводов катушек зажигания для ВАЗ 2110-2112 с двигателем ВАЗ 21124</t>
  </si>
  <si>
    <t>Жгут проводов катушек зажигания для Лада Калина 2, Гранта, Приора 16-ти клапанный двигатель ВАЗ 21127 1.6 л, с одной массой</t>
  </si>
  <si>
    <t>Жгут проводов катушек зажигания для Лада Приора, Калина 16-ти клапанный двигатель ВАЗ 21126 1.6 л</t>
  </si>
  <si>
    <t>Жгут проводов катушек зажигания для Лада Приора, Калина, Калина 2, Гранта 16-ти клапанный двигатель ВАЗ 21126 1.6 л, Е-Газ</t>
  </si>
  <si>
    <t>Жгут проводов коммутатора для ВАЗ 2104, 2105, 2107 карбюраторный двигатель</t>
  </si>
  <si>
    <t>Жгут проводов коммутатора для ВАЗ 2108, 2109, 21099 карбюраторный двигатель</t>
  </si>
  <si>
    <t>Жгут проводов контроллера для ВАЗ 2107 Е-газ</t>
  </si>
  <si>
    <t>Жгут проводов контроллера для ВАЗ 2107 инжекторный двигатель, котроллер Январь 7.2</t>
  </si>
  <si>
    <t>Жгут проводов контроллера для ВАЗ 2107 с 2 датчиками кислорода</t>
  </si>
  <si>
    <t>Жгут проводов контроллера для ВАЗ 2110-2112 инжекторный 16-ти клапанный двигатель 1.5 л, контроллер Январь 5.1 2112-41</t>
  </si>
  <si>
    <t>Жгут проводов контроллера для ВАЗ 2110-2112 инжекторный 16-ти клапанный двигатель 1.6 л</t>
  </si>
  <si>
    <t>21104-3724026</t>
  </si>
  <si>
    <t>ВАЗ 2110Жгут проводов системы зажиганияВАЗ 21104-3724026</t>
  </si>
  <si>
    <t>Жгут проводов контроллера для ВАЗ 2110-2112 инжекторный 16-ти клапанный двигатель 1.6 л, контроллер Bosch 21124-30, Автэл 21124-31, Итэлма 21124-32</t>
  </si>
  <si>
    <t>Жгут проводов контроллера для ВАЗ 2110, 2111 инжекторный 8-ми клапанный двигатель 1.5 л, контроллер Bosch 2111-80, Элкар 2111-81, Итэлма 2111-82</t>
  </si>
  <si>
    <t>Жгут проводов контроллера для ВАЗ 2110, 2111 инжекторный 8-ми клапанный двигатель 1.6 л, контроллер Bosch 21114-10, Элкар 21114-11, Итэлма 21114-12</t>
  </si>
  <si>
    <t>Жгут проводов контроллера для ВАЗ 2113-2115 16-ти клапанный двигатель 1.6 л, контроллер BOSCH 21124-30, Автэл 21124-31, Итэлма 21124-32</t>
  </si>
  <si>
    <t>Жгут проводов контроллера для ВАЗ 2113-2115 8-ми клапанный двигатель 1.5 л, контроллер BOSCH 2111-80, Элкар 2111-81, Итэлма 2111-82</t>
  </si>
  <si>
    <t>Жгут проводов контроллера для ВАЗ 2113-2115 8-ми клапанный двигатель 1.6 л, контроллер Bosch 21114-10, Элкар  21114-11, Итэлма 21114-12</t>
  </si>
  <si>
    <t>Жгут проводов контроллера для ВАЗ 2113-2115 8-ми клапанный двигатель 1.6 л, контроллер Итэлма 11183-02, Е-Газ</t>
  </si>
  <si>
    <t>Жгут проводов контроллера для ВАЗ 2113-2115 8-ми клапанный двигатель, контроллер Bosch 21114-10, 21114-20, Элкар 21114-11, Итэлма 21114-12,без датчика неровной дороги</t>
  </si>
  <si>
    <t>Жгут проводов контроллера для Лада Калина 16-ти калпаный двигатель 1.6 л, контроллер BOSCH 11194-10, Автэл 11194-01, Итэлма 11194-02</t>
  </si>
  <si>
    <t>Жгут проводов контроллера для Лада Калина 16-ти клапанный двигатель 1.4 л, контроллер BOSCH 11194-20, 11194-30, Е-Газ</t>
  </si>
  <si>
    <t>Жгут проводов контроллера для Лада Калина 8-ми клапанный двигатель 1.6 л, контроллер BOSCH 21114-1411020</t>
  </si>
  <si>
    <t>Жгут проводов контроллера для Лада Калина 8-ми клапанный двигатель, контроллер BOSCH 11183-20, 21114-40</t>
  </si>
  <si>
    <t>Жгут проводов контроллера для Лада Калина 8-ми клапанный двигатель, контроллер Итэлма 11183-52, Е-Газ</t>
  </si>
  <si>
    <t>Жгут проводов контроллера для Лада Нива 4х4 инжекторный двигатель, коктроллер Bosch 21214-50 М 17.9.7, Е-Газ</t>
  </si>
  <si>
    <t>Жгут проводов контроллера для Лада Нива 4х4 инжекторный двигатель, контроллер BOSCH 21214-20 M7.9.7, Евро 4</t>
  </si>
  <si>
    <t>Жгут проводов контроллера для Лада Нива 4х4 инжекторный двигатель, контроллер Bosch 21214-20 VS 7.9.7, Евро 3</t>
  </si>
  <si>
    <t>Жгут проводов контроллера для Лада Нива 4х4 инжекторный двигатель, контроллер Bosch 21214-30 M7.9.7</t>
  </si>
  <si>
    <t>Жгут проводов контроллера для Лада Нива 4х4 инжекторный двигатель, контроллер Bosch 2123-10 МР 7.0</t>
  </si>
  <si>
    <t>Жгут проводов контроллера для Лада Нива 4х4 инжекторный двигатель, контроллер Bosch 2123-10 МР 7.0, Евро 2</t>
  </si>
  <si>
    <t>Жгут проводов контроллера для Лада Нива 4х4 инжекторный двигатель, контроллер Январь 7</t>
  </si>
  <si>
    <t>Жгут проводов контроллера для Лада Приора 16-ти клапанный двигатель 1.6 л, контроллер BOSCH 21126-00, без АБС и кондиционера</t>
  </si>
  <si>
    <t>Жгут проводов контроллера для Лада Приора 16-ти клапанный двигатель 1.6 л, контроллер BOSCH 21126-00,без кондиционера</t>
  </si>
  <si>
    <t>Жгут проводов контроллера для Лада Приора 16-ти клапанный двигатель 1.6 л, контроллер BOSCH 21126-10, с кондиционером</t>
  </si>
  <si>
    <t>Жгут проводов контроллера для Шевроле Нива двигатель 1.7 л, контроллер BOSCH 21230-30, 21230-40, 21230-00, без кондиционера</t>
  </si>
  <si>
    <t>Жгут проводов контроллера для Шевроле Нива двигатель 1.7 л, контроллер BOSCH 21230-30, 21230-40, 21230-90, с кондиционером</t>
  </si>
  <si>
    <t>Жгут проводов контроллера для Шевроле Нива двигатель 1.7 л, контроллер BOSCH 21230-30, 21230-40, с кондиционером, Е-газ</t>
  </si>
  <si>
    <t>Жгут проводов контроллера для Шевроле Нива двигатель 1.7 л, контроллер BOSCH 21230-90, с кондиционером</t>
  </si>
  <si>
    <t>Жгут проводов контроллера для Шевроле Нивадвигатель 1.7 л, контроллер BOSCH 21230-00, 21230-90, без кондиционера, Евро 2</t>
  </si>
  <si>
    <t>Жгут проводов контроллера нового образца для Лада Нива 4x4 инжекторный двигатель, Е-Газ, с 2020 года выпуска</t>
  </si>
  <si>
    <t>Жгут проводов крышки багажника АвтоВАЗ для Лада Гранта лифтбек</t>
  </si>
  <si>
    <t>Жгут проводов моторного отсека для ВАЗ 2104, 2105, 2107 карбюраторный двигатель</t>
  </si>
  <si>
    <t>Жгут проводов моторного отсека для ВАЗ 2108-21099 инжекторный двигатель</t>
  </si>
  <si>
    <t>Жгут проводов моторного отсека для ВАЗ 2108-21099 карбюраторный двигатель</t>
  </si>
  <si>
    <t>Жгут проводов моторного отсека для Лада Нива 4х4 карбюраторный двигатель</t>
  </si>
  <si>
    <t>Жгут проводов панели приборов 21082 для ВАЗ 2108-21099 с высокой панелью</t>
  </si>
  <si>
    <t>Жгут проводов панели приборов 21083 для ВАЗ 2108-21099 с высокой панелью</t>
  </si>
  <si>
    <t>Жгут проводов панели приборов 2115-60 для ВАЗ 2113-2115</t>
  </si>
  <si>
    <t>ВАЗ 2114Жгут  проводов панели приборовВАЗ 2115-3724030-60</t>
  </si>
  <si>
    <t>Жгут проводов панели приборов 2115-70 для ВАЗ 2113-2115</t>
  </si>
  <si>
    <t>ВАЗ 2114Жгут  проводов панели приборовВАЗ 2115-3724030-70</t>
  </si>
  <si>
    <t>Жгут проводов панели приборов 2115-80 для ВАЗ 2113-2115</t>
  </si>
  <si>
    <t>ВАЗ 2114Жгут  проводов панели приборовВАЗ 2115-3724030-80</t>
  </si>
  <si>
    <t>Жгут проводов панели приборов для ВАЗ 2108-21099 с низкой панелью</t>
  </si>
  <si>
    <t>Жгут проводов панели приборов для ВАЗ 2108-21099, 2113-2115 с европанелью и Е-газ</t>
  </si>
  <si>
    <t>Жгут проводов панели приборов для ВАЗ 2110-2112 1.5 л, со старой панелью, до 2005 года выпуска</t>
  </si>
  <si>
    <t>Жгут проводов панели приборов для ВАЗ 2110-2112 1.6 л</t>
  </si>
  <si>
    <t>ВАЗ 2110Жгут панели приборов (v-1600)ВАЗ 2111-03 3724030-03</t>
  </si>
  <si>
    <t>Жгут проводов панели приборов для ВАЗ 2113-2115 Е-газ, разъем 12+4 контакта</t>
  </si>
  <si>
    <t>ВАЗ 2114Жгут проводов панели приборов (14,15 с электронной педалью газа)ВАЗ 21154-3724030-00</t>
  </si>
  <si>
    <t>Жгут проводов панели приборов для Лада Нива 4х4 инжекторный двигатель</t>
  </si>
  <si>
    <t>Жгут проводов панели приборов для Лада Нива 4х4 карбюраторный двигатель</t>
  </si>
  <si>
    <t>Жгут проводов панели приборов для Шевроле Нива без кондиционера</t>
  </si>
  <si>
    <t>Жгут проводов панели приборов для Шевроле Нива с кондиционером</t>
  </si>
  <si>
    <t>Жгут проводов панели приборов нового образца для ВАЗ 2113-2115 контроллер М7.9.7</t>
  </si>
  <si>
    <t>Жгут проводов передней левой двери для Лада Приора, Приора 2 зеркало без повторителя</t>
  </si>
  <si>
    <t>Жгут проводов передней левой двери для Лада Приора, Приора 2 зеркало с повторителем</t>
  </si>
  <si>
    <t>Жгут проводов передней правой двери для Лада Приора, Приора 2 зеркало без повторителя</t>
  </si>
  <si>
    <t>Жгут проводов передней правой двери для Лада Приора, Приора 2 зеркало с повторителем</t>
  </si>
  <si>
    <t>Жгут проводов передний в сборе HARN-FR LH для Лада Веста</t>
  </si>
  <si>
    <t>8450008432</t>
  </si>
  <si>
    <t>Лада "Vesta"Жгут проводов передний в сборе(HARN-FR LH)8450008432</t>
  </si>
  <si>
    <t>Жгут проводов передний в сборе для Лада Веста</t>
  </si>
  <si>
    <t>8450030782</t>
  </si>
  <si>
    <t>Лада "Vesta"Жгут проводов передний в сборе8450030782</t>
  </si>
  <si>
    <t>https://motorring.ru/product/26501-ghgut-provodov-peredniy-8450030782-sbore-harn-fr-lada-vesta</t>
  </si>
  <si>
    <t>Жгут проводов под капот 2104 в сборе для ВАЗ 2104, 2105, 2107 карбюраторный двигатель</t>
  </si>
  <si>
    <t>Жгут проводов под капот 2105 в сборе для ВАЗ 2104, 2105, 2107 карбюраторный двигатель</t>
  </si>
  <si>
    <t>Жгут проводов под капот 2107 в сборе для ВАЗ 2104, 2105, 2107 карбюраторный двигатель</t>
  </si>
  <si>
    <t>2107-3724016</t>
  </si>
  <si>
    <t>Жгут проводов под капот в сборе из 4-х частей для ВАЗ 2108-21099 карбюраторный двигатель</t>
  </si>
  <si>
    <t>ВАЗ 2108Жгут проводов под капот в сборе завод, из 4-х частейВАЗ 2108,09,99(карбюратор)</t>
  </si>
  <si>
    <t>Жгут проводов под капот передняя часть для ВАЗ 2101</t>
  </si>
  <si>
    <t>Жгут проводов под капот передняя часть для ВАЗ 2106</t>
  </si>
  <si>
    <t>Жгут проводов под капот передняя часть для Лада Нива 4х4</t>
  </si>
  <si>
    <t>Жгут проводов правой передней двери для Шевроле Нива под зеркало с электрорегулировкой</t>
  </si>
  <si>
    <t>2123-3724550</t>
  </si>
  <si>
    <t>"Шевроле-Нива"Жгут проводов правой двериВАЗ 2123-3724550</t>
  </si>
  <si>
    <t>https://motorring.ru/product/35893-ghgut-provodov-dveri-passazhira-2123-3724550-chevrole-niva</t>
  </si>
  <si>
    <t>Жгут проводов рампы CARGEN для Лада Калина 2, Приора, Гранта 16-ти клапанный двигатель ВАЗ 21127 1.6 л</t>
  </si>
  <si>
    <t>Жгут проводов салона и задних фонарей CARGEN задний дополнительный для ВАЗ 2112</t>
  </si>
  <si>
    <t>Жгут проводов системы зажигания для ВАЗ 2108-21099 инжекторный двигатель, контроллер ЯНВАРЬ 5.1.1 2111-41</t>
  </si>
  <si>
    <t>Жгут проводов системы зажигания для Лада Калина 16-ти клапанный двигатель, Е-газ</t>
  </si>
  <si>
    <t>"Калина"Жгут проводов системы зажиганияВАЗ 11184-3724026-45</t>
  </si>
  <si>
    <t>Жгут проводов системы зажигания для Шевроле Нива с Е-газ и датчиком фаз</t>
  </si>
  <si>
    <t>"Шевроле-Нива"Жгут проводов системы зажиганияВАЗ 2123-3724026-61</t>
  </si>
  <si>
    <t>https://motorring.ru/product/36907-ghgut-provodov-sistemy-zaghiganiya-2123-3724026-61</t>
  </si>
  <si>
    <t>Жгут проводов системы зажигания для Шевроле Нива с Е-газ, Евро-5</t>
  </si>
  <si>
    <t>"Шевроле-Нива"Жгут проводов системы зажиганияВАЗ 2123-3724026-81</t>
  </si>
  <si>
    <t>https://motorring.ru/product/28160-ghgut-provodov-zaghiganiya-2123-3724026-81-shevrolet-niva</t>
  </si>
  <si>
    <t>Жгут проводов системы зажигания коммутаторный пучок для ВАЗ 2110-2112 карбюраторный двигатель</t>
  </si>
  <si>
    <t>Жгут проводов системы зажигания старого образца для Шевроле Нива</t>
  </si>
  <si>
    <t>"Шевроле-Нива"Жгут проводов системы зажигания (старого образца)ВАЗ 2123-3724026-20</t>
  </si>
  <si>
    <t>https://motorring.ru/product/6924-ghgut-provodov-sistemy-zaghiganiya-starogo-obrazca</t>
  </si>
  <si>
    <t>Жгут проводов системы зажигания Январь 7.2 для ВАЗ 2108-21099</t>
  </si>
  <si>
    <t>ВАЗ 2109Жгут системы зажиганияВАЗ 21093-3724026-80</t>
  </si>
  <si>
    <t>Жгут проводов соединительный клемма + евро для ВАЗ 2101, 2105, 2107</t>
  </si>
  <si>
    <t>Жгут проводов соединительный клемма + евро для ВАЗ 2106</t>
  </si>
  <si>
    <t>Жгут проводов стеклоочистителя и омывателя для ВАЗ 2108-21099, 2113-2115 карбюраторный двигатель</t>
  </si>
  <si>
    <t>Жгут проводов фар и генератора 1118 для Лада Калина седан, универсал</t>
  </si>
  <si>
    <t>Жгут проводов фар и генератора 1119 для Лада Калина хэтчбек</t>
  </si>
  <si>
    <t>Жгут проводов фар и генератора 1119-40 для Лада Калина хэтчбек</t>
  </si>
  <si>
    <t>Жгут проводов фар и генератора для ВАЗ 2110-2112 инжекторный двигатель 1.5 л, со старой панелью</t>
  </si>
  <si>
    <t>Жгут проводов фар и генератора для ВАЗ 2110-2112 инжекторный двигатель 1.6 л, с европанелью и ПТФ</t>
  </si>
  <si>
    <t>Жгут проводов фар и генератора для ВАЗ 2113-2115</t>
  </si>
  <si>
    <t>ВАЗ 2114Жгут проводов фар и генератораВАЗ 2114 -3724010-10</t>
  </si>
  <si>
    <t xml:space="preserve">Жгут проводов фар и генератора для ВАЗ 2113-2115 Е-газ, без ПТФ </t>
  </si>
  <si>
    <t>21154-3724010</t>
  </si>
  <si>
    <t>ВАЗ 2114Жгут проводов фар и генератораВАЗ 21154-3724010</t>
  </si>
  <si>
    <t>Жгут проводов фар и генератора для ВАЗ 2113-2115 с ПТФ, Е-Газ</t>
  </si>
  <si>
    <t>Жгут проводов фар и генератора для Лада Нива 4х4 инжекторный двигатель</t>
  </si>
  <si>
    <t>Жгут проводов фар и генератора для Лада Приора, Приора 2 под ЭУР, без АБС и кондиционера</t>
  </si>
  <si>
    <t>Жгут проводов фар и генератора для Лада Приора, Приора 2 с АБС и кондиционером</t>
  </si>
  <si>
    <t>Жгут проводов фар и генератора для Лада Приора, Приора 2 с кондиционером HALA, без АБС</t>
  </si>
  <si>
    <t>Жгут проводов фар и генератора для Шевроле Нива с ABS</t>
  </si>
  <si>
    <t>Жгут проводов фар и генератора для Шевроле Нива с кондиционером</t>
  </si>
  <si>
    <t>Жгут проводов фар и генератора для Шевроле Нива с ПТФ</t>
  </si>
  <si>
    <t>Жгут проводов фар на ленте для ВАЗ 2108-21099</t>
  </si>
  <si>
    <t>ВАЗ 2108Жгут проводов фар на лентеВАЗ 2108-3724010-01</t>
  </si>
  <si>
    <t>Жгут проводов форсунок для ВАЗ 2110-2112 16-ти клапанный двигатель</t>
  </si>
  <si>
    <t>Жгут проводов форсунок для ВАЗ 2110-2112 8-ми клапанный двигатель</t>
  </si>
  <si>
    <t>Жгут проводов форсунок для Лада Калина 16-ти клапанный двигатель ВАЗ 11194 1.4 л</t>
  </si>
  <si>
    <t>Жгут проводов форсунок для Лада Калина 8-ми клапанный двигатель 1.6 л</t>
  </si>
  <si>
    <t>Жгут системы зажигания для Лада Приора</t>
  </si>
  <si>
    <t>21702-3724026</t>
  </si>
  <si>
    <t>"Приора"Жгут системы зажиганияВАЗ 21702-3724026</t>
  </si>
  <si>
    <t>https://motorring.ru/product/26494-ghgut-provodov-sistemy-zaghiganiya-21702-3724026-lada-priora</t>
  </si>
  <si>
    <t>Жгут системы зажигания от контроллера для ВАЗ 2104 инжекторный двигатель, контроллер Январь 7.2</t>
  </si>
  <si>
    <t>Жгут соединения бензонасоса со жгутом ЭБУ для ВАЗ 2108-21099</t>
  </si>
  <si>
    <t>21082-3724037</t>
  </si>
  <si>
    <t>ВАЗ 2108Жгут соединения бензонасоса со жгутом ЭБУВАЗ 21082-3724037</t>
  </si>
  <si>
    <t>Жгут стеклоподъёмника универсальный на 2 кнопки для ВАЗ 2108-21099</t>
  </si>
  <si>
    <t>2108-3724226</t>
  </si>
  <si>
    <t>ВАЗ 2108Жгут стеклоподъёмника универсальный на 2 кнопкиВАЗ 2108-3724226</t>
  </si>
  <si>
    <t>Кабель антенны GPS 92 см для Лада Калина, Калина 2, Приора, Приора 2, Гранта, Веста</t>
  </si>
  <si>
    <t>Кабель жгут интерфейсный для соединения дисплея и магнитолы для Лада Приора, Приора 2, Калина, Калина 2</t>
  </si>
  <si>
    <t>Комплект переходников для подключения LED фонарей Vesta NG для Лада Веста до 2020 г. в.</t>
  </si>
  <si>
    <t>Корпус разъема комбинации приборов норма без проводов для Лада Калина, Приора</t>
  </si>
  <si>
    <t>Монтажный блок для ВАЗ 2108-21099 с карбюраторным двигателем</t>
  </si>
  <si>
    <t>Монтажный набор для подключения лобового стекла с обогревом для Лада Калина</t>
  </si>
  <si>
    <t>"Калина"Монтажный набор для подключения лобового стекла с подогревомВАЗ 1118</t>
  </si>
  <si>
    <t>Монтажный набор для подключения лобового стекла с обогревом для Лада Калина 2, Гранта</t>
  </si>
  <si>
    <t>Монтажный набор для подключения лобового стекла с обогревом для Шевроле Нива</t>
  </si>
  <si>
    <t>"Шевроле-Нива"Монтажный набор для подключения обогрева лобового стекла</t>
  </si>
  <si>
    <t>Подпанельный жгут проводов для ВАЗ 2108-21099, 2113-2115 с европанелью и комбинацией приборов старого образца</t>
  </si>
  <si>
    <t>Провод дополнительный к плюсовой клемме 1400 мм для ВАЗ 2108-21099, 2113-2115</t>
  </si>
  <si>
    <t>Провод массы минусовой провод с клеммой АКБ для ВАЗ 2101-2107, Лада Нива 4х4</t>
  </si>
  <si>
    <t>Провод массы плетенка -, 70 см для ВАЗ 2101</t>
  </si>
  <si>
    <t>Проводка мультимедийной системы руля для подключения мультируля к медиасистеме для Лада Веста</t>
  </si>
  <si>
    <t>Разъем блока управления передними стеклоподъёмниками, зеркалами на Датсун mi-DO, on-DO</t>
  </si>
  <si>
    <t>Разъем датчика положения дроссельной заслонки герметичный для ВАЗ 2107, 2108-21099, 2110-2112, 2113-2115, Лада Калина, Приора, Нива 4х4, Шевроле Нива</t>
  </si>
  <si>
    <t>Разъем датчика фаз с проводами герметичный для ВАЗ 2108-21099, 2110-2112, 2113-2115, Лада Калина, Калина 2, Гранта</t>
  </si>
  <si>
    <t>Разъем камеры заднего вида тюльпан для Лада XRAY</t>
  </si>
  <si>
    <t>Разъем комбинации приборов вертикальный вывод проводов для Калина, Калина 2, Приора</t>
  </si>
  <si>
    <t>Разъем подключения шкал отопителя для Лада Гранта FL Разъем подключения плафона освещения второго ряда для Лада Веста</t>
  </si>
  <si>
    <t>Разъем предохранителей на 4шт на Лада 4х4</t>
  </si>
  <si>
    <t>Разъём ЭБУ AMP, 55 контактов для ВАЗ 2108-21099, 2110-2112, Лада Нива 4x4, Шевроле Нива с контроллерами ЯНВАРЬ 5.1, VS 5.1, BOSCH MP 7.0, МИКАС 7.1 и 7.2</t>
  </si>
  <si>
    <t>Разъем электрозеркал папа для Лада Калина, Гранта, Веста</t>
  </si>
  <si>
    <t>ВАЗ 2114Жгут проводов панели приборовВАЗ 2115-3724030-70</t>
  </si>
  <si>
    <t>ВАЗ 2114Жгут проводов панели приборовВАЗ 2115-3724030-80</t>
  </si>
  <si>
    <t>Модель автомобиля</t>
  </si>
  <si>
    <t>Цена,руб наличный расчет(безнал +10 %)</t>
  </si>
  <si>
    <t>Комбинация приборов Урбан</t>
  </si>
  <si>
    <t>Блок монтаж 2106 малый (евро)</t>
  </si>
  <si>
    <t>УЗС(Устройство защиты стартера)</t>
  </si>
  <si>
    <t>Гофра проводки автомобильная разрезная 4,7 / 7,3 (намотка 350 м ,50 м)</t>
  </si>
  <si>
    <t>Гофра проводки автомобильная разрезная 6,0 / 9,0 (намотка 300 м ,50 м)</t>
  </si>
  <si>
    <t>Гофра проводки автомобильная разрезная 6,6/9,6 (намотка 300 м ,50 м)</t>
  </si>
  <si>
    <t>Гофра проводки автомобильная разрезная 7,5/11,0 (намотка 200 м ,50 м)</t>
  </si>
  <si>
    <t>Гофра проводки автомобильная разрезная 9,0/12,0 (намотка 200 м ,50 м)</t>
  </si>
  <si>
    <t>Гофра проводки автомобильная разрезная 9,8/12,7 (намотка 150 м ,50 м)</t>
  </si>
  <si>
    <t>Гофра проводки автомобильная разрезная 11,0/15,2 (намотка 150 м ,50 м)</t>
  </si>
  <si>
    <t>Гофра проводки автомобильная разрезная 12,0/16,0 (намотка 150 м ,50 м)</t>
  </si>
  <si>
    <t>Гофра проводки автомобильная разрезная 12,9/17,0 (намотка 150 м ,50 м)</t>
  </si>
  <si>
    <t>Гофра проводки автомобильная разрезная 14,7/19,3 (намотка 100 м ,50 м)</t>
  </si>
  <si>
    <t>Гофра проводки автомобильная разрезная 16,0/20,0 (намотка 90 м ,50 м)</t>
  </si>
  <si>
    <t>Гофра проводки автомобильная разрезная 19,9/25,0 (намотка 70 м)</t>
  </si>
  <si>
    <t>"Приора"Жгут проводов задней двериВАЗ 21703-3724550-19</t>
  </si>
  <si>
    <t>"Шевроле-Нива"Жгут проводов системы зажигания эл. Педаль газаВАЗ 2123-3724026-61</t>
  </si>
  <si>
    <t>"Шевроле-Нива"Жгут проводов системы зажигания эл педаль газаВАЗ 2123-3724026-81</t>
  </si>
  <si>
    <t>https://motorring.ru/product/26496-ghgut-provodov-abs-dlya-lada-largus</t>
  </si>
  <si>
    <t>https://motorring.ru/product/26435-ghgut-provodov-faro-generatornyy-peredniy-motornyy</t>
  </si>
  <si>
    <t>https://motorring.ru/product/36905-ghgut-provodov-zadniy-2131-3724210-a1-lada-4x4-5d-abs</t>
  </si>
  <si>
    <t>https://motorring.ru/product/12578-ghgut-provodov-sistemy-zaghiganiya-21104-3724026-dlya-vaz</t>
  </si>
  <si>
    <t>https://motorring.ru/product/26476-ghgut-provodov-paneli-priborov-2115-3724030-60-vaz</t>
  </si>
  <si>
    <t>https://motorring.ru/product/26478-ghgut-provodov-paneli-priborov-2115-3724030-70-vaz</t>
  </si>
  <si>
    <t>https://motorring.ru/product/26477-ghgut-provodov-paneli-priborov-2115-3724030-80-vaz</t>
  </si>
  <si>
    <t>https://motorring.ru/product/13949-ghgut-provodov-paneli-priborov-21110-3724030-03-dlya-vaz</t>
  </si>
  <si>
    <t>https://motorring.ru/product/26475-ghgut-provodov-paneli-priborov-21154-3724030-00-dlya-vaz</t>
  </si>
  <si>
    <t>https://motorring.ru/product/13967-farogeneratornyy-ghgut-provodov-21154-3724010-dlya</t>
  </si>
  <si>
    <t>https://motorring.ru/product/36902-farogeneratornyy-ghgut-provodov-21154-3724010-vaz-2115</t>
  </si>
  <si>
    <t>https://motorring.ru/product/26467-ghgut-provodov-far-lente-2108-3724010-01-vaz-2108-21099</t>
  </si>
  <si>
    <t>https://motorring.ru/product/36899-ghgut-soedineniya-benzonasosa-ghgutom-ebu-21082-3724037</t>
  </si>
  <si>
    <t>https://motorring.ru/product/26469-ghgut-steklopodyemnika-2108-3724226-knopki-dlya-vaz</t>
  </si>
  <si>
    <t>https://motorring.ru/product/19483-montaghnyy-nabor-podklyucheniya-lobovogo-stekla-2123</t>
  </si>
  <si>
    <t>https://motorring.ru/product/12596-montaghnyy-nabor-dlya-podklyucheniya-lobovogo-stekla</t>
  </si>
  <si>
    <t>OEM</t>
  </si>
  <si>
    <t>Жгут проводов контроллера для ВАЗ 2108-21099, 2113-2115 8-ми клапанный двигатель 1.5 л, контроллер Январь 5.1.1 2111-61</t>
  </si>
  <si>
    <t>Жгут проводов контроллера для ВАЗ 2113-2115 8-ми клапанный двигатель 1.5 л, контроллер Январь 5.1.1 2111-71</t>
  </si>
  <si>
    <t>Жгут проводов рампы CARGEN 21179 для Лада Веста, XRAY</t>
  </si>
  <si>
    <t xml:space="preserve">Жгут проводов системы зажигания 1118-3724026-30 для Лада Калина </t>
  </si>
  <si>
    <t>https://motorring.ru/product/6763-ghgut-provodov-sistemy-zaghiganiya-1118-3724026-30-dlya</t>
  </si>
  <si>
    <t>Жгут проводов системы зажигания коммутаторный для Лада Нива 4х4</t>
  </si>
  <si>
    <t>21213-3724026</t>
  </si>
  <si>
    <t>https://motorring.ru/product/12597-ghgut-provodov-sistemy-zaghiganiya-kommutatornyy</t>
  </si>
  <si>
    <t>Разъем для датчика температуры окружающего воздуха ВАЗ 2115 и датчика скорости ABS 1118</t>
  </si>
  <si>
    <t>Р127</t>
  </si>
  <si>
    <t>https://motorring.ru/product/26538-kolodka-datchiku-temperatury</t>
  </si>
  <si>
    <t>"Калина"Жгут проводов системы зажиганияВАЗ 1118-3724026-30</t>
  </si>
  <si>
    <t>"Нива"Жгут проводов системы зажигания коммутаторныйВАЗ 21213-3724026</t>
  </si>
  <si>
    <t>Наименование элемента</t>
  </si>
  <si>
    <t>Кат/ номер</t>
  </si>
  <si>
    <t>Арт. пост.</t>
  </si>
  <si>
    <t>Ссылка</t>
  </si>
  <si>
    <t>Склад</t>
  </si>
  <si>
    <t>402.3722</t>
  </si>
  <si>
    <t>2105372202002</t>
  </si>
  <si>
    <t>2105-3722020</t>
  </si>
  <si>
    <t>521.3722</t>
  </si>
  <si>
    <t>21073722010</t>
  </si>
  <si>
    <t>2107-3722010</t>
  </si>
  <si>
    <t>2105372201022</t>
  </si>
  <si>
    <t>2105-3722010</t>
  </si>
  <si>
    <t>21703724030</t>
  </si>
  <si>
    <t>2170372403021</t>
  </si>
  <si>
    <t>2170372403030</t>
  </si>
  <si>
    <t>2170372403061</t>
  </si>
  <si>
    <t>2170372403070</t>
  </si>
  <si>
    <t>21723724030</t>
  </si>
  <si>
    <t>217033724030</t>
  </si>
  <si>
    <t>21043372403070</t>
  </si>
  <si>
    <t>21043-3724030, 21043-3724030-80</t>
  </si>
  <si>
    <t>21043724030</t>
  </si>
  <si>
    <t>210433724030</t>
  </si>
  <si>
    <t>21053724035</t>
  </si>
  <si>
    <t>210533724030</t>
  </si>
  <si>
    <t>21053724030</t>
  </si>
  <si>
    <t>21063724030</t>
  </si>
  <si>
    <t>21073372403030</t>
  </si>
  <si>
    <t>21073-3724030</t>
  </si>
  <si>
    <t>21073724030</t>
  </si>
  <si>
    <t>21123724030</t>
  </si>
  <si>
    <t>2112372403020</t>
  </si>
  <si>
    <t>21033724020</t>
  </si>
  <si>
    <t>2103-3724020, 2103-3724021</t>
  </si>
  <si>
    <t>N</t>
  </si>
  <si>
    <t>21103724558</t>
  </si>
  <si>
    <t>21113724558</t>
  </si>
  <si>
    <t>21123724558</t>
  </si>
  <si>
    <t>21123724037</t>
  </si>
  <si>
    <t>2112372403740</t>
  </si>
  <si>
    <t>21153724226</t>
  </si>
  <si>
    <t>21214371254002</t>
  </si>
  <si>
    <t>21214-3712540</t>
  </si>
  <si>
    <t>21083372401710</t>
  </si>
  <si>
    <t>21083-3724017</t>
  </si>
  <si>
    <t>21910372424810</t>
  </si>
  <si>
    <t>2191-3724248</t>
  </si>
  <si>
    <t>2197372424800</t>
  </si>
  <si>
    <t>2197-3724248</t>
  </si>
  <si>
    <t>21940372424800</t>
  </si>
  <si>
    <t>2194-3724248</t>
  </si>
  <si>
    <t>2123372455110</t>
  </si>
  <si>
    <t>2123-3724551</t>
  </si>
  <si>
    <t>1118372455010</t>
  </si>
  <si>
    <t>1118-3724550</t>
  </si>
  <si>
    <t>21703372455019</t>
  </si>
  <si>
    <t>21703724210</t>
  </si>
  <si>
    <t>2170372421050</t>
  </si>
  <si>
    <t>21703372421023</t>
  </si>
  <si>
    <t>21703-3724210</t>
  </si>
  <si>
    <t>2171372421020</t>
  </si>
  <si>
    <t>2171-3724210</t>
  </si>
  <si>
    <t>21713372121000</t>
  </si>
  <si>
    <t>21713-3721210</t>
  </si>
  <si>
    <t>210113724210</t>
  </si>
  <si>
    <t>21053724210</t>
  </si>
  <si>
    <t>2107372421020</t>
  </si>
  <si>
    <t>2107-3724210</t>
  </si>
  <si>
    <t>21063724210</t>
  </si>
  <si>
    <t>2110372421003</t>
  </si>
  <si>
    <t>2110-3724210</t>
  </si>
  <si>
    <t>2111372421003</t>
  </si>
  <si>
    <t>2111-3724210</t>
  </si>
  <si>
    <t>2112372421003</t>
  </si>
  <si>
    <t>2112-3724210</t>
  </si>
  <si>
    <t>21903724210</t>
  </si>
  <si>
    <t>11183724210</t>
  </si>
  <si>
    <t>11193724210</t>
  </si>
  <si>
    <t>212143724210</t>
  </si>
  <si>
    <t>212133724210</t>
  </si>
  <si>
    <t>21313724210</t>
  </si>
  <si>
    <t>21313724210А1</t>
  </si>
  <si>
    <t>21233724210</t>
  </si>
  <si>
    <t>21153724550</t>
  </si>
  <si>
    <t>211043724148</t>
  </si>
  <si>
    <t>211273724148</t>
  </si>
  <si>
    <t>11183724148</t>
  </si>
  <si>
    <t>111743724148</t>
  </si>
  <si>
    <t>210503724026</t>
  </si>
  <si>
    <t>2105-3724026</t>
  </si>
  <si>
    <t>210803724026</t>
  </si>
  <si>
    <t>2108-3724026</t>
  </si>
  <si>
    <t>21074372402620</t>
  </si>
  <si>
    <t>21074-3724026</t>
  </si>
  <si>
    <t>21073372402610</t>
  </si>
  <si>
    <t>21073-3724026</t>
  </si>
  <si>
    <t>21074372402600</t>
  </si>
  <si>
    <t>21150372402650</t>
  </si>
  <si>
    <t>2115-3724026</t>
  </si>
  <si>
    <t>Жгут проводов контроллера для ВАЗ 2110 инжекторный 8-ми клапанный двигатель 1.5 л, контроллер ЯНВАРЬ 5.1.1 2111-71</t>
  </si>
  <si>
    <t>21102372402651</t>
  </si>
  <si>
    <t>21102-3724026</t>
  </si>
  <si>
    <t>21103372402611</t>
  </si>
  <si>
    <t>21103-3724026</t>
  </si>
  <si>
    <t>211043724026</t>
  </si>
  <si>
    <t>https://motorring.ru/product/12578-ghgut-provodov-sistemy-zaghiganiya-21104-3724026-dlya-vaz;https://33sport.ru/catalog/elektirika_vaz/zhguty_provodov_vaz/provodka_2110_2112/zhgut-provodov-sistemy-zazhiganiya-21104-3724026-dlya-vaz-2110-12/;https://electro-stavr.ru/catalog/12414/;https://rs-motor.ru/standartnyye-zapchasti-vaz/zhguty-provodov-2110-12/zhgut-provodov-zazhiganiya-21104-3724026-vaz-2110</t>
  </si>
  <si>
    <t>21104372402610</t>
  </si>
  <si>
    <t>21102372402605</t>
  </si>
  <si>
    <t>21102372402670</t>
  </si>
  <si>
    <t>https://motorring.ru/product/31820-ghgut-provodov-kontrollera-ebu-21102-3724026-70-dlya-vaz;https://electro-stavr.ru/catalog/12415/;https://avtoazbuka.net/products/zhgut-kontrollera-dlya-vaz-2110-e-4-desyatka-zhgut-ebu-zhgut-provodov-sistemy-zazhiganiya;https://www.avtoskazka.com/catalog/vaz/transaction/underhood/provodka_kontrollera_k10270-294581.html</t>
  </si>
  <si>
    <t>Жгут проводов контроллера для ВАЗ 2113-2115</t>
  </si>
  <si>
    <t>21150372402611</t>
  </si>
  <si>
    <t>21154372402640</t>
  </si>
  <si>
    <t>21154-3724026</t>
  </si>
  <si>
    <t>21150372402670</t>
  </si>
  <si>
    <t>21150372402640</t>
  </si>
  <si>
    <t>21154372402620</t>
  </si>
  <si>
    <t>21144372402600</t>
  </si>
  <si>
    <t>21144-3724026</t>
  </si>
  <si>
    <t>21154372402630</t>
  </si>
  <si>
    <t>11183372402641</t>
  </si>
  <si>
    <t>11183-3724026</t>
  </si>
  <si>
    <t>11184372402610</t>
  </si>
  <si>
    <t>11184-3724026</t>
  </si>
  <si>
    <t>1118372402646</t>
  </si>
  <si>
    <t>1118-3724026</t>
  </si>
  <si>
    <t>1118372402620</t>
  </si>
  <si>
    <t>11180372402631</t>
  </si>
  <si>
    <t>1118372402640</t>
  </si>
  <si>
    <t>21214372402644</t>
  </si>
  <si>
    <t>21214-3724026</t>
  </si>
  <si>
    <t>21214372402697</t>
  </si>
  <si>
    <t>21214372402621</t>
  </si>
  <si>
    <t>21214372402680</t>
  </si>
  <si>
    <t>21214372402661</t>
  </si>
  <si>
    <t>21214372402660</t>
  </si>
  <si>
    <t>21214372402686</t>
  </si>
  <si>
    <t>21700372402660</t>
  </si>
  <si>
    <t>21703724026</t>
  </si>
  <si>
    <t>21700372402650</t>
  </si>
  <si>
    <t>21230372402662</t>
  </si>
  <si>
    <t>2123-3724026</t>
  </si>
  <si>
    <t>2123372402660</t>
  </si>
  <si>
    <t>21230372402682</t>
  </si>
  <si>
    <t>21230372402680</t>
  </si>
  <si>
    <t>2123372402690</t>
  </si>
  <si>
    <t>2123372402630</t>
  </si>
  <si>
    <t>212143724026A2</t>
  </si>
  <si>
    <t>21143724019</t>
  </si>
  <si>
    <t>219103724558</t>
  </si>
  <si>
    <t>2191-3724558</t>
  </si>
  <si>
    <t>21233724558</t>
  </si>
  <si>
    <t>210503724010</t>
  </si>
  <si>
    <t>2105-3724010</t>
  </si>
  <si>
    <t>210803724010</t>
  </si>
  <si>
    <t>2108-3724010</t>
  </si>
  <si>
    <t>21900372401013</t>
  </si>
  <si>
    <t>212133724010</t>
  </si>
  <si>
    <t>11183724030</t>
  </si>
  <si>
    <t>111833724030</t>
  </si>
  <si>
    <t>11186372403020</t>
  </si>
  <si>
    <t>11186-3724030</t>
  </si>
  <si>
    <t>210823724030</t>
  </si>
  <si>
    <t>21083372403011</t>
  </si>
  <si>
    <t>21083-3724030</t>
  </si>
  <si>
    <t>2115372403060</t>
  </si>
  <si>
    <t>2115-3724030</t>
  </si>
  <si>
    <t>2115372403070</t>
  </si>
  <si>
    <t>2115372403080</t>
  </si>
  <si>
    <t>21080372403095</t>
  </si>
  <si>
    <t>2108-3724030</t>
  </si>
  <si>
    <t>21154372403010</t>
  </si>
  <si>
    <t>21154-3724030</t>
  </si>
  <si>
    <t>21110372403001</t>
  </si>
  <si>
    <t>2111-3724030</t>
  </si>
  <si>
    <t>2111372403003</t>
  </si>
  <si>
    <t>21154372403000</t>
  </si>
  <si>
    <t>21903724030</t>
  </si>
  <si>
    <t>2190372403051</t>
  </si>
  <si>
    <t>21902372403054</t>
  </si>
  <si>
    <t>21902-3724030</t>
  </si>
  <si>
    <t>2191372403061</t>
  </si>
  <si>
    <t>2191-3724030</t>
  </si>
  <si>
    <t>21912372403053</t>
  </si>
  <si>
    <t>21912-3724030</t>
  </si>
  <si>
    <t>21917372403003</t>
  </si>
  <si>
    <t>21917-3724030</t>
  </si>
  <si>
    <t>21920372403060</t>
  </si>
  <si>
    <t>2192-3724030</t>
  </si>
  <si>
    <t>21920372403063</t>
  </si>
  <si>
    <t>21920372403070</t>
  </si>
  <si>
    <t>21922372403050</t>
  </si>
  <si>
    <t>21922-3724030</t>
  </si>
  <si>
    <t>21922372403073</t>
  </si>
  <si>
    <t>21214372403070</t>
  </si>
  <si>
    <t>21214-3724030</t>
  </si>
  <si>
    <t>212133724030</t>
  </si>
  <si>
    <t>2123372403020</t>
  </si>
  <si>
    <t>2123-3724030</t>
  </si>
  <si>
    <t>2123372403090</t>
  </si>
  <si>
    <t>2123372403094</t>
  </si>
  <si>
    <t>2115372403050</t>
  </si>
  <si>
    <t>2191372403063</t>
  </si>
  <si>
    <t>21917372403000</t>
  </si>
  <si>
    <t>2190372454510</t>
  </si>
  <si>
    <t>2190-3724545</t>
  </si>
  <si>
    <t>111863724551</t>
  </si>
  <si>
    <t>11186-3724551, 8450002158</t>
  </si>
  <si>
    <t>21703372455190</t>
  </si>
  <si>
    <t>21703-3724551</t>
  </si>
  <si>
    <t>2172372455130</t>
  </si>
  <si>
    <t>2172-3724551</t>
  </si>
  <si>
    <t>2190372454410</t>
  </si>
  <si>
    <t>2190-3724544</t>
  </si>
  <si>
    <t>111863724550</t>
  </si>
  <si>
    <t>21703372455090</t>
  </si>
  <si>
    <t>2172372455030</t>
  </si>
  <si>
    <t>2172-3724550</t>
  </si>
  <si>
    <t>Жгут проводов передний в сборе 8450100549 для Лада Калина 2, Гранта</t>
  </si>
  <si>
    <t>8450100549</t>
  </si>
  <si>
    <t>Жгут проводов передний в сборе 8450100550 для Лада Калина 2, Гранта</t>
  </si>
  <si>
    <t>8450100550</t>
  </si>
  <si>
    <t>Жгут проводов передний в сборе 8450100551 для Лада Калина 2, Гранта</t>
  </si>
  <si>
    <t>8450100551</t>
  </si>
  <si>
    <t>Жгут проводов передний в сборе 8450100552 для Лада Калина 2, Гранта</t>
  </si>
  <si>
    <t>8450100552</t>
  </si>
  <si>
    <t>Жгут проводов передний в сборе 8450100553 для Лада Калина 2, Гранта</t>
  </si>
  <si>
    <t>8450100553</t>
  </si>
  <si>
    <t>Жгут проводов передний в сборе 8450100554 для Лада Калина 2, Гранта</t>
  </si>
  <si>
    <t>8450100554</t>
  </si>
  <si>
    <t>21103724019</t>
  </si>
  <si>
    <t>21113724019</t>
  </si>
  <si>
    <t>21073724016</t>
  </si>
  <si>
    <t>21053724016</t>
  </si>
  <si>
    <t>2105-3724016, 2107-3724017</t>
  </si>
  <si>
    <t>210113724008</t>
  </si>
  <si>
    <t>2106372400880</t>
  </si>
  <si>
    <t>2106-3724008</t>
  </si>
  <si>
    <t>21213724008</t>
  </si>
  <si>
    <t>111803724214</t>
  </si>
  <si>
    <t>1118-3724214</t>
  </si>
  <si>
    <t>21233724550</t>
  </si>
  <si>
    <t>211293724036</t>
  </si>
  <si>
    <t>21179372403600</t>
  </si>
  <si>
    <t>21179-3724036</t>
  </si>
  <si>
    <t>21127372403600</t>
  </si>
  <si>
    <t>21127-3724036</t>
  </si>
  <si>
    <t>11173724210</t>
  </si>
  <si>
    <t>21922372421000</t>
  </si>
  <si>
    <t>21922-3724210</t>
  </si>
  <si>
    <t>2104-3724210</t>
  </si>
  <si>
    <t>2109372421001</t>
  </si>
  <si>
    <t>2109-3724210</t>
  </si>
  <si>
    <t>211443724210</t>
  </si>
  <si>
    <t>210993724210</t>
  </si>
  <si>
    <t>2115372421041</t>
  </si>
  <si>
    <t>21153724210</t>
  </si>
  <si>
    <t>2115372421031</t>
  </si>
  <si>
    <t>21103724551</t>
  </si>
  <si>
    <t>21103724550</t>
  </si>
  <si>
    <t>1118372402630</t>
  </si>
  <si>
    <t>2190372402640</t>
  </si>
  <si>
    <t>2190-3724026</t>
  </si>
  <si>
    <t>21093372402660</t>
  </si>
  <si>
    <t>21093-3724026</t>
  </si>
  <si>
    <t>21903372402645</t>
  </si>
  <si>
    <t>21903-3724026</t>
  </si>
  <si>
    <t>11184372402645</t>
  </si>
  <si>
    <t>2123372402661</t>
  </si>
  <si>
    <t>2123372402681</t>
  </si>
  <si>
    <t>212133724026</t>
  </si>
  <si>
    <t>21103724026</t>
  </si>
  <si>
    <t>2123372402620</t>
  </si>
  <si>
    <t>21093372402680</t>
  </si>
  <si>
    <t>21013724070</t>
  </si>
  <si>
    <t>2101-3724070, 2105-3724070, 2107-3724070</t>
  </si>
  <si>
    <t>21063724070</t>
  </si>
  <si>
    <t>11183724019</t>
  </si>
  <si>
    <t>21093372401901</t>
  </si>
  <si>
    <t>21093-3724019</t>
  </si>
  <si>
    <t>21103724226</t>
  </si>
  <si>
    <t>21920372401012</t>
  </si>
  <si>
    <t>2192-3724010</t>
  </si>
  <si>
    <t>11183724010</t>
  </si>
  <si>
    <t>11180372401051</t>
  </si>
  <si>
    <t>11193724010</t>
  </si>
  <si>
    <t>1119372401040</t>
  </si>
  <si>
    <t>21723724010</t>
  </si>
  <si>
    <t>21901372401000</t>
  </si>
  <si>
    <t>21901-3724010</t>
  </si>
  <si>
    <t>21922372401020</t>
  </si>
  <si>
    <t>21922-3724010</t>
  </si>
  <si>
    <t>2110372401020/40</t>
  </si>
  <si>
    <t>2110-3724010, 2110372401040</t>
  </si>
  <si>
    <t>2112372401010</t>
  </si>
  <si>
    <t>2112-3724010</t>
  </si>
  <si>
    <t>2114372401010</t>
  </si>
  <si>
    <t>2114-3724010</t>
  </si>
  <si>
    <t>211543724010</t>
  </si>
  <si>
    <t>21154372401030</t>
  </si>
  <si>
    <t>21903724010</t>
  </si>
  <si>
    <t>2190372401003</t>
  </si>
  <si>
    <t>21904372401000</t>
  </si>
  <si>
    <t>21904-3724010</t>
  </si>
  <si>
    <t>21920372401001</t>
  </si>
  <si>
    <t>21921372401000</t>
  </si>
  <si>
    <t>21921-3724010</t>
  </si>
  <si>
    <t>21924372401020</t>
  </si>
  <si>
    <t>21924-3724010</t>
  </si>
  <si>
    <t>21214372401090</t>
  </si>
  <si>
    <t>21214-3724010</t>
  </si>
  <si>
    <t>21703724010</t>
  </si>
  <si>
    <t>2170372401062</t>
  </si>
  <si>
    <t>2170372401030</t>
  </si>
  <si>
    <t>2123372401058</t>
  </si>
  <si>
    <t>2123-3724010</t>
  </si>
  <si>
    <t>2123372401044</t>
  </si>
  <si>
    <t>2123372401051</t>
  </si>
  <si>
    <t>2108372401001</t>
  </si>
  <si>
    <t>21123724036</t>
  </si>
  <si>
    <t>21113724036</t>
  </si>
  <si>
    <t>11184372403600</t>
  </si>
  <si>
    <t>11184-3724036</t>
  </si>
  <si>
    <t>111863724036</t>
  </si>
  <si>
    <t>212143724036</t>
  </si>
  <si>
    <t>21233724036</t>
  </si>
  <si>
    <t>217023724026</t>
  </si>
  <si>
    <t>21043372402610</t>
  </si>
  <si>
    <t>21043-3724026</t>
  </si>
  <si>
    <t>210823724037</t>
  </si>
  <si>
    <t>21083724226</t>
  </si>
  <si>
    <t>2192-7905030</t>
  </si>
  <si>
    <t>21103724070</t>
  </si>
  <si>
    <t>11183724070</t>
  </si>
  <si>
    <t>212133724070</t>
  </si>
  <si>
    <t>21703724070</t>
  </si>
  <si>
    <t>210443724080</t>
  </si>
  <si>
    <t>21082372408011</t>
  </si>
  <si>
    <t>21082-3724080</t>
  </si>
  <si>
    <t>394.3722М</t>
  </si>
  <si>
    <t>2123-3722010</t>
  </si>
  <si>
    <t>21083722020</t>
  </si>
  <si>
    <t>2108-3722020</t>
  </si>
  <si>
    <t>393.3722М</t>
  </si>
  <si>
    <t>2110372201022</t>
  </si>
  <si>
    <t>2110-3722010</t>
  </si>
  <si>
    <t>361.3722М</t>
  </si>
  <si>
    <t>21153722010</t>
  </si>
  <si>
    <t>2115-3722010</t>
  </si>
  <si>
    <t>2114372407020</t>
  </si>
  <si>
    <t>2114-3724070</t>
  </si>
  <si>
    <t>21145372403010</t>
  </si>
  <si>
    <t>21145-3724030</t>
  </si>
  <si>
    <t>2101-3724080</t>
  </si>
  <si>
    <t xml:space="preserve">Жгут проводов фар </t>
  </si>
  <si>
    <t>Жгут проводов генератора</t>
  </si>
  <si>
    <t>ВАЗ 2108Жгут проводов фар ВАЗ 2108-3724010-01</t>
  </si>
  <si>
    <t>ВАЗ 2108Жгут проводов генератораВАЗ 21083-3724017-10</t>
  </si>
  <si>
    <t>"Шевроле-Нива"Монтажный набор для подключения обогрева лобового стекла2123</t>
  </si>
  <si>
    <t>ВАЗ 2101Жгут проводов соединительный (КЛЕММА " - " евро)ВАЗ 2101,2110,1118</t>
  </si>
  <si>
    <t>Выбор</t>
  </si>
  <si>
    <t>Google</t>
  </si>
  <si>
    <t>Доп</t>
  </si>
  <si>
    <t>https://www.ozon.ru/product/zhgut-provodov-sistemy-zazhiganiya-kommutatora-dlya-a-m-vaz-21213-niva-1564170748/</t>
  </si>
  <si>
    <t>https://www.ozon.ru/product/zhgut-provodov-sistemy-zazhiganiya-kalina-vaz-11184-3724026-46-1449872561/</t>
  </si>
  <si>
    <t>https://www.ozon.ru/product/zhgut-provodov-osveshchenie-nomernogo-znaka-podsvetka-dlya-lada-kalina-lada-kalina-sport-oem-nomer-215837189/</t>
  </si>
  <si>
    <t>https://www.ozon.ru/product/zhgut-provodov-kommutatora-vaz-2105-1156664945/</t>
  </si>
  <si>
    <t>https://www.ozon.ru/product/provod-akkumulyatora-minusovoy-dlya-vaz-2101-2105-2107-1731438208/</t>
  </si>
  <si>
    <t>https://www.ozon.ru/product/zhgut-provodov-kommutatora-vaz-2108-2109-21099-1564161857/</t>
  </si>
  <si>
    <t>https://www.ozon.ru/product/provodka-zhgut-provodov-forsunok-dlya-vaz-lada-kalina-1117-1118-1119-dvig-11186-1-6-l-8-kl-953563642/</t>
  </si>
  <si>
    <t>https://www.ozon.ru/product/zhgut-provodov-forsunok-dlya-a-m-vaz-21184-dvigatel-1-4-16-kl-1235547535/</t>
  </si>
  <si>
    <t>https://www.ozon.ru/product/zhgut-provodka-forsunok-vaz-2110-2115-kalina-priora-8kl-2111-3724036-1078565448/</t>
  </si>
  <si>
    <t>https://www.ozon.ru/product/tolyatti-wire-connector-05-m-length-1080185726/</t>
  </si>
  <si>
    <t>https://www.ozon.ru/product/lada-zhgut-provodov-dlina-0-2-m-771903142/</t>
  </si>
  <si>
    <t>https://www.ozon.ru/product/zhgut-provodka-forsunok-8-kl-inzhektor-dvs-dvigatel-lada-niva-klassika-vaz-2105-2107-shevrole-niva-967225942/</t>
  </si>
  <si>
    <t>https://www.ozon.ru/product/zhgut-provodov-podfarnika-gabaritov-i-hodovyh-ogney-dho-niva-21214-3712540-02-1472569281/</t>
  </si>
  <si>
    <t>https://www.ozon.ru/product/provod-akkumulyatora-2170-1118-2190-1566204369/</t>
  </si>
  <si>
    <t>https://www.ozon.ru/product/zhgut-provodov-zadney-dveri-lada-kalina-vaz-1118-3724550-10-1451834421/</t>
  </si>
  <si>
    <t>https://www.ozon.ru/product/avtoelektronika-provod-akb-366653923/</t>
  </si>
  <si>
    <t>https://www.ozon.ru/product/provodka-podtorpednaya-2106-3724030-kosa-na-shchitok-1750709109/</t>
  </si>
  <si>
    <t>https://www.ozon.ru/product/lada-provod-akb-1289813390/</t>
  </si>
  <si>
    <t>https://www.ozon.ru/product/zhgut-korobki-vozduhopritoka-bez-pylnika-dlya-a-m-vaz-2108-21099-201419223/</t>
  </si>
  <si>
    <t>https://www.ozon.ru/product/zhgut-provodov-salona-i-ruchnika-2110-vaz-2110-3724550-1434232395/</t>
  </si>
  <si>
    <t>https://www.ozon.ru/product/zhgut-provodov-katushek-zazhiganiya-priora-vaz-2110-vaz-2112-vaz-21124-16-klapanov-1605822338/</t>
  </si>
  <si>
    <t>https://www.ozon.ru/product/zhgut-provodov-podklyucheniya-elektrobenzonasosa-cargen-dlya-a-m-vaz-2112-1421038026/</t>
  </si>
  <si>
    <t>https://www.ozon.ru/product/tolyatti-zhgut-provodov-1519693161/</t>
  </si>
  <si>
    <t>https://www.ozon.ru/product/provod-akkumulyatora-plyusovoy-dlya-vaz-2113-2114-2115-1739496739/</t>
  </si>
  <si>
    <t>https://www.ozon.ru/product/zhgut-provodov-omyvatelya-i-stekloochistitelya-2114-vaz-2115-3724019-1449845684/</t>
  </si>
  <si>
    <t>https://www.ozon.ru/product/cargen-wiring-harness-215837284/</t>
  </si>
  <si>
    <t>https://www.ozon.ru/product/provodka-zhgut-provodov-katushek-zazhiganiya-dlya-vaz-1118-kalina-priora-2170-953568916/</t>
  </si>
  <si>
    <t>https://www.ozon.ru/product/zhgut-katushek-zazhiganiya-kalina-priora-granta-s-dvigatelem-vaz-21126-1-6l-16kl-1118-2170-2190-dv-1574400278/</t>
  </si>
  <si>
    <t>https://www.ozon.ru/product/provod-akkumulyatornyy-akb-2110-plyus-1062295531/</t>
  </si>
  <si>
    <t>https://www.ozon.ru/product/zhgut-provodov-salona-i-podsvetki-2110-vaz-2110-3724551-1434229903/</t>
  </si>
  <si>
    <t>https://www.ozon.ru/product/provod-akb-klemma-evro-niva-vaz-21213-3724070-1451993400/</t>
  </si>
  <si>
    <t>https://www.ozon.ru/product/kosa-zhgut-paneli-priborov-vaz-2105-1419065893/</t>
  </si>
  <si>
    <t>https://www.ozon.ru/product/chehol-kozhuh-podfarnika-vaz-lada-2103-2106-komplekt-2-shtuki-1543435178/</t>
  </si>
  <si>
    <t>https://www.ozon.ru/product/zhgut-provodov-zadniy-vaz-2101-1419041871/</t>
  </si>
  <si>
    <t>https://www.ozon.ru/product/zhgut-provodov-bagazhnika-vaz-2110-1426115155/</t>
  </si>
  <si>
    <t>https://www.ozon.ru/product/zhgut-forsunok-dlya-lada-vaz-kalina-granta-kross-sport-vesta-iks-rey-s-dvigatelem-vaz-21127-1565824300/</t>
  </si>
  <si>
    <t>https://www.ozon.ru/product/zhgut-provodov-steklopodemnikov-i-tsentralnogo-zamka-vaz-2110-3724226-1434239544/</t>
  </si>
  <si>
    <t>https://www.ozon.ru/product/zhgut-provodov-sistemy-zazhiganiya-kommutatornyy-puchok-2110-vaz-2110-3724026-1435120797/</t>
  </si>
  <si>
    <t>https://www.ozon.ru/product/zhgut-provodov-bagazhnika-vaz-2112-1426608874/</t>
  </si>
  <si>
    <t>https://www.ozon.ru/product/zhgut-provodov-pechki-i-stekloochistitelya-2110-vaz-2112-3724019-1434216650/</t>
  </si>
  <si>
    <t>https://www.ozon.ru/product/zhgut-provodov-pechki-i-stekloochistitelya-2110-vaz-2110-3724019-1434226129/</t>
  </si>
  <si>
    <t>https://www.ozon.ru/product/zhgut-provodov-bagazhnika-vaz-2111-1426608879/</t>
  </si>
  <si>
    <t>https://www.ozon.ru/product/provodka-lada-vesta-dv-21179-zhgut-forsunok-cargen-1491051828/</t>
  </si>
  <si>
    <t>https://www.ozon.ru/product/zhgut-provodov-levoy-peredney-dveri-s-elektro-podemnikom-obogrevom-na-kalina-380065251/</t>
  </si>
  <si>
    <t>https://www.ozon.ru/product/zhgut-provodov-peredney-levoy-dveri-granta-vaz-2190-3724545-10-1465378106/</t>
  </si>
  <si>
    <t>6070 дорого</t>
  </si>
  <si>
    <t>https://www.ozon.ru/product/zhgut-provodov-peredney-pravoy-dveri-granta-vaz-2190-3724544-10-1465380772/</t>
  </si>
  <si>
    <t>https://www.ozon.ru/product/zhgut-provodov-zadniy-salona-i-zadnih-fonarey-na-vaz-2109-1426561647/</t>
  </si>
  <si>
    <t>https://www.ozon.ru/product/zhgut-provodov-forsunok-vesta-dvigatel-21129-cargen-913147493/</t>
  </si>
  <si>
    <t>https://www.ozon.ru/product/zhgut-provodov-zadniy-vaz-2106-1419091255/</t>
  </si>
  <si>
    <t>https://www.ozon.ru/product/zhgut-paneli-priborov-vaz-2104-1419051757/</t>
  </si>
  <si>
    <t>https://www.ozon.ru/product/zhgut-paneli-priborov-vaz-2105-s-inzhektorom-1419068340/</t>
  </si>
  <si>
    <t>https://www.ozon.ru/product/zhgut-provodov-zadniy-vaz-2105-1419070182/</t>
  </si>
  <si>
    <t>https://www.ozon.ru/product/zhgut-provodov-po-kapot-dlya-karbyuratornyh-vaz-2107-2105-2104-v-sbore-1717706640/</t>
  </si>
  <si>
    <t>https://www.ozon.ru/product/zhgut-provodov-1426120234/</t>
  </si>
  <si>
    <t>https://www.ozon.ru/product/lada-zhgut-provodov-dlina-0-370-m-1435086588/</t>
  </si>
  <si>
    <t>https://www.ozon.ru/product/lada-zhgut-provodov-dlina-0-490-m-1435077707/</t>
  </si>
  <si>
    <t>https://www.ozon.ru/product/lada-zhgut-provodov-dlina-0-680-m-1435054161/</t>
  </si>
  <si>
    <t>https://www.ozon.ru/product/lada-zhgut-provodov-dlina-0-490-m-1435047851/</t>
  </si>
  <si>
    <t>https://www.ozon.ru/product/lada-zhgut-provodov-dlina-0-275-m-1435047271/</t>
  </si>
  <si>
    <t>https://www.ozon.ru/product/lada-zhgut-provodov-dlina-0-275-m-1434123810/</t>
  </si>
  <si>
    <t>https://www.ozon.ru/product/zhgut-steklopodemnika-universalnyy-na-2-knopki-vaz-2108-1425058067/</t>
  </si>
  <si>
    <t>https://www.ozon.ru/product/zhgut-provodov-podklyucheniya-elektro-benzonasosa-vaz-lada-2108-2109-21099-2110-2111-2112-2113-2114-215837265/</t>
  </si>
  <si>
    <t>https://www.ozon.ru/product/zhgut-provodov-sistemy-zazhiganiya-priora-vaz-21702-3724026-1462592758/</t>
  </si>
  <si>
    <t>https://www.ozon.ru/product/zhgut-provodov-2107-3724016-pod-kapot-v-sbore-dlya-karbyuratornyh-vaz-2104-2105-2107-1773038661/</t>
  </si>
  <si>
    <t>https://www.ozon.ru/product/zhgut-provodov-zadniy-vaz-2105-2107-s-inzhektorom-1419072898/</t>
  </si>
  <si>
    <t>https://www.ozon.ru/product/zhgut-provodov-paneli-priborov-pod-nizkuyu-panel-vaz-2108-1425051636/</t>
  </si>
  <si>
    <t>https://www.ozon.ru/product/zhgut-provodov-bokovyh-steklopodemnikov-i-tsentralnogo-zamka-iz-4-h-chastey-komplekt-2114-vaz-1449838558/</t>
  </si>
  <si>
    <t>https://www.ozon.ru/product/zhgut-provodov-levoy-dveri-shevrole-niva-vaz-2123-3724551-1465421852/</t>
  </si>
  <si>
    <t>https://www.ozon.ru/product/zhgut-provodov-peredney-levoy-dveri-bez-povtoritelya-priora-vaz-21703-3724551-90-1467973417/</t>
  </si>
  <si>
    <t>https://www.ozon.ru/product/zhgut-provodov-pod-kapot-perednyaya-chast-vaz-2101-1419032102/</t>
  </si>
  <si>
    <t>https://www.ozon.ru/product/zhgut-provodov-paneli-priborov-karbyurator-s-vysokoy-panelyu-21083-1425041205/</t>
  </si>
  <si>
    <t>https://www.ozon.ru/product/zhgut-provodov-zadniy-salona-i-zadnih-fonarey-na-vaz-21099-1426105271/</t>
  </si>
  <si>
    <t>https://www.ozon.ru/product/zhgut-provodov-far-i-generatora-2110-vaz-2110-3724010-20-1434241534/</t>
  </si>
  <si>
    <t>https://www.ozon.ru/product/zhgut-provodov-zadniy-2114-vaz-2115-3724210-31-1449855775/</t>
  </si>
  <si>
    <t>https://www.ozon.ru/product/zhgut-provodov-paneli-priborov-2114-vaz-2115-3724030-50-1435124650/</t>
  </si>
  <si>
    <t>https://www.ozon.ru/product/zhgut-provodov-farogeneratornyy-s-elektronnoy-pedalyu-gaza-2114-2115-vaz-21154-3724010-30-1449856936/</t>
  </si>
  <si>
    <t>https://www.ozon.ru/product/zhgut-provodov-far-i-generatora-dlya-niva-21213-provod-generatora-niva-oem-nomer-21213-3724010-215837283/</t>
  </si>
  <si>
    <t>https://www.ozon.ru/product/montazhnyy-nabor-podklyucheniya-obogreva-lobovogo-stekla-shevrole-niva-travel-1137881967/</t>
  </si>
  <si>
    <t>https://www.ozon.ru/product/razem-datchika-temperatury-okruzhayushchego-vozduha-nord-yada-2115-904853-1567623696/</t>
  </si>
  <si>
    <t>https://www.ozon.ru/product/zhgut-provodov-far-na-lente-vaz-2108-1425045628/</t>
  </si>
  <si>
    <t>https://www.ozon.ru/product/zhgut-provodov-far-i-generatora-2114-vaz-21154-3724010-1451817292/</t>
  </si>
  <si>
    <t>https://www.ozon.ru/product/zhgut-provodov-farogeneratornyy-2114-vaz-2114-3724010-10-1449855598/</t>
  </si>
  <si>
    <t>https://www.ozon.ru/product/zhgut-provodov-sistemy-zazhiganiya-vaz-21093-1425972357/</t>
  </si>
  <si>
    <t>https://www.ozon.ru/product/zhgut-provodov-sistemy-zazhiganiya-starogo-obraztsa-shevrole-niva-vaz-2123-3724026-20-1465409105/</t>
  </si>
  <si>
    <t>https://www.ozon.ru/product/zhgut-provodov-sistemy-zazhiganiya-shevrole-niva-vaz-2123-3724026-81-1465423127/</t>
  </si>
  <si>
    <t>https://www.ozon.ru/product/zhgut-provodov-sistemy-zazhiganiya-shevrole-niva-vaz-2123-3724026-61-1465422630/</t>
  </si>
  <si>
    <t>https://www.ozon.ru/product/zhgut-provodov-sistemy-zazhiganiya-kalina-vaz-11184-3724026-45-1449865435/</t>
  </si>
  <si>
    <t>https://www.ozon.ru/product/zhgut-provodov-pravoy-dveri-shevrole-niva-vaz-2123-3724550-1465421450/</t>
  </si>
  <si>
    <t>https://www.ozon.ru/product/zhgut-provodov-peredniy-v-sbore-lada-vesta-8450030782-1467986134/</t>
  </si>
  <si>
    <t>https://www.ozon.ru/product/zhgut-provodov-peredniy-v-sbore-harn-fr-lh-lada-vesta-8450008432-1467983738/</t>
  </si>
  <si>
    <t>https://www.ozon.ru/product/zhgut-provodov-paneli-priborov-2114-2115-s-elektronnoy-pedalyu-gaza-vaz-21154-3724030-00-1435122604/</t>
  </si>
  <si>
    <t>https://www.ozon.ru/product/zhgut-provodov-pod-kapot-v-sbore-iz-4-h-chastey-vaz-2108-2109-2199-karbyurator-1426535575/</t>
  </si>
  <si>
    <t>https://www.ozon.ru/product/zhgut-provodov-paneli-priborov-2114-vaz-2115-3724030-80-1435127403/</t>
  </si>
  <si>
    <t>https://www.ozon.ru/product/zhgut-provodov-paneli-priborov-2114-vaz-2115-3724030-70-1435126652/</t>
  </si>
  <si>
    <t>https://www.ozon.ru/product/zhgut-provodov-paneli-priborov-2114-vaz-2115-3724030-60-1435125678/</t>
  </si>
  <si>
    <t>https://www.ozon.ru/product/zhgut-provodov-sistemy-zazhiganiya-2110-vaz-21104-3724026-1434237875/</t>
  </si>
  <si>
    <t>https://www.ozon.ru/product/zhgut-provodov-zadniy-niva-urban-vaz-2131-3724210-a-1-1462618901/</t>
  </si>
  <si>
    <t>https://www.ozon.ru/product/zhgut-provodov-zadniy-8450030721-lada-vesta-1467987500/</t>
  </si>
  <si>
    <t>https://www.ozon.ru/product/zhgut-provodov-dopolnitelnyy-zadney-pravoy-dveri-v-sbore-steklopodemniki-dlya-vaz-lada-priora-216539908/</t>
  </si>
  <si>
    <t>https://www.ozon.ru/product/zhgut-provodov-generatora-na-lente-vaz-21083-1425050122/</t>
  </si>
  <si>
    <t>https://www.ozon.ru/product/zhgut-paneli-priborov-lada-largus-1467978323/</t>
  </si>
  <si>
    <t>https://www.ozon.ru/product/zhgut-provodov-paneli-priborov-lada-vesta-8450031623-1467980710/</t>
  </si>
  <si>
    <t>https://www.ozon.ru/product/zhgut-provodov-paneli-priborov-lada-vesta-8450031379-1467979787/</t>
  </si>
  <si>
    <t>https://www.ozon.ru/product/zhgut-provodov-paneli-priborov-lada-vesta-8450030715-1467980366/</t>
  </si>
  <si>
    <t>https://www.ozon.ru/product/razem-kolodka-zelenyy-dlya-kombinatsii-priborov-norma-bez-provodov-dlya-priora-kalina-958795495/</t>
  </si>
  <si>
    <t>https://www.ozon.ru/product/razem-kolodka-dlya-datchika-polozheniya-drosselnoy-zaslonki-2112-1148200-1512036491/</t>
  </si>
  <si>
    <t>https://www.ozon.ru/product/cargen-provoda-soedinitelnye-949209922/</t>
  </si>
  <si>
    <t>https://www.ozon.ru/product/zhgut-provodov-paneli-priborov-v-sbore-s-montazhnym-blokom-priora-vaz-2170-3724030-70-1465427178/</t>
  </si>
  <si>
    <t>https://www.ozon.ru/product/zhgut-provodov-paneli-priborov-v-sbore-s-montazhnym-blokom-priora-vaz-2172-3724030-1465426382/</t>
  </si>
  <si>
    <t>https://www.ozon.ru/product/zhgut-provodov-paneli-priborov-v-sbore-s-montazhnym-blokom-priora-vaz-2170-3724030-30-1465426859/</t>
  </si>
  <si>
    <t>https://www.ozon.ru/product/zhgut-provodov-paneli-priborov-v-sbore-s-montazhnym-blokom-priora-vaz-2170-3724030-21-1465426610/</t>
  </si>
  <si>
    <t>https://www.ozon.ru/product/zhgut-provodov-paneli-priborov-v-sbore-s-montazhnym-blokom-priora-vaz-2170-3724030-1465426090/</t>
  </si>
  <si>
    <t>https://www.ozon.ru/product/zhgut-provodov-sistemy-zazhiganiya-granta-vaz-21903-3724026-45-1465374446/</t>
  </si>
  <si>
    <t>https://www.ozon.ru/product/zhgut-provodov-far-i-generatora-2190-3724010-03-na-lada-granta-1465398207/</t>
  </si>
  <si>
    <t>https://www.ozon.ru/product/zhgut-provodov-paneli-priborov-v-sbore-s-montazhnym-blokom-vaz-1118-3724030-lada-kalina-1451849407/</t>
  </si>
  <si>
    <t>https://www.ozon.ru/product/zhgut-provodov-sistemy-zazhiganiya-niva-vaz-21214-3724026-61-1462598489/</t>
  </si>
  <si>
    <t>https://www.ozon.ru/product/zhgut-provodov-sistemy-zazhiganiya-niva-vaz-21214-3724026-80-1462599902/</t>
  </si>
  <si>
    <t>https://www.ozon.ru/product/zhgut-provodov-sistemy-zazhiganiya-niva-vaz-21214-3724026-86-1462602273/</t>
  </si>
  <si>
    <t>https://www.ozon.ru/product/zhgut-provodov-sistemy-zazhiganiya-niva-vaz-21214-3724026-97-1462604437/</t>
  </si>
  <si>
    <t>https://www.ozon.ru/product/zhgut-provodov-far-i-generatora-s-abs-i-konditsionerom-priora-vaz-2170-3724010-62-1467979715/</t>
  </si>
  <si>
    <t>https://www.ozon.ru/product/zhgut-provodov-sistemy-zazhiganiya-kalina-vaz-1118-3724026-20-1449862043/</t>
  </si>
  <si>
    <t>https://www.ozon.ru/product/zhgut-provodov-sistemy-zazhiganiya-kalina-vaz-11184-3724026-10-1449863158/</t>
  </si>
  <si>
    <t>https://www.ozon.ru/product/zhgut-provodov-sistemy-zazhiganiya-niva-vaz-21214-3724026-21-1462587879/</t>
  </si>
  <si>
    <t>https://www.ozon.ru/product/zhgut-provodov-sistemy-zazhiganiya-e-gaz-niva-vaz-21214-3724026-44-1462594154/</t>
  </si>
  <si>
    <t>https://www.ozon.ru/product/zhgut-provodov-sistemy-zazhiganiya-shevrole-niva-vaz-2123-3724026-30-1465405346/</t>
  </si>
  <si>
    <t>https://www.ozon.ru/product/zhgut-provodov-sistemy-zazhiganiya-shevrole-niva-vaz-2123-3724026-60-1465405687/</t>
  </si>
  <si>
    <t>https://www.ozon.ru/product/zhgut-provodov-sistemy-zazhiganiya-shevrole-niva-vaz-2123-3724026-90-1465406430/</t>
  </si>
  <si>
    <t>https://www.ozon.ru/product/zhgut-provodov-paneli-priborov-vaz-11183-3724030-lada-kalina-1451852462/</t>
  </si>
  <si>
    <t>https://www.ozon.ru/product/zhgut-provodov-far-i-generatora-s-abs-shevrole-niva-vaz-2123-3724010-58-1462643617/</t>
  </si>
  <si>
    <t>https://www.ozon.ru/product/zhgut-provodov-far-i-generatora-akpp-granta-vaz-21922-3724010-20-1465399017/</t>
  </si>
  <si>
    <t>https://www.ozon.ru/product/zhgut-provodov-far-i-generatora-akpp-granta-vaz-21924-3724010-20-1465399526/</t>
  </si>
  <si>
    <t>https://www.ozon.ru/product/zhgut-provodov-paneli-priborov-kalina-vaz-11186-3724030-20-1449850216/</t>
  </si>
  <si>
    <t>https://www.ozon.ru/product/zhgut-provodov-paneli-priborov-21902-3724030-54-na-lada-granta-1465397618/</t>
  </si>
  <si>
    <t>https://www.ozon.ru/product/zhgut-provodov-paneli-priborov-granta-vaz-2190-3724030-1462619055/</t>
  </si>
  <si>
    <t>https://www.ozon.ru/product/zhgut-provodov-paneli-priborov-2190-3724030-51-na-lada-granta-1465389644/</t>
  </si>
  <si>
    <t>https://www.ozon.ru/product/zhgut-provodov-paneli-priborov-21912-3724030-53-na-lada-granta-1465390781/</t>
  </si>
  <si>
    <t>https://www.ozon.ru/product/zhgut-provodov-paneli-priborov-2191-3724030-61-na-lada-granta-1465386460/</t>
  </si>
  <si>
    <t>https://www.ozon.ru/product/zhgut-provodov-paneli-priborov-2191-3724030-63-na-lada-granta-1465388096/</t>
  </si>
  <si>
    <t>https://www.ozon.ru/product/zhgut-provodov-paneli-priborov-21917-3724030-00-na-lada-granta-1465387506/</t>
  </si>
  <si>
    <t>https://www.ozon.ru/product/zhgut-provodov-paneli-priborov-21917-3724030-03-na-lada-granta-1465393945/</t>
  </si>
  <si>
    <t>https://www.ozon.ru/product/zhgut-provodov-paneli-priborov-21920-3724030-60-na-lada-granta-1465395473/</t>
  </si>
  <si>
    <t>https://www.ozon.ru/product/zhgut-provodov-paneli-priborov-21920-3724030-63-na-lada-granta-1465394733/</t>
  </si>
  <si>
    <t>https://www.ozon.ru/product/zhgut-provodov-paneli-priborov-21920-3724030-70-na-lada-granta-1465396303/</t>
  </si>
  <si>
    <t>https://www.ozon.ru/product/zhgut-provodov-paneli-priborov-21922-3724030-50-na-lada-granta-1465385485/</t>
  </si>
  <si>
    <t>https://www.ozon.ru/product/zhgut-provodov-paneli-priborov-21922-3724030-73-na-lada-granta-1465397312/</t>
  </si>
  <si>
    <t>https://www.ozon.ru/product/zhgut-provodov-paneli-priborov-s-blokom-e-gaz-priora-vaz-21703-3724030-1465428405/</t>
  </si>
  <si>
    <t>https://www.ozon.ru/product/lada-predohraniteli-dlya-avtomobilya-1-sht-art-21230372201022-1346891937/</t>
  </si>
  <si>
    <t>https://www.ozon.ru/product/blok-predohraniteley-2104-05-pskov-402-n-o-536361565/</t>
  </si>
  <si>
    <t>https://www.ozon.ru/product/blok-rele-i-predohraniteley-393-3722m-podhodit-na-vaz-2123-2110-1224718402/</t>
  </si>
  <si>
    <t>https://www.ozon.ru/product/nabor-montazhnyy-ustanovki-obogreva-lobovogo-stekla-lada-kalina-granta-datsun-1748959801/</t>
  </si>
  <si>
    <t>https://www.ozon.ru/product/zhgut-provodov-pod-kapot-perednyaya-chast-vaz-2106-1419084072/</t>
  </si>
  <si>
    <t>https://www.ozon.ru/product/predohraniteli-dlya-avtomobilya-1-sht-art-521-3722-812896080/</t>
  </si>
  <si>
    <t>https://www.ozon.ru/product/zhgut-provodov-zadniy-granta-vaz-2190-3724210-1462622284/</t>
  </si>
  <si>
    <t>https://www.ozon.ru/product/zhgut-provodov-salona-i-zadnih-fonarey-lada-kalina-1117-3724210-30-1451822772/</t>
  </si>
  <si>
    <t>https://www.ozon.ru/product/zhgut-provodov-zadniy-lada-kalina-vaz-1118-3724210-1451842104/</t>
  </si>
  <si>
    <t>https://www.ozon.ru/product/zhgut-provodov-paneli-priborov-v-1500-vaz-2111-01-1426111318/</t>
  </si>
  <si>
    <t>https://www.ozon.ru/product/zhgut-provodov-paneli-priborov-karbyurator-niva-vaz-21213-3724030-1449875757/</t>
  </si>
  <si>
    <t>https://www.ozon.ru/product/zhgut-provodov-pod-kapot-perednyaya-chast-niva-vaz-2121-3724008-1451996025/</t>
  </si>
  <si>
    <t>https://www.ozon.ru/product/zhgut-provodov-zadniy-priora-vaz-2170-3724210-1465428758/</t>
  </si>
  <si>
    <t>https://www.ozon.ru/product/zhgut-provodov-zadniy-priora-vaz-21713-210-00-1465432085/</t>
  </si>
  <si>
    <t>https://www.ozon.ru/product/montazhnyy-nabor-provodov-dlya-podklyucheniya-lobovogo-stekla-s-podogrevom-vaz-2170-priora-1462611209/</t>
  </si>
  <si>
    <t>https://www.ozon.ru/product/montazhnyy-blok-vaz-2108-2109-21099-173-3722-01m-804341025/</t>
  </si>
  <si>
    <t>https://www.ozon.ru/product/blok-predohraniteley-2108-n-o-s-nov-predohranit-avar-g-pskov-art-361-3722m-2115-3722010-1164195511/</t>
  </si>
  <si>
    <t>https://www.ozon.ru/product/zhgut-provodov-far-i-generatora-21901-3724010-00-na-lada-granta-1467973026/</t>
  </si>
  <si>
    <t>https://www.ozon.ru/product/zhgut-provodov-zadniy-lada-kalina-vaz-1119-3724210-1451845793/</t>
  </si>
  <si>
    <t>https://www.ozon.ru/product/zhgut-provodov-zadniy-shevrole-niva-vaz-2123-3724210-1462659840/</t>
  </si>
  <si>
    <t>https://www.ozon.ru/product/zhgut-provodov-zadniy-priora-vaz-21703-210-23-1465430887/</t>
  </si>
  <si>
    <t>https://www.ozon.ru/product/zhgut-sistemy-zazhiganiya-ot-kontrollera-vaz-2104-1419047371/</t>
  </si>
  <si>
    <t>https://www.ozon.ru/product/zhgut-ebu-kontrollera-provodov-sistemy-zazhiganiya-na-vaz-21073-klassika-379024544/</t>
  </si>
  <si>
    <t>31666 дорого</t>
  </si>
  <si>
    <t>https://www.ozon.ru/product/zhgut-provodov-sistemy-zazhiganiya-e-gaz-ot-kontrollera-vaz-21074-1425013281/</t>
  </si>
  <si>
    <t>https://www.ozon.ru/product/zhgut-ebu-kontrollera-provodov-sistemy-zazhiganiya-na-vaz-21074-klassika-377710868/</t>
  </si>
  <si>
    <t>29133 дорого</t>
  </si>
  <si>
    <t>https://www.ozon.ru/product/zhgut-provodov-sistemy-zazhiganiya-2110-vaz-21102-3724026-51-1434234532/</t>
  </si>
  <si>
    <t>https://www.ozon.ru/product/zhgut-provodov-paneli-priborov-shevrole-niva-vaz-2123-3724030-20-1465404172/</t>
  </si>
  <si>
    <t>https://www.ozon.ru/product/zhgut-provodov-paneli-priborov-shevrole-niva-vaz-2123-3724030-90-1465419702/</t>
  </si>
  <si>
    <t>https://www.ozon.ru/product/zhgut-provodov-zadniy-priora-vaz-2170-210-50-1465430161/</t>
  </si>
  <si>
    <t>https://www.ozon.ru/product/zhgut-provodov-zadniy-priora-vaz-2171-210-20-1465431487/</t>
  </si>
  <si>
    <t>https://www.ozon.ru/product/zhgut-provodov-far-i-generatora-21920-010-01-na-lada-granta-1467973944/</t>
  </si>
  <si>
    <t>https://www.ozon.ru/product/zhgut-provodov-far-i-generatora-21921-010-00-na-lada-granta-1467975894/</t>
  </si>
  <si>
    <t>https://www.ozon.ru/product/zhgut-provodov-far-i-generatora-kalina-vaz-1118-3724010-1449853702/</t>
  </si>
  <si>
    <t>https://www.ozon.ru/product/zhgut-provodov-1119-3724010-40-peredniy-podkapotnyy-lada-kalina-lyuks-362204443/</t>
  </si>
  <si>
    <t>41039 дорого</t>
  </si>
  <si>
    <t>https://www.ozon.ru/product/zhgut-provodov-far-i-generatora-kalina-vaz-1119-3724010-1449855809/</t>
  </si>
  <si>
    <t>https://www.ozon.ru/product/zhgut-provodov-sistemy-zazhiganiya-21102-3724026-05-1773514652/</t>
  </si>
  <si>
    <t>https://www.ozon.ru/product/lada-zhgut-provodov-1774437288/</t>
  </si>
  <si>
    <t>https://www.ozon.ru/product/zhgut-provodov-paneli-priborov-vaz-2112-1426107459/</t>
  </si>
  <si>
    <t>https://www.ozon.ru/product/zhgut-provodov-paneli-priborov-vaz-2112-1426540202/</t>
  </si>
  <si>
    <t>https://www.ozon.ru/product/zhgut-provodov-priborov-far-i-generatora-niva-vaz-21214-m-3724010-90-1451998168/</t>
  </si>
  <si>
    <t>https://www.ozon.ru/product/zhgut-provodov-far-i-generatora-shevrole-niva-vaz-2123-3724010-51-1465420769/</t>
  </si>
  <si>
    <t>https://www.ozon.ru/product/zhgut-provodov-far-i-generatora-priora-vaz-2170-3724010-1467978876/</t>
  </si>
  <si>
    <t>https://www.ozon.ru/product/zhgut-provodov-far-i-generatora-priora-vaz-2172-3724010-1467979241/</t>
  </si>
  <si>
    <t>https://www.ozon.ru/product/zhgut-provodov-far-i-generatora-granta-vaz-2190-3724010-1462606930/</t>
  </si>
  <si>
    <t>https://www.ozon.ru/product/zhgut-provodov-sistemy-zazhiganiya-2110-vaz-21104-3724026-10-1434235921/</t>
  </si>
  <si>
    <t>https://www.ozon.ru/product/zhgut-provodov-paneli-priborov-niva-vaz-21214-m-3724030-70-1452000269/</t>
  </si>
  <si>
    <t>https://www.ozon.ru/product/zhgut-provodov-far-i-generatora-s-konditsionerom-hala-priora-vaz-2170-3724010-30-1462585610/</t>
  </si>
  <si>
    <t>https://www.ozon.ru/product/zhgut-provodov-paneli-priborov-shevrole-niva-vaz-2123-3724030-94-1465419928/</t>
  </si>
  <si>
    <t>https://www.ozon.ru/product/zhgut-21700-3724026-60-ebu-kontrollera-na-vaz-priora-362927359/</t>
  </si>
  <si>
    <t>39267 дорого</t>
  </si>
  <si>
    <t>https://www.ozon.ru/product/zhgut-sistemy-zazhiganiya-vaz-21093-1426540264/</t>
  </si>
  <si>
    <t>https://www.ozon.ru/product/zhgut-provodov-sistemy-zazhiganiya-elektronnaya-pedal-2114-vaz-21144-3724026-1435128867/</t>
  </si>
  <si>
    <t>https://www.ozon.ru/product/zhgut-ebu-kontrollera-sistemy-zazhiganiya-l1-5-v8-na-vaz-21150-379026057/</t>
  </si>
  <si>
    <t>https://www.ozon.ru/product/zhgut-provodov-sistemy-zazhiganiya-2114-vaz-21154-3724026-20-1435131474/</t>
  </si>
  <si>
    <t>https://www.ozon.ru/product/zhgut-provodov-sistemy-zazhiganiya-2114-vaz-2115-3724026-40-1435130272/</t>
  </si>
  <si>
    <t>https://www.ozon.ru/product/zhgut-provodov-sistemy-zazhiganiya-2114-vaz-2115-3724026-50-1435130949/</t>
  </si>
  <si>
    <t>https://www.ozon.ru/product/zhgut-provodov-sistemy-zazhiganiya-2114-vaz-2115-3724026-70-1449835831/</t>
  </si>
  <si>
    <t>https://www.ozon.ru/product/zhgut-provodov-sistemy-zazhiganiya-2114-vaz-21154-3724026-30-1435131773/</t>
  </si>
  <si>
    <t>https://www.ozon.ru/product/zhgut-provodov-sistemy-zazhiganiya-16-ti-klapannaya-2114-vaz-21154-3724026-40-1449833710/</t>
  </si>
  <si>
    <t>https://www.ozon.ru/product/zhgut-provodov-sistemy-zazhiganiya-priora-vaz-2170-3724026-1462590281/</t>
  </si>
  <si>
    <t>https://www.ozon.ru/product/zhgut-provodov-sistemy-zazhiganiya-granta-vaz-2190-3724026-40-1462617232/</t>
  </si>
  <si>
    <t>https://www.ozon.ru/product/zhgut-provodov-far-i-generatora-21904-010-00-na-lada-granta-1467975340/</t>
  </si>
  <si>
    <t>https://www.ozon.ru/product/zhgut-provodov-far-i-generatora-21920-010-12-na-lada-granta-1467974563/</t>
  </si>
  <si>
    <t>https://www.ozon.ru/product/zhgut-provodov-far-i-generatora-31631-3724020-na-uaz-patriot-s-abs-i-konditsionerom-1467989298/</t>
  </si>
  <si>
    <t>https://www.ozon.ru/product/zhgut-provodov-sistemy-zazhiganiya-shevrole-niva-vaz-2123-3724026-62-1465407859/</t>
  </si>
  <si>
    <t>https://www.ozon.ru/product/zhgut-21230-3724026-82-ebu-kontrollera-as-e4-na-vaz-shevrole-niva-362930358/</t>
  </si>
  <si>
    <t>https://www.ozon.ru/product/zhgut-provodov-sistemy-zazhiganiya-shevrole-niva-vaz-2123-3724026-80-1465407179/</t>
  </si>
  <si>
    <t>https://www.ozon.ru/product/zhgut-provodov-paneli-priborov-v-1600-vaz-2111-03-1426600375/</t>
  </si>
  <si>
    <t>https://www.ozon.ru/product/zhgut-provodov-podklyucheniya-kamery-zadnego-vida-8450008028-dlya-lada-vesta-vesta-granta-granta-1264170294/</t>
  </si>
  <si>
    <t>https://www.ozon.ru/product/zhgut-provodov-montazhnyy-nabor-dlya-podklyucheniya-lobovogo-stekla-s-podogrevom-kalina-vaz-1118-1449874555/</t>
  </si>
  <si>
    <t>https://www.ozon.ru/product/zhgut-provodov-zadniy-2110-vaz-2112-3724210-03-1434208804/</t>
  </si>
  <si>
    <t>https://www.ozon.ru/product/zhgut-provodov-zadniy-2110-vaz-2111-3724210-03-1434207357/</t>
  </si>
  <si>
    <t>https://www.ozon.ru/product/zhgut-provodov-zadniy-2110-vaz-2110-3724210-03-1434209645/</t>
  </si>
  <si>
    <t>https://www.ozon.ru/product/zhgut-provodov-zadniy-niva-vaz-21214-3724210-1462616015/</t>
  </si>
  <si>
    <t>https://www.ozon.ru/product/zhgut-provodov-far-i-generatora-2110-vaz-2112-3724010-10-1434240999/</t>
  </si>
  <si>
    <t>https://www.ozon.ru/product/zhgut-provodov-paneli-priborov-2114-2115-s-elektronnoy-pedalyu-gaza-vaz-21154-3724030-10-1435123012/</t>
  </si>
  <si>
    <t>https://www.ozon.ru/product/razem-podklyucheniya-motora-otopitelya-na-vaz-2110-11-12-lada-priora-shevrole-niva-ax434-1064988683/</t>
  </si>
  <si>
    <t>https://www.ozon.ru/product/razem-elektrozerkal-papa-dlya-granta-kalina-vesta-datsun-749384020/</t>
  </si>
  <si>
    <t>https://www.ozon.ru/product/razem-bloka-upravleniya-dlya-bloka-upravleniya-steklopodemnikami-i-zerkalami-lada-kalina-749386617/</t>
  </si>
  <si>
    <t>https://www.ozon.ru/product/razem-paneli-priborov-kombinatsii-podhodit-dlya-vaz-1118-2170-32-kontakta-v-sbore-s-provodami-1686212251/</t>
  </si>
  <si>
    <t>https://www.ozon.ru/product/zhgut-provodov-podklyucheniya-elektrousilitelya-rulya-eur-1117-3450008-04-dopolnitelnyy-perehodnyy-215837321/</t>
  </si>
  <si>
    <t>https://www.ozon.ru/product/zhgut-provodov-elektrousilitelya-rulya-proizvodstvo-rossiya-ekonom-2110-vaz-2110-372410055-1435117610/</t>
  </si>
  <si>
    <t>https://www.ozon.ru/product/zhgut-provodov-dlya-podklyucheniya-elektrousilitelya-rulya-eur-avtomobilya-vaz-2110-2111-2112-kalina-215836981/</t>
  </si>
  <si>
    <t>https://www.ozon.ru/product/zhgut-provodov-zadniy-2114-vaz-2114-3724210-1449852107/</t>
  </si>
  <si>
    <t>https://www.ozon.ru/product/zhgut-provodov-zadniy-niva-vaz-21213-3724210-1449876413/</t>
  </si>
  <si>
    <t>https://www.ozon.ru/product/zhgut-provodov-peredney-pravoy-dveri-s-povtoritelem-priora-vaz-2172-3724550-30-1467976923/</t>
  </si>
  <si>
    <t>https://www.ozon.ru/product/zhgut-provodov-peredney-levoy-dveri-s-povtoritelem-priora-vaz-2172-3724551-30-1467974668/</t>
  </si>
  <si>
    <t>https://www.ozon.ru/product/zhgut-ot-displeya-do-magnitoly-2192-7905030-na-vaz-kalina-2-priora-2-362833678/</t>
  </si>
  <si>
    <t>10133 дорого</t>
  </si>
  <si>
    <t>https://www.ozon.ru/product/zhgut-paneli-priborov-vaz-2104-s-panelyu-2107-1419050075/</t>
  </si>
  <si>
    <t>https://www.ozon.ru/product/zhgut-provodov-salona-i-zadnih-fonarey-vaz-2104-1419054557/</t>
  </si>
  <si>
    <t>https://www.ozon.ru/product/zhgut-paneli-priborov-vaz-2104-1419057821/</t>
  </si>
  <si>
    <t>https://www.ozon.ru/product/zhgut-paneli-priborov-vaz-21073-3724030-30-inzhektor-1775045448/</t>
  </si>
  <si>
    <t>https://www.ozon.ru/product/zhgut-provodov-paneli-priborov-inzhektor-s-vysokoy-panelyu-21082-1425030508/</t>
  </si>
  <si>
    <t>https://www.ozon.ru/product/zhgut-provodov-paneli-priborov-2114-vaz-21145-3724030-10-1435123825/</t>
  </si>
  <si>
    <t>https://www.ozon.ru/product/provod-massy-kuzovnoy-pletenyy-60-sm-kosichka-pletenka-1795397849/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</si>
</sst>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_₽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0"/>
      <name val="Arial Cyr"/>
      <charset val="204"/>
    </font>
    <font>
      <sz val="10"/>
      <color theme="0"/>
      <name val="Calibri"/>
      <family val="2"/>
      <charset val="204"/>
    </font>
    <font>
      <b/>
      <sz val="11"/>
      <color theme="1"/>
      <name val="Calibri"/>
      <family val="1"/>
      <charset val="204"/>
    </font>
    <font>
      <b/>
      <sz val="10"/>
      <color theme="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0"/>
      <color rgb="FF9C0006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Calibri"/>
      <family val="2"/>
      <charset val="204"/>
      <scheme val="minor"/>
    </font>
    <font>
      <sz val="8"/>
      <name val="Calibri"/>
      <family val="2"/>
      <scheme val="minor"/>
    </font>
    <font>
      <sz val="8"/>
      <name val="Calibri"/>
      <family val="2"/>
      <charset val="20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>
      <left/>
      <right style="double">
        <color theme="0"/>
      </right>
      <top/>
      <bottom style="double">
        <color theme="0"/>
      </bottom>
      <diagonal/>
    </border>
    <border diagonalUp="1" diagonalDown="1">
      <left/>
      <right/>
      <top/>
      <bottom/>
      <diagonal style="double">
        <color rgb="FFC00000"/>
      </diagonal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0">
    <xf numFmtId="0" fontId="0" fillId="0" borderId="0"/>
    <xf numFmtId="9" fontId="2" fillId="0" borderId="0" applyFont="0" applyFill="0" applyBorder="0" applyAlignment="0" applyProtection="0"/>
    <xf numFmtId="0" fontId="11" fillId="0" borderId="10" applyNumberFormat="0" applyAlignment="0" applyProtection="0"/>
    <xf numFmtId="0" fontId="12" fillId="0" borderId="11" applyNumberFormat="0" applyAlignment="0" applyProtection="0"/>
    <xf numFmtId="0" fontId="13" fillId="0" borderId="12" applyNumberFormat="0" applyAlignment="0" applyProtection="0"/>
    <xf numFmtId="0" fontId="11" fillId="8" borderId="14" applyNumberFormat="0" applyProtection="0">
      <alignment horizontal="center" vertical="center" wrapText="1"/>
    </xf>
    <xf numFmtId="0" fontId="8" fillId="9" borderId="13" applyNumberFormat="0" applyAlignment="0" applyProtection="0"/>
    <xf numFmtId="0" fontId="14" fillId="10" borderId="0" applyNumberFormat="0" applyBorder="0" applyAlignment="0" applyProtection="0"/>
    <xf numFmtId="0" fontId="15" fillId="7" borderId="0" applyNumberFormat="0" applyBorder="0" applyAlignment="0" applyProtection="0"/>
    <xf numFmtId="0" fontId="17" fillId="0" borderId="0"/>
  </cellStyleXfs>
  <cellXfs count="107">
    <xf numFmtId="0" fontId="0" fillId="0" borderId="0" xfId="0"/>
    <xf numFmtId="49" fontId="3" fillId="0" borderId="2" xfId="0" applyNumberFormat="1" applyFont="1" applyBorder="1" applyAlignment="1">
      <alignment horizontal="left" wrapText="1"/>
    </xf>
    <xf numFmtId="0" fontId="5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3" xfId="0" applyFill="1" applyBorder="1"/>
    <xf numFmtId="0" fontId="0" fillId="0" borderId="0" xfId="0"/>
    <xf numFmtId="2" fontId="3" fillId="0" borderId="3" xfId="0" applyNumberFormat="1" applyFont="1" applyBorder="1" applyAlignment="1">
      <alignment horizontal="left" wrapText="1"/>
    </xf>
    <xf numFmtId="0" fontId="0" fillId="0" borderId="0" xfId="0"/>
    <xf numFmtId="0" fontId="5" fillId="0" borderId="3" xfId="0" applyFont="1" applyBorder="1" applyAlignment="1">
      <alignment horizontal="left" wrapText="1"/>
    </xf>
    <xf numFmtId="0" fontId="6" fillId="0" borderId="5" xfId="0" applyFont="1" applyBorder="1" applyAlignment="1">
      <alignment horizontal="center"/>
    </xf>
    <xf numFmtId="9" fontId="0" fillId="0" borderId="0" xfId="1" applyFont="1"/>
    <xf numFmtId="164" fontId="5" fillId="0" borderId="3" xfId="0" applyNumberFormat="1" applyFont="1" applyBorder="1" applyAlignment="1">
      <alignment horizontal="right"/>
    </xf>
    <xf numFmtId="0" fontId="0" fillId="3" borderId="9" xfId="0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" xfId="0" applyFont="1" applyBorder="1" applyAlignment="1">
      <alignment horizontal="left"/>
    </xf>
    <xf numFmtId="0" fontId="6" fillId="0" borderId="3" xfId="0" applyFont="1" applyBorder="1" applyAlignment="1">
      <alignment horizontal="center"/>
    </xf>
    <xf numFmtId="164" fontId="6" fillId="0" borderId="3" xfId="0" applyNumberFormat="1" applyFont="1" applyBorder="1" applyAlignment="1">
      <alignment horizontal="right"/>
    </xf>
    <xf numFmtId="0" fontId="5" fillId="0" borderId="7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left" vertical="top" wrapText="1"/>
    </xf>
    <xf numFmtId="164" fontId="5" fillId="0" borderId="8" xfId="0" applyNumberFormat="1" applyFont="1" applyBorder="1" applyAlignment="1">
      <alignment horizontal="right" wrapText="1"/>
    </xf>
    <xf numFmtId="0" fontId="5" fillId="0" borderId="6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left" vertical="top" wrapText="1"/>
    </xf>
    <xf numFmtId="164" fontId="5" fillId="0" borderId="3" xfId="0" applyNumberFormat="1" applyFont="1" applyBorder="1" applyAlignment="1">
      <alignment horizontal="right" wrapText="1"/>
    </xf>
    <xf numFmtId="0" fontId="6" fillId="0" borderId="3" xfId="0" applyFont="1" applyBorder="1" applyAlignment="1">
      <alignment horizontal="left" vertical="top" wrapText="1"/>
    </xf>
    <xf numFmtId="164" fontId="5" fillId="0" borderId="3" xfId="0" applyNumberFormat="1" applyFont="1" applyBorder="1" applyAlignment="1">
      <alignment vertical="center" wrapText="1"/>
    </xf>
    <xf numFmtId="0" fontId="5" fillId="0" borderId="3" xfId="0" applyFont="1" applyBorder="1" applyAlignment="1">
      <alignment vertical="top" wrapText="1"/>
    </xf>
    <xf numFmtId="164" fontId="5" fillId="0" borderId="3" xfId="0" applyNumberFormat="1" applyFont="1" applyBorder="1" applyAlignment="1">
      <alignment vertical="top" wrapText="1"/>
    </xf>
    <xf numFmtId="0" fontId="5" fillId="0" borderId="3" xfId="0" applyFont="1" applyBorder="1"/>
    <xf numFmtId="0" fontId="6" fillId="0" borderId="3" xfId="0" applyFont="1" applyBorder="1" applyAlignment="1">
      <alignment vertical="top" wrapText="1"/>
    </xf>
    <xf numFmtId="0" fontId="5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wrapText="1"/>
    </xf>
    <xf numFmtId="164" fontId="5" fillId="0" borderId="3" xfId="0" applyNumberFormat="1" applyFont="1" applyBorder="1" applyAlignment="1">
      <alignment horizontal="right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0" fillId="0" borderId="0" xfId="0" applyNumberFormat="1"/>
    <xf numFmtId="0" fontId="18" fillId="4" borderId="3" xfId="0" applyFont="1" applyFill="1" applyBorder="1" applyAlignment="1">
      <alignment horizontal="left" wrapText="1"/>
    </xf>
    <xf numFmtId="0" fontId="6" fillId="15" borderId="3" xfId="0" applyFont="1" applyFill="1" applyBorder="1" applyAlignment="1">
      <alignment horizontal="left"/>
    </xf>
    <xf numFmtId="0" fontId="5" fillId="16" borderId="6" xfId="0" applyFont="1" applyFill="1" applyBorder="1" applyAlignment="1">
      <alignment horizontal="center"/>
    </xf>
    <xf numFmtId="0" fontId="5" fillId="16" borderId="3" xfId="0" applyFont="1" applyFill="1" applyBorder="1" applyAlignment="1">
      <alignment vertical="top" wrapText="1"/>
    </xf>
    <xf numFmtId="164" fontId="5" fillId="16" borderId="3" xfId="0" applyNumberFormat="1" applyFont="1" applyFill="1" applyBorder="1" applyAlignment="1">
      <alignment vertical="top" wrapText="1"/>
    </xf>
    <xf numFmtId="1" fontId="3" fillId="0" borderId="3" xfId="0" applyNumberFormat="1" applyFont="1" applyBorder="1" applyAlignment="1">
      <alignment horizontal="left" wrapText="1"/>
    </xf>
    <xf numFmtId="1" fontId="15" fillId="7" borderId="3" xfId="8" applyNumberFormat="1" applyBorder="1" applyAlignment="1">
      <alignment horizontal="left" wrapText="1"/>
    </xf>
    <xf numFmtId="1" fontId="15" fillId="7" borderId="2" xfId="8" applyNumberFormat="1" applyBorder="1" applyAlignment="1">
      <alignment horizontal="left" wrapText="1"/>
    </xf>
    <xf numFmtId="1" fontId="3" fillId="3" borderId="2" xfId="0" applyNumberFormat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3" fillId="0" borderId="0" xfId="0" applyFont="1" applyFill="1" applyAlignment="1">
      <alignment horizontal="left" wrapText="1"/>
    </xf>
    <xf numFmtId="9" fontId="0" fillId="0" borderId="0" xfId="1" applyFon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9" fontId="0" fillId="3" borderId="3" xfId="0" applyNumberFormat="1" applyFill="1" applyBorder="1" applyAlignment="1">
      <alignment horizontal="left"/>
    </xf>
    <xf numFmtId="1" fontId="0" fillId="3" borderId="0" xfId="0" applyNumberFormat="1" applyFill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left" wrapText="1"/>
    </xf>
    <xf numFmtId="0" fontId="10" fillId="4" borderId="3" xfId="0" applyFont="1" applyFill="1" applyBorder="1" applyAlignment="1">
      <alignment horizontal="left" wrapText="1"/>
    </xf>
    <xf numFmtId="1" fontId="0" fillId="0" borderId="3" xfId="0" applyNumberFormat="1" applyBorder="1" applyAlignment="1">
      <alignment horizontal="left"/>
    </xf>
    <xf numFmtId="1" fontId="0" fillId="5" borderId="3" xfId="0" applyNumberFormat="1" applyFill="1" applyBorder="1" applyAlignment="1">
      <alignment horizontal="left"/>
    </xf>
    <xf numFmtId="1" fontId="0" fillId="3" borderId="3" xfId="0" applyNumberFormat="1" applyFill="1" applyBorder="1" applyAlignment="1">
      <alignment horizontal="left" wrapText="1"/>
    </xf>
    <xf numFmtId="1" fontId="11" fillId="0" borderId="10" xfId="2" applyNumberFormat="1" applyAlignment="1">
      <alignment horizontal="left"/>
    </xf>
    <xf numFmtId="49" fontId="18" fillId="4" borderId="3" xfId="0" applyNumberFormat="1" applyFont="1" applyFill="1" applyBorder="1" applyAlignment="1">
      <alignment horizontal="left" wrapText="1"/>
    </xf>
    <xf numFmtId="1" fontId="0" fillId="13" borderId="3" xfId="0" applyNumberFormat="1" applyFill="1" applyBorder="1" applyAlignment="1">
      <alignment horizontal="left"/>
    </xf>
    <xf numFmtId="1" fontId="0" fillId="6" borderId="3" xfId="0" applyNumberFormat="1" applyFill="1" applyBorder="1" applyAlignment="1">
      <alignment horizontal="left"/>
    </xf>
    <xf numFmtId="1" fontId="0" fillId="14" borderId="3" xfId="0" applyNumberFormat="1" applyFill="1" applyBorder="1" applyAlignment="1">
      <alignment horizontal="left"/>
    </xf>
    <xf numFmtId="1" fontId="0" fillId="17" borderId="3" xfId="0" applyNumberFormat="1" applyFill="1" applyBorder="1" applyAlignment="1">
      <alignment horizontal="left"/>
    </xf>
    <xf numFmtId="49" fontId="3" fillId="0" borderId="1" xfId="0" applyNumberFormat="1" applyFont="1" applyBorder="1" applyAlignment="1">
      <alignment horizontal="left" wrapText="1"/>
    </xf>
    <xf numFmtId="0" fontId="9" fillId="11" borderId="3" xfId="0" applyFont="1" applyFill="1" applyBorder="1" applyAlignment="1">
      <alignment horizontal="left" wrapText="1"/>
    </xf>
    <xf numFmtId="49" fontId="4" fillId="0" borderId="15" xfId="0" applyNumberFormat="1" applyFont="1" applyFill="1" applyBorder="1" applyAlignment="1">
      <alignment horizontal="left" wrapText="1"/>
    </xf>
    <xf numFmtId="1" fontId="3" fillId="3" borderId="3" xfId="0" applyNumberFormat="1" applyFont="1" applyFill="1" applyBorder="1" applyAlignment="1">
      <alignment horizontal="left" wrapText="1"/>
    </xf>
    <xf numFmtId="1" fontId="9" fillId="12" borderId="3" xfId="0" applyNumberFormat="1" applyFont="1" applyFill="1" applyBorder="1" applyAlignment="1">
      <alignment horizontal="left" wrapText="1"/>
    </xf>
    <xf numFmtId="1" fontId="16" fillId="5" borderId="3" xfId="0" applyNumberFormat="1" applyFont="1" applyFill="1" applyBorder="1" applyAlignment="1">
      <alignment horizontal="left"/>
    </xf>
    <xf numFmtId="0" fontId="16" fillId="5" borderId="3" xfId="0" applyFont="1" applyFill="1" applyBorder="1" applyAlignment="1">
      <alignment horizontal="left"/>
    </xf>
    <xf numFmtId="1" fontId="3" fillId="19" borderId="3" xfId="0" applyNumberFormat="1" applyFont="1" applyFill="1" applyBorder="1" applyAlignment="1">
      <alignment horizontal="left"/>
    </xf>
    <xf numFmtId="1" fontId="3" fillId="18" borderId="3" xfId="0" applyNumberFormat="1" applyFont="1" applyFill="1" applyBorder="1" applyAlignment="1">
      <alignment horizontal="left"/>
    </xf>
    <xf numFmtId="2" fontId="16" fillId="5" borderId="3" xfId="0" applyNumberFormat="1" applyFont="1" applyFill="1" applyBorder="1" applyAlignment="1">
      <alignment horizontal="left"/>
    </xf>
    <xf numFmtId="1" fontId="3" fillId="0" borderId="0" xfId="0" applyNumberFormat="1" applyFont="1" applyBorder="1" applyAlignment="1">
      <alignment horizontal="left" wrapText="1"/>
    </xf>
    <xf numFmtId="1" fontId="0" fillId="0" borderId="0" xfId="1" applyNumberFormat="1" applyFont="1" applyBorder="1" applyAlignment="1">
      <alignment horizontal="left"/>
    </xf>
    <xf numFmtId="164" fontId="6" fillId="0" borderId="5" xfId="0" applyNumberFormat="1" applyFont="1" applyBorder="1" applyAlignment="1">
      <alignment horizontal="center" wrapText="1"/>
    </xf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center"/>
    </xf>
    <xf numFmtId="0" fontId="6" fillId="15" borderId="3" xfId="0" applyFont="1" applyFill="1" applyBorder="1" applyAlignment="1">
      <alignment horizontal="left"/>
    </xf>
    <xf numFmtId="0" fontId="11" fillId="0" borderId="10" xfId="2" applyAlignment="1">
      <alignment horizontal="left"/>
    </xf>
    <xf numFmtId="164" fontId="5" fillId="0" borderId="0" xfId="0" applyNumberFormat="1" applyFont="1" applyAlignment="1">
      <alignment horizontal="right"/>
    </xf>
    <xf numFmtId="0" fontId="9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9" fillId="3" borderId="3" xfId="0" applyNumberFormat="1" applyFont="1" applyFill="1" applyBorder="1" applyAlignment="1" applyProtection="1">
      <alignment horizontal="left" vertical="top" wrapText="1"/>
    </xf>
    <xf numFmtId="0" fontId="0" fillId="5" borderId="3" xfId="0" applyFill="1" applyBorder="1" applyAlignment="1">
      <alignment horizontal="left" vertical="center"/>
    </xf>
    <xf numFmtId="9" fontId="9" fillId="5" borderId="3" xfId="1" applyFont="1" applyFill="1" applyBorder="1" applyAlignment="1">
      <alignment horizontal="left" vertical="top" wrapText="1"/>
    </xf>
    <xf numFmtId="0" fontId="10" fillId="0" borderId="3" xfId="0" applyFont="1" applyBorder="1" applyAlignment="1">
      <alignment horizontal="left" vertical="center" wrapText="1"/>
    </xf>
    <xf numFmtId="2" fontId="10" fillId="0" borderId="3" xfId="0" applyNumberFormat="1" applyFont="1" applyBorder="1" applyAlignment="1">
      <alignment horizontal="left" vertical="center" wrapText="1"/>
    </xf>
    <xf numFmtId="9" fontId="20" fillId="5" borderId="3" xfId="0" applyNumberFormat="1" applyFont="1" applyFill="1" applyBorder="1" applyAlignment="1">
      <alignment horizontal="left" vertical="center"/>
    </xf>
    <xf numFmtId="9" fontId="16" fillId="5" borderId="3" xfId="0" applyNumberFormat="1" applyFont="1" applyFill="1" applyBorder="1" applyAlignment="1">
      <alignment horizontal="left" vertical="center"/>
    </xf>
    <xf numFmtId="1" fontId="9" fillId="5" borderId="3" xfId="1" applyNumberFormat="1" applyFont="1" applyFill="1" applyBorder="1" applyAlignment="1">
      <alignment horizontal="left" vertical="top" wrapText="1"/>
    </xf>
    <xf numFmtId="9" fontId="1" fillId="0" borderId="3" xfId="1" applyFont="1" applyBorder="1" applyAlignment="1">
      <alignment horizontal="left" wrapText="1"/>
    </xf>
    <xf numFmtId="0" fontId="0" fillId="0" borderId="3" xfId="0" applyBorder="1" applyAlignment="1">
      <alignment horizontal="left" vertical="center"/>
    </xf>
    <xf numFmtId="0" fontId="16" fillId="5" borderId="3" xfId="0" applyFont="1" applyFill="1" applyBorder="1" applyAlignment="1">
      <alignment horizontal="left" vertical="center"/>
    </xf>
    <xf numFmtId="1" fontId="20" fillId="5" borderId="3" xfId="0" applyNumberFormat="1" applyFont="1" applyFill="1" applyBorder="1" applyAlignment="1">
      <alignment horizontal="left" vertical="center"/>
    </xf>
    <xf numFmtId="1" fontId="16" fillId="5" borderId="3" xfId="0" applyNumberFormat="1" applyFont="1" applyFill="1" applyBorder="1" applyAlignment="1">
      <alignment horizontal="left" vertical="center"/>
    </xf>
    <xf numFmtId="1" fontId="3" fillId="0" borderId="3" xfId="0" applyNumberFormat="1" applyFont="1" applyBorder="1" applyAlignment="1">
      <alignment horizontal="left"/>
    </xf>
    <xf numFmtId="0" fontId="6" fillId="0" borderId="4" xfId="0" applyFont="1" applyBorder="1" applyAlignment="1">
      <alignment horizontal="center" wrapText="1"/>
    </xf>
    <xf numFmtId="0" fontId="5" fillId="20" borderId="0" xfId="0" applyFont="1" applyFill="1" applyAlignment="1">
      <alignment horizontal="left"/>
    </xf>
    <xf numFmtId="1" fontId="0" fillId="3" borderId="3" xfId="0" applyNumberFormat="1" applyFill="1" applyBorder="1" applyAlignment="1">
      <alignment horizontal="left"/>
    </xf>
  </cellXfs>
  <cellStyles count="10">
    <cellStyle name="Акцент1" xfId="2" builtinId="29" customBuiltin="1"/>
    <cellStyle name="Акцент2" xfId="3" builtinId="33" customBuiltin="1"/>
    <cellStyle name="Акцент3" xfId="4" builtinId="37" customBuiltin="1"/>
    <cellStyle name="Акцент4" xfId="5" builtinId="41" customBuiltin="1"/>
    <cellStyle name="Акцент5" xfId="6" builtinId="45" customBuiltin="1"/>
    <cellStyle name="Акцент6" xfId="7" builtinId="49" customBuiltin="1"/>
    <cellStyle name="Обычный" xfId="0" builtinId="0"/>
    <cellStyle name="Обычный 2" xfId="9" xr:uid="{2C19ECFD-18DA-4F36-87D8-78ABF7223A6E}"/>
    <cellStyle name="Плохой" xfId="8" builtinId="27"/>
    <cellStyle name="Процентный" xfId="1" builtinId="5"/>
  </cellStyles>
  <dxfs count="16"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84" Type="http://schemas.openxmlformats.org/officeDocument/2006/relationships/image" Target="../media/image84.jpeg"/><Relationship Id="rId16" Type="http://schemas.openxmlformats.org/officeDocument/2006/relationships/image" Target="../media/image16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jpeg"/><Relationship Id="rId79" Type="http://schemas.openxmlformats.org/officeDocument/2006/relationships/image" Target="../media/image79.jpeg"/><Relationship Id="rId5" Type="http://schemas.openxmlformats.org/officeDocument/2006/relationships/image" Target="../media/image5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56" Type="http://schemas.openxmlformats.org/officeDocument/2006/relationships/image" Target="../media/image56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77" Type="http://schemas.openxmlformats.org/officeDocument/2006/relationships/image" Target="../media/image77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80" Type="http://schemas.openxmlformats.org/officeDocument/2006/relationships/image" Target="../media/image80.jpeg"/><Relationship Id="rId85" Type="http://schemas.openxmlformats.org/officeDocument/2006/relationships/image" Target="../media/image85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46" Type="http://schemas.openxmlformats.org/officeDocument/2006/relationships/image" Target="../media/image46.jpeg"/><Relationship Id="rId59" Type="http://schemas.openxmlformats.org/officeDocument/2006/relationships/image" Target="../media/image59.jpeg"/><Relationship Id="rId67" Type="http://schemas.openxmlformats.org/officeDocument/2006/relationships/image" Target="../media/image67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54" Type="http://schemas.openxmlformats.org/officeDocument/2006/relationships/image" Target="../media/image54.jpeg"/><Relationship Id="rId62" Type="http://schemas.openxmlformats.org/officeDocument/2006/relationships/image" Target="../media/image62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83" Type="http://schemas.openxmlformats.org/officeDocument/2006/relationships/image" Target="../media/image83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jpeg"/><Relationship Id="rId78" Type="http://schemas.openxmlformats.org/officeDocument/2006/relationships/image" Target="../media/image78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61" Type="http://schemas.openxmlformats.org/officeDocument/2006/relationships/image" Target="../media/image61.jpeg"/><Relationship Id="rId82" Type="http://schemas.openxmlformats.org/officeDocument/2006/relationships/image" Target="../media/image8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297</xdr:row>
      <xdr:rowOff>95250</xdr:rowOff>
    </xdr:from>
    <xdr:to>
      <xdr:col>3</xdr:col>
      <xdr:colOff>1657350</xdr:colOff>
      <xdr:row>383</xdr:row>
      <xdr:rowOff>895350</xdr:rowOff>
    </xdr:to>
    <xdr:grpSp>
      <xdr:nvGrpSpPr>
        <xdr:cNvPr id="90" name="Группа 88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pSpPr>
          <a:grpSpLocks/>
        </xdr:cNvGrpSpPr>
      </xdr:nvGrpSpPr>
      <xdr:grpSpPr bwMode="auto">
        <a:xfrm>
          <a:off x="10153650" y="48672750"/>
          <a:ext cx="1352550" cy="15125700"/>
          <a:chOff x="5781675" y="52682596"/>
          <a:chExt cx="1532556" cy="83325058"/>
        </a:xfrm>
      </xdr:grpSpPr>
      <xdr:pic>
        <xdr:nvPicPr>
          <xdr:cNvPr id="91" name="Picture 2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76197" y="52682596"/>
            <a:ext cx="1400175" cy="704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92" name="Picture 3">
            <a:extLst>
              <a:ext uri="{FF2B5EF4-FFF2-40B4-BE49-F238E27FC236}">
                <a16:creationId xmlns:a16="http://schemas.microsoft.com/office/drawing/2014/main" id="{00000000-0008-0000-0100-00005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62166" y="53648954"/>
            <a:ext cx="1209675" cy="8572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93" name="Picture 5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96460" y="54621364"/>
            <a:ext cx="1266826" cy="847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94" name="Picture 6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78548" y="55616117"/>
            <a:ext cx="1181100" cy="7715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95" name="Picture 7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24065" y="56520992"/>
            <a:ext cx="1323975" cy="8286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96" name="Picture 8">
            <a:extLst>
              <a:ext uri="{FF2B5EF4-FFF2-40B4-BE49-F238E27FC236}">
                <a16:creationId xmlns:a16="http://schemas.microsoft.com/office/drawing/2014/main" id="{00000000-0008-0000-0100-00006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53852" y="57525450"/>
            <a:ext cx="1228725" cy="800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97" name="Picture 9">
            <a:extLst>
              <a:ext uri="{FF2B5EF4-FFF2-40B4-BE49-F238E27FC236}">
                <a16:creationId xmlns:a16="http://schemas.microsoft.com/office/drawing/2014/main" id="{00000000-0008-0000-0100-00006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42631" y="58492667"/>
            <a:ext cx="1266826" cy="7334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98" name="Picture 10">
            <a:extLst>
              <a:ext uri="{FF2B5EF4-FFF2-40B4-BE49-F238E27FC236}">
                <a16:creationId xmlns:a16="http://schemas.microsoft.com/office/drawing/2014/main" id="{00000000-0008-0000-0100-00006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11002" y="59379531"/>
            <a:ext cx="1095375" cy="7524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99" name="Picture 11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35530" y="60257907"/>
            <a:ext cx="1114425" cy="7715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0" name="Picture 12">
            <a:extLst>
              <a:ext uri="{FF2B5EF4-FFF2-40B4-BE49-F238E27FC236}">
                <a16:creationId xmlns:a16="http://schemas.microsoft.com/office/drawing/2014/main" id="{00000000-0008-0000-0100-00006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90739" y="61197588"/>
            <a:ext cx="1238250" cy="800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1" name="Picture 13">
            <a:extLst>
              <a:ext uri="{FF2B5EF4-FFF2-40B4-BE49-F238E27FC236}">
                <a16:creationId xmlns:a16="http://schemas.microsoft.com/office/drawing/2014/main" id="{00000000-0008-0000-0100-00006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96459" y="62220917"/>
            <a:ext cx="1343025" cy="876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2" name="Picture 14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5273" y="63241131"/>
            <a:ext cx="962025" cy="847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3" name="Picture 15">
            <a:extLst>
              <a:ext uri="{FF2B5EF4-FFF2-40B4-BE49-F238E27FC236}">
                <a16:creationId xmlns:a16="http://schemas.microsoft.com/office/drawing/2014/main" id="{00000000-0008-0000-0100-00006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39093" y="64215797"/>
            <a:ext cx="1142999" cy="7715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4" name="Picture 16">
            <a:extLst>
              <a:ext uri="{FF2B5EF4-FFF2-40B4-BE49-F238E27FC236}">
                <a16:creationId xmlns:a16="http://schemas.microsoft.com/office/drawing/2014/main" id="{00000000-0008-0000-0100-00006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73386" y="65260609"/>
            <a:ext cx="1162050" cy="847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5" name="Picture 17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81942" y="66288450"/>
            <a:ext cx="1228725" cy="800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6" name="Picture 18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87688" y="67283382"/>
            <a:ext cx="914400" cy="800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7" name="Picture 19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15536" y="68192411"/>
            <a:ext cx="962025" cy="8096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8" name="Picture 20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33616" y="69128977"/>
            <a:ext cx="962025" cy="7905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09" name="Picture 21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03829" y="70010469"/>
            <a:ext cx="1009650" cy="866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0" name="Picture 22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66698" y="71017004"/>
            <a:ext cx="990600" cy="819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1" name="Picture 23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47163" y="71947339"/>
            <a:ext cx="1038225" cy="866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2" name="Picture 24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05282" y="72914556"/>
            <a:ext cx="990600" cy="8382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3" name="Picture 25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54119" y="73901002"/>
            <a:ext cx="828675" cy="800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4" name="Picture 26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17232" y="74830299"/>
            <a:ext cx="914400" cy="847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5" name="Picture 27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11487" y="75773273"/>
            <a:ext cx="1095375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6" name="Picture 28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05014" y="76763873"/>
            <a:ext cx="1362075" cy="8286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7" name="Picture 29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19800" y="77698362"/>
            <a:ext cx="1076325" cy="876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8" name="Picture 30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38122" y="78650861"/>
            <a:ext cx="1028700" cy="8858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19" name="Picture 31">
            <a:extLst>
              <a:ext uri="{FF2B5EF4-FFF2-40B4-BE49-F238E27FC236}">
                <a16:creationId xmlns:a16="http://schemas.microsoft.com/office/drawing/2014/main" id="{00000000-0008-0000-0100-00007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66456" y="79563185"/>
            <a:ext cx="1009650" cy="9048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0" name="Picture 32">
            <a:extLst>
              <a:ext uri="{FF2B5EF4-FFF2-40B4-BE49-F238E27FC236}">
                <a16:creationId xmlns:a16="http://schemas.microsoft.com/office/drawing/2014/main" id="{00000000-0008-0000-0100-00007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04556" y="80528325"/>
            <a:ext cx="904875" cy="866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1" name="Picture 33">
            <a:extLst>
              <a:ext uri="{FF2B5EF4-FFF2-40B4-BE49-F238E27FC236}">
                <a16:creationId xmlns:a16="http://schemas.microsoft.com/office/drawing/2014/main" id="{00000000-0008-0000-0100-00007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5757" y="81508361"/>
            <a:ext cx="981075" cy="8858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2" name="Picture 34">
            <a:extLst>
              <a:ext uri="{FF2B5EF4-FFF2-40B4-BE49-F238E27FC236}">
                <a16:creationId xmlns:a16="http://schemas.microsoft.com/office/drawing/2014/main" id="{00000000-0008-0000-0100-00007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79760" y="82451336"/>
            <a:ext cx="1304925" cy="819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3" name="Picture 35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52882" y="83344430"/>
            <a:ext cx="1219200" cy="876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4" name="Picture 36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60225" y="84365862"/>
            <a:ext cx="1285875" cy="8286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5" name="Picture 37">
            <a:extLst>
              <a:ext uri="{FF2B5EF4-FFF2-40B4-BE49-F238E27FC236}">
                <a16:creationId xmlns:a16="http://schemas.microsoft.com/office/drawing/2014/main" id="{00000000-0008-0000-0100-00007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68255" y="85326225"/>
            <a:ext cx="1223360" cy="7593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6" name="Picture 38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00265" y="86234838"/>
            <a:ext cx="1066800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7" name="Picture 39">
            <a:extLst>
              <a:ext uri="{FF2B5EF4-FFF2-40B4-BE49-F238E27FC236}">
                <a16:creationId xmlns:a16="http://schemas.microsoft.com/office/drawing/2014/main" id="{00000000-0008-0000-0100-00007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23579" y="87284845"/>
            <a:ext cx="1333500" cy="866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8" name="Picture 40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91710" y="88174823"/>
            <a:ext cx="1200150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29" name="Picture 41">
            <a:extLst>
              <a:ext uri="{FF2B5EF4-FFF2-40B4-BE49-F238E27FC236}">
                <a16:creationId xmlns:a16="http://schemas.microsoft.com/office/drawing/2014/main" id="{00000000-0008-0000-0100-00008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29811" y="89126285"/>
            <a:ext cx="1085850" cy="9048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0" name="Picture 42">
            <a:extLst>
              <a:ext uri="{FF2B5EF4-FFF2-40B4-BE49-F238E27FC236}">
                <a16:creationId xmlns:a16="http://schemas.microsoft.com/office/drawing/2014/main" id="{00000000-0008-0000-0100-00008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90983" y="90089348"/>
            <a:ext cx="1181100" cy="8858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1" name="Picture 43">
            <a:extLst>
              <a:ext uri="{FF2B5EF4-FFF2-40B4-BE49-F238E27FC236}">
                <a16:creationId xmlns:a16="http://schemas.microsoft.com/office/drawing/2014/main" id="{00000000-0008-0000-0100-00008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24090" y="91065231"/>
            <a:ext cx="904875" cy="8858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2" name="Picture 44">
            <a:extLst>
              <a:ext uri="{FF2B5EF4-FFF2-40B4-BE49-F238E27FC236}">
                <a16:creationId xmlns:a16="http://schemas.microsoft.com/office/drawing/2014/main" id="{00000000-0008-0000-0100-00008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71448" y="92012360"/>
            <a:ext cx="1200150" cy="866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3" name="Picture 46">
            <a:extLst>
              <a:ext uri="{FF2B5EF4-FFF2-40B4-BE49-F238E27FC236}">
                <a16:creationId xmlns:a16="http://schemas.microsoft.com/office/drawing/2014/main" id="{00000000-0008-0000-0100-00008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86208" y="92970230"/>
            <a:ext cx="1276350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4" name="Picture 47">
            <a:extLst>
              <a:ext uri="{FF2B5EF4-FFF2-40B4-BE49-F238E27FC236}">
                <a16:creationId xmlns:a16="http://schemas.microsoft.com/office/drawing/2014/main" id="{00000000-0008-0000-0100-00008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14297" y="93923769"/>
            <a:ext cx="1314450" cy="847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5" name="Picture 48">
            <a:extLst>
              <a:ext uri="{FF2B5EF4-FFF2-40B4-BE49-F238E27FC236}">
                <a16:creationId xmlns:a16="http://schemas.microsoft.com/office/drawing/2014/main" id="{00000000-0008-0000-0100-00008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28114" y="94860335"/>
            <a:ext cx="1123950" cy="866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6" name="Picture 49">
            <a:extLst>
              <a:ext uri="{FF2B5EF4-FFF2-40B4-BE49-F238E27FC236}">
                <a16:creationId xmlns:a16="http://schemas.microsoft.com/office/drawing/2014/main" id="{00000000-0008-0000-0100-00008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67183" y="95803309"/>
            <a:ext cx="923925" cy="876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7" name="Picture 50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95006" y="96808806"/>
            <a:ext cx="1419225" cy="866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8" name="Picture 51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34075" y="97793175"/>
            <a:ext cx="1285875" cy="8572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39" name="Picture 52">
            <a:extLst>
              <a:ext uri="{FF2B5EF4-FFF2-40B4-BE49-F238E27FC236}">
                <a16:creationId xmlns:a16="http://schemas.microsoft.com/office/drawing/2014/main" id="{00000000-0008-0000-0100-00008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00750" y="98713806"/>
            <a:ext cx="1143000" cy="8286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0" name="Picture 53">
            <a:extLst>
              <a:ext uri="{FF2B5EF4-FFF2-40B4-BE49-F238E27FC236}">
                <a16:creationId xmlns:a16="http://schemas.microsoft.com/office/drawing/2014/main" id="{00000000-0008-0000-0100-00008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99538" y="99662152"/>
            <a:ext cx="1200150" cy="866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1" name="Picture 54">
            <a:extLst>
              <a:ext uri="{FF2B5EF4-FFF2-40B4-BE49-F238E27FC236}">
                <a16:creationId xmlns:a16="http://schemas.microsoft.com/office/drawing/2014/main" id="{00000000-0008-0000-0100-00008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09305" y="100591270"/>
            <a:ext cx="1104900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2" name="Picture 55">
            <a:extLst>
              <a:ext uri="{FF2B5EF4-FFF2-40B4-BE49-F238E27FC236}">
                <a16:creationId xmlns:a16="http://schemas.microsoft.com/office/drawing/2014/main" id="{00000000-0008-0000-0100-00008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00507" y="101551216"/>
            <a:ext cx="1085850" cy="8858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3" name="Picture 56">
            <a:extLst>
              <a:ext uri="{FF2B5EF4-FFF2-40B4-BE49-F238E27FC236}">
                <a16:creationId xmlns:a16="http://schemas.microsoft.com/office/drawing/2014/main" id="{00000000-0008-0000-0100-00008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95490" y="102504756"/>
            <a:ext cx="1362075" cy="8858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4" name="Picture 57">
            <a:extLst>
              <a:ext uri="{FF2B5EF4-FFF2-40B4-BE49-F238E27FC236}">
                <a16:creationId xmlns:a16="http://schemas.microsoft.com/office/drawing/2014/main" id="{00000000-0008-0000-0100-00009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71933" y="103484792"/>
            <a:ext cx="1162050" cy="866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5" name="Picture 58">
            <a:extLst>
              <a:ext uri="{FF2B5EF4-FFF2-40B4-BE49-F238E27FC236}">
                <a16:creationId xmlns:a16="http://schemas.microsoft.com/office/drawing/2014/main" id="{00000000-0008-0000-0100-00009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72175" y="104441625"/>
            <a:ext cx="1209675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6" name="Picture 59">
            <a:extLst>
              <a:ext uri="{FF2B5EF4-FFF2-40B4-BE49-F238E27FC236}">
                <a16:creationId xmlns:a16="http://schemas.microsoft.com/office/drawing/2014/main" id="{00000000-0008-0000-0100-00009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81700" y="105375075"/>
            <a:ext cx="1123950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7" name="Picture 60"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62650" y="106365675"/>
            <a:ext cx="1190625" cy="847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8" name="Picture 61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86450" y="107308650"/>
            <a:ext cx="1219200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49" name="Picture 62">
            <a:extLst>
              <a:ext uri="{FF2B5EF4-FFF2-40B4-BE49-F238E27FC236}">
                <a16:creationId xmlns:a16="http://schemas.microsoft.com/office/drawing/2014/main" id="{00000000-0008-0000-0100-00009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86450" y="108280200"/>
            <a:ext cx="1190625" cy="876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0" name="Picture 63">
            <a:extLst>
              <a:ext uri="{FF2B5EF4-FFF2-40B4-BE49-F238E27FC236}">
                <a16:creationId xmlns:a16="http://schemas.microsoft.com/office/drawing/2014/main" id="{00000000-0008-0000-0100-00009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38825" y="109239110"/>
            <a:ext cx="1238250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1" name="Picture 64">
            <a:extLst>
              <a:ext uri="{FF2B5EF4-FFF2-40B4-BE49-F238E27FC236}">
                <a16:creationId xmlns:a16="http://schemas.microsoft.com/office/drawing/2014/main" id="{00000000-0008-0000-0100-00009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19775" y="110223300"/>
            <a:ext cx="1152525" cy="8382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2" name="Picture 65">
            <a:extLst>
              <a:ext uri="{FF2B5EF4-FFF2-40B4-BE49-F238E27FC236}">
                <a16:creationId xmlns:a16="http://schemas.microsoft.com/office/drawing/2014/main" id="{00000000-0008-0000-0100-00009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56662" y="111161082"/>
            <a:ext cx="1238250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3" name="Picture 66">
            <a:extLst>
              <a:ext uri="{FF2B5EF4-FFF2-40B4-BE49-F238E27FC236}">
                <a16:creationId xmlns:a16="http://schemas.microsoft.com/office/drawing/2014/main" id="{00000000-0008-0000-0100-00009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76440" y="112089162"/>
            <a:ext cx="1181100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4" name="Picture 67">
            <a:extLst>
              <a:ext uri="{FF2B5EF4-FFF2-40B4-BE49-F238E27FC236}">
                <a16:creationId xmlns:a16="http://schemas.microsoft.com/office/drawing/2014/main" id="{00000000-0008-0000-0100-00009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81675" y="113033175"/>
            <a:ext cx="1485900" cy="876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5" name="Picture 68">
            <a:extLst>
              <a:ext uri="{FF2B5EF4-FFF2-40B4-BE49-F238E27FC236}">
                <a16:creationId xmlns:a16="http://schemas.microsoft.com/office/drawing/2014/main" id="{00000000-0008-0000-0100-00009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58973" y="113968472"/>
            <a:ext cx="1138607" cy="8096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6" name="Picture 76">
            <a:extLst>
              <a:ext uri="{FF2B5EF4-FFF2-40B4-BE49-F238E27FC236}">
                <a16:creationId xmlns:a16="http://schemas.microsoft.com/office/drawing/2014/main" id="{00000000-0008-0000-0100-00009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46194" y="119723879"/>
            <a:ext cx="914400" cy="800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7" name="Picture 77">
            <a:extLst>
              <a:ext uri="{FF2B5EF4-FFF2-40B4-BE49-F238E27FC236}">
                <a16:creationId xmlns:a16="http://schemas.microsoft.com/office/drawing/2014/main" id="{00000000-0008-0000-0100-00009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81338" y="120687757"/>
            <a:ext cx="1117694" cy="7196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8" name="Picture 78">
            <a:extLst>
              <a:ext uri="{FF2B5EF4-FFF2-40B4-BE49-F238E27FC236}">
                <a16:creationId xmlns:a16="http://schemas.microsoft.com/office/drawing/2014/main" id="{00000000-0008-0000-0100-00009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74788" y="121570357"/>
            <a:ext cx="906796" cy="8967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59" name="Picture 79">
            <a:extLst>
              <a:ext uri="{FF2B5EF4-FFF2-40B4-BE49-F238E27FC236}">
                <a16:creationId xmlns:a16="http://schemas.microsoft.com/office/drawing/2014/main" id="{00000000-0008-0000-0100-00009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62166" y="122573931"/>
            <a:ext cx="1266825" cy="781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0" name="Picture 80">
            <a:extLst>
              <a:ext uri="{FF2B5EF4-FFF2-40B4-BE49-F238E27FC236}">
                <a16:creationId xmlns:a16="http://schemas.microsoft.com/office/drawing/2014/main" id="{00000000-0008-0000-0100-0000A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05385" y="123503419"/>
            <a:ext cx="1121738" cy="728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1" name="Picture 82">
            <a:extLst>
              <a:ext uri="{FF2B5EF4-FFF2-40B4-BE49-F238E27FC236}">
                <a16:creationId xmlns:a16="http://schemas.microsoft.com/office/drawing/2014/main" id="{00000000-0008-0000-0100-0000A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24065" y="124351812"/>
            <a:ext cx="1257301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2" name="Picture 83">
            <a:extLst>
              <a:ext uri="{FF2B5EF4-FFF2-40B4-BE49-F238E27FC236}">
                <a16:creationId xmlns:a16="http://schemas.microsoft.com/office/drawing/2014/main" id="{00000000-0008-0000-0100-0000A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49998" y="125333925"/>
            <a:ext cx="828675" cy="8286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3" name="Picture 84">
            <a:extLst>
              <a:ext uri="{FF2B5EF4-FFF2-40B4-BE49-F238E27FC236}">
                <a16:creationId xmlns:a16="http://schemas.microsoft.com/office/drawing/2014/main" id="{00000000-0008-0000-0100-0000A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26901" y="129173717"/>
            <a:ext cx="1076325" cy="8953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4" name="Picture 85">
            <a:extLst>
              <a:ext uri="{FF2B5EF4-FFF2-40B4-BE49-F238E27FC236}">
                <a16:creationId xmlns:a16="http://schemas.microsoft.com/office/drawing/2014/main" id="{00000000-0008-0000-0100-0000A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80973" y="130117731"/>
            <a:ext cx="1114425" cy="933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5" name="Picture 86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27145" y="126305846"/>
            <a:ext cx="1098764" cy="7699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6" name="Picture 87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26060" y="127306273"/>
            <a:ext cx="789818" cy="7814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7" name="Picture 88">
            <a:extLst>
              <a:ext uri="{FF2B5EF4-FFF2-40B4-BE49-F238E27FC236}">
                <a16:creationId xmlns:a16="http://schemas.microsoft.com/office/drawing/2014/main" id="{00000000-0008-0000-0100-0000A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95029" y="131151622"/>
            <a:ext cx="838200" cy="876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8" name="Picture 89">
            <a:extLst>
              <a:ext uri="{FF2B5EF4-FFF2-40B4-BE49-F238E27FC236}">
                <a16:creationId xmlns:a16="http://schemas.microsoft.com/office/drawing/2014/main" id="{00000000-0008-0000-0100-0000A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134100" y="132168900"/>
            <a:ext cx="695325" cy="8858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69" name="Picture 90">
            <a:extLst>
              <a:ext uri="{FF2B5EF4-FFF2-40B4-BE49-F238E27FC236}">
                <a16:creationId xmlns:a16="http://schemas.microsoft.com/office/drawing/2014/main" id="{00000000-0008-0000-0100-0000A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88073" y="128186233"/>
            <a:ext cx="1123950" cy="9144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70" name="Picture 91">
            <a:extLst>
              <a:ext uri="{FF2B5EF4-FFF2-40B4-BE49-F238E27FC236}">
                <a16:creationId xmlns:a16="http://schemas.microsoft.com/office/drawing/2014/main" id="{00000000-0008-0000-0100-0000A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19290" y="133164871"/>
            <a:ext cx="1333500" cy="9144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71" name="Picture 92">
            <a:extLst>
              <a:ext uri="{FF2B5EF4-FFF2-40B4-BE49-F238E27FC236}">
                <a16:creationId xmlns:a16="http://schemas.microsoft.com/office/drawing/2014/main" id="{00000000-0008-0000-0100-0000A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60952" y="134204315"/>
            <a:ext cx="1104900" cy="8572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72" name="Picture 93">
            <a:extLst>
              <a:ext uri="{FF2B5EF4-FFF2-40B4-BE49-F238E27FC236}">
                <a16:creationId xmlns:a16="http://schemas.microsoft.com/office/drawing/2014/main" id="{00000000-0008-0000-0100-0000A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50459" y="135150404"/>
            <a:ext cx="1123950" cy="8572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73" name="Picture 69">
            <a:extLst>
              <a:ext uri="{FF2B5EF4-FFF2-40B4-BE49-F238E27FC236}">
                <a16:creationId xmlns:a16="http://schemas.microsoft.com/office/drawing/2014/main" id="{00000000-0008-0000-0100-0000A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885597" y="114882968"/>
            <a:ext cx="1267922" cy="8307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74" name="Picture 70">
            <a:extLst>
              <a:ext uri="{FF2B5EF4-FFF2-40B4-BE49-F238E27FC236}">
                <a16:creationId xmlns:a16="http://schemas.microsoft.com/office/drawing/2014/main" id="{00000000-0008-0000-0100-0000A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59100" y="115867405"/>
            <a:ext cx="942017" cy="8039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75" name="Picture 71">
            <a:extLst>
              <a:ext uri="{FF2B5EF4-FFF2-40B4-BE49-F238E27FC236}">
                <a16:creationId xmlns:a16="http://schemas.microsoft.com/office/drawing/2014/main" id="{00000000-0008-0000-0100-0000A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96105" y="116862901"/>
            <a:ext cx="1120768" cy="741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76" name="Picture 73">
            <a:extLst>
              <a:ext uri="{FF2B5EF4-FFF2-40B4-BE49-F238E27FC236}">
                <a16:creationId xmlns:a16="http://schemas.microsoft.com/office/drawing/2014/main" id="{00000000-0008-0000-0100-0000B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68256" y="117808900"/>
            <a:ext cx="1054820" cy="73144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  <xdr:pic>
        <xdr:nvPicPr>
          <xdr:cNvPr id="177" name="Picture 81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68256" y="118762298"/>
            <a:ext cx="1138363" cy="77505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90BDA22-BD37-488F-8EF1-83912C85314C}" autoFormatId="16" applyNumberFormats="0" applyBorderFormats="0" applyFontFormats="0" applyPatternFormats="0" applyAlignmentFormats="0" applyWidthHeightFormats="0">
  <queryTableRefresh nextId="32">
    <queryTableFields count="2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21" name="Column5" tableColumnId="5"/>
      <queryTableField id="22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3" name="Column21" tableColumnId="21"/>
      <queryTableField id="24" name="Column22" tableColumnId="22"/>
      <queryTableField id="25" name="Column23" tableColumnId="23"/>
      <queryTableField id="26" name="Column24" tableColumnId="24"/>
      <queryTableField id="27" name="Column25" tableColumnId="25"/>
      <queryTableField id="28" name="Column26" tableColumnId="26"/>
      <queryTableField id="29" name="Column27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A785FB-DF75-4309-AE56-5217F59A74F3}" name="Сергей_проводка__2" displayName="Сергей_проводка__2" ref="A1:AA280" tableType="queryTable" totalsRowShown="0">
  <autoFilter ref="A1:AA280" xr:uid="{9072192E-0CAC-4064-830A-FC2F48EDF70A}"/>
  <tableColumns count="27">
    <tableColumn id="1" xr3:uid="{EAE69742-636D-4B1B-A9B5-7570FB9E18CB}" uniqueName="1" name="Column1" queryTableFieldId="1" dataDxfId="15"/>
    <tableColumn id="2" xr3:uid="{D0CA98D6-5BB4-4F1E-9299-3512B9A27FB5}" uniqueName="2" name="Column2" queryTableFieldId="2"/>
    <tableColumn id="3" xr3:uid="{4F21BF3E-8672-4215-B1E6-723132F6E51F}" uniqueName="3" name="Column3" queryTableFieldId="3"/>
    <tableColumn id="4" xr3:uid="{183E9B54-8132-4766-94B9-93C9E136DCFD}" uniqueName="4" name="Column4" queryTableFieldId="4" dataDxfId="14"/>
    <tableColumn id="5" xr3:uid="{B32DD5F7-AC6F-460C-97C2-A58ED0177BBE}" uniqueName="5" name="Column5" queryTableFieldId="21"/>
    <tableColumn id="6" xr3:uid="{B184281D-3817-4DCC-9626-CB5ED7E7242B}" uniqueName="6" name="Column6" queryTableFieldId="22"/>
    <tableColumn id="7" xr3:uid="{F57CF584-6563-4001-9DEE-3A298971107D}" uniqueName="7" name="Column7" queryTableFieldId="7" dataDxfId="13"/>
    <tableColumn id="8" xr3:uid="{CC4DACE3-1CBB-4F98-9CE8-FE97C470E021}" uniqueName="8" name="Column8" queryTableFieldId="8"/>
    <tableColumn id="9" xr3:uid="{E835EE10-B6B2-495F-9C43-FB914CC97C21}" uniqueName="9" name="Column9" queryTableFieldId="9"/>
    <tableColumn id="10" xr3:uid="{1A002D56-BA45-48A0-836F-773B79CC257D}" uniqueName="10" name="Column10" queryTableFieldId="10"/>
    <tableColumn id="11" xr3:uid="{7CC077F2-EBF5-4F11-B5CC-510715D3A3B2}" uniqueName="11" name="Column11" queryTableFieldId="11"/>
    <tableColumn id="12" xr3:uid="{31CFA33C-22BD-439E-9359-1245D5808860}" uniqueName="12" name="Column12" queryTableFieldId="12"/>
    <tableColumn id="13" xr3:uid="{A738584B-0947-4883-A86E-6C4298977FCA}" uniqueName="13" name="Column13" queryTableFieldId="13"/>
    <tableColumn id="14" xr3:uid="{517B69D3-704A-418A-B403-C5A0DF88FD04}" uniqueName="14" name="Column14" queryTableFieldId="14"/>
    <tableColumn id="15" xr3:uid="{8CBC46F3-7152-476C-B598-60B05420A275}" uniqueName="15" name="Column15" queryTableFieldId="15"/>
    <tableColumn id="16" xr3:uid="{9ED6CD4A-72A4-42BB-843A-65D2BEFB091B}" uniqueName="16" name="Column16" queryTableFieldId="16"/>
    <tableColumn id="17" xr3:uid="{8FA7AE72-9F4C-4573-81B4-10DB09FD0EFD}" uniqueName="17" name="Column17" queryTableFieldId="17"/>
    <tableColumn id="18" xr3:uid="{128D8D1D-97AB-4739-A226-E208945AA858}" uniqueName="18" name="Column18" queryTableFieldId="18"/>
    <tableColumn id="19" xr3:uid="{9240C2BB-A976-44CA-957A-B176FB41D6DE}" uniqueName="19" name="Column19" queryTableFieldId="19"/>
    <tableColumn id="20" xr3:uid="{3E8067C8-5E12-4CB0-9A78-C092903E27D9}" uniqueName="20" name="Column20" queryTableFieldId="20"/>
    <tableColumn id="21" xr3:uid="{D4D23EF3-EFD6-4111-8F79-2588734FB5CF}" uniqueName="21" name="Column21" queryTableFieldId="23"/>
    <tableColumn id="22" xr3:uid="{3C16A58D-27B3-4867-B585-AB6D3FAB0933}" uniqueName="22" name="Column22" queryTableFieldId="24"/>
    <tableColumn id="23" xr3:uid="{83598BE2-6512-44B1-835C-8E6567FC9C0C}" uniqueName="23" name="Column23" queryTableFieldId="25"/>
    <tableColumn id="24" xr3:uid="{CE9A81B8-41FB-4130-908F-64745C0DBC3E}" uniqueName="24" name="Column24" queryTableFieldId="26"/>
    <tableColumn id="25" xr3:uid="{FFDE9177-AE6C-46F2-B843-C9C96930A297}" uniqueName="25" name="Column25" queryTableFieldId="27"/>
    <tableColumn id="26" xr3:uid="{78ECA5E2-5619-4B88-8FBD-F3665E9E7FA8}" uniqueName="26" name="Column26" queryTableFieldId="28"/>
    <tableColumn id="27" xr3:uid="{12BC99E9-F5B7-4812-BE7F-4A155B035C16}" uniqueName="27" name="Column27" queryTableFieldId="2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R302"/>
  <sheetViews>
    <sheetView workbookViewId="0">
      <pane ySplit="2" topLeftCell="A3" activePane="bottomLeft" state="frozen"/>
      <selection pane="bottomLeft" activeCell="AC2" sqref="AC2"/>
    </sheetView>
  </sheetViews>
  <sheetFormatPr defaultRowHeight="15" outlineLevelCol="1" x14ac:dyDescent="0.25"/>
  <cols>
    <col min="1" max="2" width="7" style="48" bestFit="1" customWidth="1"/>
    <col min="3" max="3" width="47.85546875" style="48" customWidth="1"/>
    <col min="4" max="4" width="2" style="48" bestFit="1" customWidth="1"/>
    <col min="5" max="5" width="4.85546875" style="48" bestFit="1" customWidth="1"/>
    <col min="6" max="6" width="7.140625" style="48" bestFit="1" customWidth="1" outlineLevel="1"/>
    <col min="7" max="7" width="27.5703125" style="48" bestFit="1" customWidth="1" outlineLevel="1"/>
    <col min="8" max="8" width="7.5703125" style="48" bestFit="1" customWidth="1" outlineLevel="1"/>
    <col min="9" max="9" width="23.5703125" style="50" customWidth="1"/>
    <col min="10" max="10" width="9.140625" style="48" hidden="1" customWidth="1" outlineLevel="1"/>
    <col min="11" max="11" width="6" style="53" bestFit="1" customWidth="1" collapsed="1"/>
    <col min="12" max="12" width="4.85546875" style="52" bestFit="1" customWidth="1"/>
    <col min="13" max="14" width="6" style="53" bestFit="1" customWidth="1"/>
    <col min="15" max="15" width="6.7109375" style="53" hidden="1" customWidth="1" outlineLevel="1"/>
    <col min="16" max="16" width="6.85546875" style="53" hidden="1" customWidth="1" outlineLevel="1"/>
    <col min="17" max="18" width="7.42578125" style="53" hidden="1" customWidth="1" outlineLevel="1"/>
    <col min="19" max="19" width="6" style="48" bestFit="1" customWidth="1" collapsed="1"/>
    <col min="20" max="20" width="9.28515625" style="48" bestFit="1" customWidth="1"/>
    <col min="21" max="21" width="7.85546875" style="48" bestFit="1" customWidth="1"/>
    <col min="22" max="22" width="9.85546875" style="48" bestFit="1" customWidth="1"/>
    <col min="23" max="23" width="8.5703125" style="53" bestFit="1" customWidth="1"/>
    <col min="24" max="24" width="6.7109375" style="53" hidden="1" customWidth="1" outlineLevel="1"/>
    <col min="25" max="25" width="4.5703125" style="48" hidden="1" customWidth="1" outlineLevel="1"/>
    <col min="26" max="26" width="7.5703125" style="48" hidden="1" customWidth="1" outlineLevel="1"/>
    <col min="27" max="27" width="14.140625" style="53" bestFit="1" customWidth="1" collapsed="1"/>
    <col min="28" max="28" width="6.140625" style="53" customWidth="1"/>
    <col min="29" max="29" width="10.5703125" style="48" customWidth="1"/>
    <col min="30" max="30" width="8" style="48" hidden="1" customWidth="1" outlineLevel="1"/>
    <col min="31" max="31" width="2" style="48" hidden="1" customWidth="1" outlineLevel="1"/>
    <col min="32" max="32" width="6" style="48" hidden="1" customWidth="1" outlineLevel="1"/>
    <col min="33" max="33" width="9.140625" style="48" collapsed="1"/>
    <col min="34" max="34" width="9.140625" style="48"/>
    <col min="35" max="35" width="8" style="48" hidden="1" customWidth="1" outlineLevel="1"/>
    <col min="36" max="36" width="2" style="48" hidden="1" customWidth="1" outlineLevel="1"/>
    <col min="37" max="37" width="6" style="48" hidden="1" customWidth="1" outlineLevel="1"/>
    <col min="38" max="38" width="9.140625" style="48" collapsed="1"/>
    <col min="39" max="39" width="9.140625" style="48"/>
    <col min="40" max="40" width="8" style="48" hidden="1" customWidth="1" outlineLevel="1"/>
    <col min="41" max="41" width="2" style="48" hidden="1" customWidth="1" outlineLevel="1"/>
    <col min="42" max="42" width="6" style="48" hidden="1" customWidth="1" outlineLevel="1"/>
    <col min="43" max="43" width="9.140625" style="48" collapsed="1"/>
    <col min="44" max="16384" width="9.140625" style="48"/>
  </cols>
  <sheetData>
    <row r="1" spans="1:44" x14ac:dyDescent="0.25">
      <c r="B1" s="48">
        <v>2</v>
      </c>
      <c r="C1" s="49">
        <v>3</v>
      </c>
      <c r="D1" s="48">
        <v>4</v>
      </c>
      <c r="E1" s="48">
        <v>16</v>
      </c>
      <c r="F1" s="48">
        <v>5</v>
      </c>
      <c r="G1" s="48">
        <v>6</v>
      </c>
      <c r="H1" s="48">
        <v>7</v>
      </c>
      <c r="J1" s="51">
        <f>COUNT($AA:$AA)/COUNT($A:$A)</f>
        <v>0.8776223776223776</v>
      </c>
      <c r="K1" s="46">
        <f>O1</f>
        <v>10</v>
      </c>
      <c r="M1" s="45">
        <f>P1</f>
        <v>11</v>
      </c>
      <c r="O1" s="53">
        <v>10</v>
      </c>
      <c r="P1" s="53">
        <v>11</v>
      </c>
      <c r="S1" s="54">
        <v>0.2</v>
      </c>
      <c r="T1" s="55" t="str">
        <f>_xlfn.CONCAT(ROUND(MIN(T3:T9000)*100,0),"-",ROUND(MAX(T3:T9000)*100,0),"%")</f>
        <v>30-99%</v>
      </c>
      <c r="U1" s="55" t="str">
        <f>_xlfn.CONCAT(ROUND(SUBTOTAL(5,U3:U9000)*100,0)," - ",ROUND(SUBTOTAL(4,U3:U9000)*100,0),"%")</f>
        <v>-141 - 66%</v>
      </c>
      <c r="V1" s="55" t="str">
        <f>_xlfn.CONCAT(ROUND(SUBTOTAL(5,V3:V90000)*100,0)," - ",ROUND(SUBTOTAL(4,V3:V90000)*100,0),"%")</f>
        <v>-40 - 282%</v>
      </c>
      <c r="W1" s="106">
        <f>MIN(AA1,AG1,AL1,AQ1)</f>
        <v>0</v>
      </c>
      <c r="X1" s="53">
        <v>6</v>
      </c>
      <c r="Z1" s="91">
        <f>AD1</f>
        <v>11</v>
      </c>
      <c r="AA1" s="56"/>
      <c r="AB1" s="56"/>
      <c r="AD1" s="53">
        <v>11</v>
      </c>
      <c r="AF1" s="91">
        <f>AJ1</f>
        <v>0</v>
      </c>
      <c r="AG1" s="56"/>
      <c r="AH1" s="56"/>
      <c r="AI1" s="53">
        <v>12</v>
      </c>
      <c r="AK1" s="91">
        <f>AO1</f>
        <v>0</v>
      </c>
      <c r="AL1" s="56"/>
      <c r="AM1" s="56"/>
      <c r="AN1" s="53">
        <v>13</v>
      </c>
      <c r="AP1" s="91">
        <f>AT1</f>
        <v>0</v>
      </c>
      <c r="AQ1" s="56"/>
      <c r="AR1" s="56"/>
    </row>
    <row r="2" spans="1:44" ht="30.75" customHeight="1" x14ac:dyDescent="0.25">
      <c r="A2" s="69" t="s">
        <v>0</v>
      </c>
      <c r="B2" s="70" t="s">
        <v>915</v>
      </c>
      <c r="C2" s="70" t="s">
        <v>555</v>
      </c>
      <c r="D2" s="70"/>
      <c r="E2" s="70"/>
      <c r="F2" s="70" t="str">
        <f>VLOOKUP($A2,'Выгр Кат'!$A:$T,F$1,0)</f>
        <v>Артикул</v>
      </c>
      <c r="G2" s="70" t="str">
        <f>VLOOKUP($A2,'Выгр Кат'!$A:$T,G$1,0)</f>
        <v>Кат/ номер</v>
      </c>
      <c r="H2" s="70" t="str">
        <f>VLOOKUP($A2,'Выгр Кат'!$A:$T,H$1,0)</f>
        <v>OEM</v>
      </c>
      <c r="I2" s="71" t="s">
        <v>1</v>
      </c>
      <c r="J2" s="1" t="s">
        <v>568</v>
      </c>
      <c r="K2" s="47" t="s">
        <v>1203</v>
      </c>
      <c r="L2" s="7"/>
      <c r="M2" s="44"/>
      <c r="N2" s="72" t="s">
        <v>1202</v>
      </c>
      <c r="O2" s="70" t="str">
        <f>VLOOKUP($A2,'Выгр Кат'!$A:$T,O$1,0)</f>
        <v>ЗЦ</v>
      </c>
      <c r="P2" s="70" t="str">
        <f>VLOOKUP($A2,'Выгр Кат'!$A:$T,P$1,0)</f>
        <v>РЦ</v>
      </c>
      <c r="Q2" s="73" t="s">
        <v>916</v>
      </c>
      <c r="R2" s="73" t="s">
        <v>916</v>
      </c>
      <c r="S2" s="92">
        <v>0</v>
      </c>
      <c r="T2" s="93" t="s">
        <v>567</v>
      </c>
      <c r="U2" s="93" t="s">
        <v>773</v>
      </c>
      <c r="V2" s="93" t="s">
        <v>566</v>
      </c>
      <c r="W2" s="94" t="s">
        <v>1859</v>
      </c>
      <c r="X2" s="101" t="s">
        <v>1860</v>
      </c>
      <c r="Y2" s="96"/>
      <c r="Z2" s="95" t="s">
        <v>1861</v>
      </c>
      <c r="AA2" s="44" t="s">
        <v>772</v>
      </c>
      <c r="AB2" s="79"/>
      <c r="AC2" s="44" t="s">
        <v>772</v>
      </c>
      <c r="AD2" s="101" t="s">
        <v>1860</v>
      </c>
      <c r="AE2" s="96"/>
      <c r="AF2" s="95" t="s">
        <v>1861</v>
      </c>
      <c r="AG2" s="103">
        <v>2</v>
      </c>
      <c r="AH2" s="103">
        <v>2</v>
      </c>
      <c r="AI2" s="101" t="s">
        <v>1860</v>
      </c>
      <c r="AJ2" s="96"/>
      <c r="AK2" s="95" t="s">
        <v>1861</v>
      </c>
      <c r="AL2" s="103">
        <v>3</v>
      </c>
      <c r="AM2" s="103">
        <v>3</v>
      </c>
      <c r="AN2" s="101" t="s">
        <v>1860</v>
      </c>
      <c r="AO2" s="96"/>
      <c r="AP2" s="95" t="s">
        <v>1861</v>
      </c>
      <c r="AQ2" s="103">
        <v>4</v>
      </c>
      <c r="AR2" s="103">
        <v>4</v>
      </c>
    </row>
    <row r="3" spans="1:44" ht="30.75" thickBot="1" x14ac:dyDescent="0.3">
      <c r="A3" s="57">
        <v>158955</v>
      </c>
      <c r="B3" s="57">
        <f>VLOOKUP($A3,'Выгр Кат'!$A:$T,B$1,0)</f>
        <v>54230</v>
      </c>
      <c r="C3" s="58" t="str">
        <f>VLOOKUP($A3,'Выгр Кат'!$A:$T,C$1,0)</f>
        <v>Комплект переходников для подключения LED фонарей Vesta NG для Лада Веста до 2020 г. в.</v>
      </c>
      <c r="D3" s="57" t="str">
        <f>VLOOKUP($A3,'Выгр Кат'!$A:$T,D$1,0)</f>
        <v>Y</v>
      </c>
      <c r="E3" s="57" t="str">
        <f>VLOOKUP($A3,'Выгр Кат'!$A:$T,E$1,0)</f>
        <v>0</v>
      </c>
      <c r="F3" s="57">
        <f>VLOOKUP($A3,'Выгр Кат'!$A:$T,F$1,0)</f>
        <v>0</v>
      </c>
      <c r="G3" s="57">
        <f>VLOOKUP($A3,'Выгр Кат'!$A:$T,G$1,0)</f>
        <v>0</v>
      </c>
      <c r="H3" s="57">
        <f>VLOOKUP($A3,'Выгр Кат'!$A:$T,H$1,0)</f>
        <v>0</v>
      </c>
      <c r="I3" s="59"/>
      <c r="J3" s="1" t="s">
        <v>526</v>
      </c>
      <c r="K3" s="46">
        <f>O3</f>
        <v>0</v>
      </c>
      <c r="L3" s="7" t="e">
        <f>VLOOKUP(K3,Наценка!$A$1:$B$8,2,1)</f>
        <v>#N/A</v>
      </c>
      <c r="M3" s="44" t="e">
        <f t="shared" ref="M3:M66" si="0">K3*L3</f>
        <v>#N/A</v>
      </c>
      <c r="N3" s="45">
        <f>P3</f>
        <v>0</v>
      </c>
      <c r="O3" s="60">
        <f>VLOOKUP($A3,'Выгр Кат'!$A:$T,O$1,0)</f>
        <v>0</v>
      </c>
      <c r="P3" s="60">
        <f>VLOOKUP($A3,'Выгр Кат'!$A:$T,P$1,0)</f>
        <v>0</v>
      </c>
      <c r="Q3" s="73">
        <f>O3-K3</f>
        <v>0</v>
      </c>
      <c r="R3" s="73">
        <f>P3-N3</f>
        <v>0</v>
      </c>
      <c r="S3" s="97">
        <f>IFERROR(ROUND(N3*(1-$S$2),),"")</f>
        <v>0</v>
      </c>
      <c r="T3" s="98" t="str">
        <f>IFERROR(S3/K3-1,"")</f>
        <v/>
      </c>
      <c r="U3" s="98" t="str">
        <f>IFERROR((W3-S3)/W3,"")</f>
        <v/>
      </c>
      <c r="V3" s="98" t="str">
        <f>IFERROR(IF(W3="","",W3/K3-1),"")</f>
        <v/>
      </c>
      <c r="W3" s="99"/>
      <c r="X3" s="102" t="str">
        <f>IFERROR(ROUND((VLOOKUP($A3,'Из ГУГЛа'!$B:$Z,X$1,0)+Z3)*Y3,),VLOOKUP($A3,'Из ГУГЛа'!$B:$Z,X$1,0))</f>
        <v/>
      </c>
      <c r="Y3" s="100">
        <v>1</v>
      </c>
      <c r="Z3" s="100"/>
      <c r="AA3" s="63" t="s">
        <v>1017</v>
      </c>
      <c r="AB3" s="80"/>
      <c r="AD3" s="102">
        <f>IFERROR(ROUND((VLOOKUP($A3,'Из ГУГЛа'!$B:$Z,AD$1,0)+AF3)*AE3,),VLOOKUP($A3,'Из ГУГЛа'!$B:$Z,AD$1,0))</f>
        <v>0</v>
      </c>
      <c r="AE3" s="100">
        <v>1</v>
      </c>
      <c r="AF3" s="100"/>
      <c r="AG3" s="103" t="s">
        <v>1017</v>
      </c>
      <c r="AH3" s="103"/>
      <c r="AI3" s="102">
        <f>IFERROR(ROUND((VLOOKUP($A3,'Из ГУГЛа'!$B:$Z,AI$1,0)+AK3)*AJ3,),VLOOKUP($A3,'Из ГУГЛа'!$B:$Z,AI$1,0))</f>
        <v>0</v>
      </c>
      <c r="AJ3" s="100">
        <v>1</v>
      </c>
      <c r="AK3" s="100"/>
      <c r="AL3" s="103"/>
      <c r="AM3" s="103"/>
      <c r="AN3" s="102">
        <f>IFERROR(ROUND((VLOOKUP($A3,'Из ГУГЛа'!$B:$Z,AN$1,0)+AP3)*AO3,),VLOOKUP($A3,'Из ГУГЛа'!$B:$Z,AN$1,0))</f>
        <v>0</v>
      </c>
      <c r="AO3" s="100">
        <v>1</v>
      </c>
      <c r="AP3" s="100"/>
      <c r="AQ3" s="103"/>
      <c r="AR3" s="103"/>
    </row>
    <row r="4" spans="1:44" ht="40.5" thickTop="1" thickBot="1" x14ac:dyDescent="0.3">
      <c r="A4" s="57">
        <v>201254</v>
      </c>
      <c r="B4" s="57">
        <f>VLOOKUP($A4,'Выгр Кат'!$A:$T,B$1,0)</f>
        <v>13228</v>
      </c>
      <c r="C4" s="58" t="str">
        <f>VLOOKUP($A4,'Выгр Кат'!$A:$T,C$1,0)</f>
        <v>Провод массы плетенка -, 70 см для ВАЗ 2101</v>
      </c>
      <c r="D4" s="57" t="str">
        <f>VLOOKUP($A4,'Выгр Кат'!$A:$T,D$1,0)</f>
        <v>Y</v>
      </c>
      <c r="E4" s="57" t="str">
        <f>VLOOKUP($A4,'Выгр Кат'!$A:$T,E$1,0)</f>
        <v>1</v>
      </c>
      <c r="F4" s="57">
        <f>VLOOKUP($A4,'Выгр Кат'!$A:$T,F$1,0)</f>
        <v>0</v>
      </c>
      <c r="G4" s="57">
        <f>VLOOKUP($A4,'Выгр Кат'!$A:$T,G$1,0)</f>
        <v>0</v>
      </c>
      <c r="H4" s="57">
        <f>VLOOKUP($A4,'Выгр Кат'!$A:$T,H$1,0)</f>
        <v>0</v>
      </c>
      <c r="I4" s="39" t="s">
        <v>861</v>
      </c>
      <c r="J4" s="1" t="s">
        <v>526</v>
      </c>
      <c r="K4" s="47">
        <f>VLOOKUP(I4,Прайс!A:E,5,0)</f>
        <v>100</v>
      </c>
      <c r="L4" s="7">
        <f>VLOOKUP(K4,Наценка!$A$1:$B$8,2,1)</f>
        <v>1.8</v>
      </c>
      <c r="M4" s="44">
        <f t="shared" si="0"/>
        <v>180</v>
      </c>
      <c r="N4" s="62">
        <f t="shared" ref="N4" si="1">IF(M4&lt;=1000,(ROUNDUP(M4,-1)-1),(ROUNDUP(M4,-2)-10))</f>
        <v>179</v>
      </c>
      <c r="O4" s="60">
        <f>VLOOKUP($A4,'Выгр Кат'!$A:$P,O$1,0)</f>
        <v>100</v>
      </c>
      <c r="P4" s="60">
        <f>VLOOKUP($A4,'Выгр Кат'!$A:$P,P$1,0)</f>
        <v>219</v>
      </c>
      <c r="Q4" s="73">
        <f t="shared" ref="Q4:Q66" si="2">O4-K4</f>
        <v>0</v>
      </c>
      <c r="R4" s="73">
        <f t="shared" ref="R4:R66" si="3">P4-N4</f>
        <v>40</v>
      </c>
      <c r="S4" s="97">
        <f t="shared" ref="S4:S67" si="4">IFERROR(ROUND(N4*(1-$S$2),),"")</f>
        <v>179</v>
      </c>
      <c r="T4" s="98">
        <f t="shared" ref="T4:T67" si="5">IFERROR(S4/K4-1,"")</f>
        <v>0.79</v>
      </c>
      <c r="U4" s="98">
        <f t="shared" ref="U4:U67" si="6">IFERROR((W4-S4)/W4,"")</f>
        <v>0.2183406113537118</v>
      </c>
      <c r="V4" s="98">
        <f t="shared" ref="V4:V67" si="7">IFERROR(IF(W4="","",W4/K4-1),"")</f>
        <v>1.29</v>
      </c>
      <c r="W4" s="106">
        <f t="shared" ref="W4:W10" si="8">MIN(AA4,AG4,AL4,AQ4)</f>
        <v>229</v>
      </c>
      <c r="X4" s="102">
        <f>IFERROR(ROUND((VLOOKUP($A4,'Из ГУГЛа'!$B:$Z,X$1,0)+Z4)*Y4,),VLOOKUP($A4,'Из ГУГЛа'!$B:$Z,X$1,0))</f>
        <v>229</v>
      </c>
      <c r="Y4" s="75">
        <v>1</v>
      </c>
      <c r="Z4" s="75">
        <v>0</v>
      </c>
      <c r="AA4" s="85">
        <v>229</v>
      </c>
      <c r="AB4" s="63" t="s">
        <v>1215</v>
      </c>
      <c r="AC4" s="48" t="s">
        <v>774</v>
      </c>
      <c r="AD4" s="102">
        <f>IFERROR(ROUND((VLOOKUP($A4,'Из ГУГЛа'!$B:$Z,AD$1,0)+AF4)*AE4,),VLOOKUP($A4,'Из ГУГЛа'!$B:$Z,AD$1,0))</f>
        <v>0</v>
      </c>
      <c r="AE4" s="100">
        <v>1</v>
      </c>
      <c r="AF4" s="100"/>
      <c r="AG4" s="103">
        <v>245</v>
      </c>
      <c r="AH4" s="103" t="s">
        <v>2107</v>
      </c>
      <c r="AI4" s="102">
        <f>IFERROR(ROUND((VLOOKUP($A4,'Из ГУГЛа'!$B:$Z,AI$1,0)+AK4)*AJ4,),VLOOKUP($A4,'Из ГУГЛа'!$B:$Z,AI$1,0))</f>
        <v>0</v>
      </c>
      <c r="AJ4" s="100">
        <v>1</v>
      </c>
      <c r="AK4" s="100"/>
      <c r="AL4" s="103"/>
      <c r="AM4" s="103"/>
      <c r="AN4" s="102">
        <f>IFERROR(ROUND((VLOOKUP($A4,'Из ГУГЛа'!$B:$Z,AN$1,0)+AP4)*AO4,),VLOOKUP($A4,'Из ГУГЛа'!$B:$Z,AN$1,0))</f>
        <v>0</v>
      </c>
      <c r="AO4" s="100">
        <v>1</v>
      </c>
      <c r="AP4" s="100"/>
      <c r="AQ4" s="103"/>
      <c r="AR4" s="103"/>
    </row>
    <row r="5" spans="1:44" ht="31.5" thickTop="1" thickBot="1" x14ac:dyDescent="0.3">
      <c r="A5" s="57">
        <v>222997</v>
      </c>
      <c r="B5" s="57">
        <f>VLOOKUP($A5,'Выгр Кат'!$A:$T,B$1,0)</f>
        <v>13302</v>
      </c>
      <c r="C5" s="58" t="str">
        <f>VLOOKUP($A5,'Выгр Кат'!$A:$T,C$1,0)</f>
        <v>Удлинитель разъема печки на ВАЗ 2110-12, Шевроле Нива</v>
      </c>
      <c r="D5" s="57" t="str">
        <f>VLOOKUP($A5,'Выгр Кат'!$A:$T,D$1,0)</f>
        <v>Y</v>
      </c>
      <c r="E5" s="57" t="str">
        <f>VLOOKUP($A5,'Выгр Кат'!$A:$T,E$1,0)</f>
        <v>1</v>
      </c>
      <c r="F5" s="57">
        <f>VLOOKUP($A5,'Выгр Кат'!$A:$T,F$1,0)</f>
        <v>0</v>
      </c>
      <c r="G5" s="57">
        <f>VLOOKUP($A5,'Выгр Кат'!$A:$T,G$1,0)</f>
        <v>0</v>
      </c>
      <c r="H5" s="57">
        <f>VLOOKUP($A5,'Выгр Кат'!$A:$T,H$1,0)</f>
        <v>0</v>
      </c>
      <c r="I5" s="39" t="s">
        <v>742</v>
      </c>
      <c r="J5" s="1" t="s">
        <v>526</v>
      </c>
      <c r="K5" s="47">
        <f>VLOOKUP(I5,Прайс!A:E,5,0)</f>
        <v>100</v>
      </c>
      <c r="L5" s="7">
        <f>VLOOKUP(K5,Наценка!$A$1:$B$8,2,1)</f>
        <v>1.8</v>
      </c>
      <c r="M5" s="44">
        <f t="shared" si="0"/>
        <v>180</v>
      </c>
      <c r="N5" s="62">
        <f t="shared" ref="N5:N66" si="9">IF(M5&lt;=1000,(ROUNDUP(M5,-1)-1),(ROUNDUP(M5,-2)-10))</f>
        <v>179</v>
      </c>
      <c r="O5" s="60">
        <f>VLOOKUP($A5,'Выгр Кат'!$A:$P,O$1,0)</f>
        <v>100</v>
      </c>
      <c r="P5" s="60">
        <f>VLOOKUP($A5,'Выгр Кат'!$A:$P,P$1,0)</f>
        <v>219</v>
      </c>
      <c r="Q5" s="73">
        <f t="shared" si="2"/>
        <v>0</v>
      </c>
      <c r="R5" s="73">
        <f t="shared" si="3"/>
        <v>40</v>
      </c>
      <c r="S5" s="97">
        <f t="shared" si="4"/>
        <v>179</v>
      </c>
      <c r="T5" s="98">
        <f t="shared" si="5"/>
        <v>0.79</v>
      </c>
      <c r="U5" s="98">
        <f t="shared" si="6"/>
        <v>0.2183406113537118</v>
      </c>
      <c r="V5" s="98">
        <f t="shared" si="7"/>
        <v>1.29</v>
      </c>
      <c r="W5" s="106">
        <f t="shared" si="8"/>
        <v>229</v>
      </c>
      <c r="X5" s="102">
        <f>IFERROR(ROUND((VLOOKUP($A5,'Из ГУГЛа'!$B:$Z,X$1,0)+Z5)*Y5,),VLOOKUP($A5,'Из ГУГЛа'!$B:$Z,X$1,0))</f>
        <v>229</v>
      </c>
      <c r="Y5" s="75">
        <v>1</v>
      </c>
      <c r="Z5" s="75">
        <v>0</v>
      </c>
      <c r="AA5" s="63">
        <v>229</v>
      </c>
      <c r="AB5" s="63" t="s">
        <v>1215</v>
      </c>
      <c r="AC5" s="48" t="s">
        <v>1146</v>
      </c>
      <c r="AD5" s="102">
        <f>IFERROR(ROUND((VLOOKUP($A5,'Из ГУГЛа'!$B:$Z,AD$1,0)+AF5)*AE5,),VLOOKUP($A5,'Из ГУГЛа'!$B:$Z,AD$1,0))</f>
        <v>0</v>
      </c>
      <c r="AE5" s="100">
        <v>1</v>
      </c>
      <c r="AF5" s="100"/>
      <c r="AG5" s="103">
        <v>337</v>
      </c>
      <c r="AH5" s="103" t="s">
        <v>2088</v>
      </c>
      <c r="AI5" s="102">
        <f>IFERROR(ROUND((VLOOKUP($A5,'Из ГУГЛа'!$B:$Z,AI$1,0)+AK5)*AJ5,),VLOOKUP($A5,'Из ГУГЛа'!$B:$Z,AI$1,0))</f>
        <v>0</v>
      </c>
      <c r="AJ5" s="100">
        <v>1</v>
      </c>
      <c r="AK5" s="100"/>
      <c r="AL5" s="103"/>
      <c r="AM5" s="103"/>
      <c r="AN5" s="102">
        <f>IFERROR(ROUND((VLOOKUP($A5,'Из ГУГЛа'!$B:$Z,AN$1,0)+AP5)*AO5,),VLOOKUP($A5,'Из ГУГЛа'!$B:$Z,AN$1,0))</f>
        <v>0</v>
      </c>
      <c r="AO5" s="100">
        <v>1</v>
      </c>
      <c r="AP5" s="100"/>
      <c r="AQ5" s="103"/>
      <c r="AR5" s="103"/>
    </row>
    <row r="6" spans="1:44" ht="31.5" thickTop="1" thickBot="1" x14ac:dyDescent="0.3">
      <c r="A6" s="57">
        <v>202568</v>
      </c>
      <c r="B6" s="57">
        <f>VLOOKUP($A6,'Выгр Кат'!$A:$T,B$1,0)</f>
        <v>20457</v>
      </c>
      <c r="C6" s="58" t="str">
        <f>VLOOKUP($A6,'Выгр Кат'!$A:$T,C$1,0)</f>
        <v>Разъем электрозеркал папа для Лада Калина, Гранта, Веста</v>
      </c>
      <c r="D6" s="57" t="str">
        <f>VLOOKUP($A6,'Выгр Кат'!$A:$T,D$1,0)</f>
        <v>Y</v>
      </c>
      <c r="E6" s="57" t="str">
        <f>VLOOKUP($A6,'Выгр Кат'!$A:$T,E$1,0)</f>
        <v>1</v>
      </c>
      <c r="F6" s="57">
        <f>VLOOKUP($A6,'Выгр Кат'!$A:$T,F$1,0)</f>
        <v>0</v>
      </c>
      <c r="G6" s="57">
        <f>VLOOKUP($A6,'Выгр Кат'!$A:$T,G$1,0)</f>
        <v>0</v>
      </c>
      <c r="H6" s="57">
        <f>VLOOKUP($A6,'Выгр Кат'!$A:$T,H$1,0)</f>
        <v>0</v>
      </c>
      <c r="I6" s="39"/>
      <c r="J6" s="1" t="s">
        <v>526</v>
      </c>
      <c r="K6" s="46">
        <f t="shared" ref="K6:K7" si="10">O6</f>
        <v>150</v>
      </c>
      <c r="L6" s="7">
        <f>VLOOKUP(K6,Наценка!$A$1:$B$8,2,1)</f>
        <v>1.8</v>
      </c>
      <c r="M6" s="44">
        <f t="shared" si="0"/>
        <v>270</v>
      </c>
      <c r="N6" s="62">
        <f t="shared" si="9"/>
        <v>269</v>
      </c>
      <c r="O6" s="60">
        <f>VLOOKUP($A6,'Выгр Кат'!$A:$P,O$1,0)</f>
        <v>150</v>
      </c>
      <c r="P6" s="60">
        <f>VLOOKUP($A6,'Выгр Кат'!$A:$P,P$1,0)</f>
        <v>379</v>
      </c>
      <c r="Q6" s="73">
        <f t="shared" si="2"/>
        <v>0</v>
      </c>
      <c r="R6" s="73">
        <f t="shared" si="3"/>
        <v>110</v>
      </c>
      <c r="S6" s="97">
        <f t="shared" si="4"/>
        <v>269</v>
      </c>
      <c r="T6" s="98">
        <f t="shared" si="5"/>
        <v>0.79333333333333322</v>
      </c>
      <c r="U6" s="98">
        <f t="shared" si="6"/>
        <v>0.20414201183431951</v>
      </c>
      <c r="V6" s="98">
        <f t="shared" si="7"/>
        <v>1.2533333333333334</v>
      </c>
      <c r="W6" s="106">
        <f t="shared" si="8"/>
        <v>338</v>
      </c>
      <c r="X6" s="102">
        <f>IFERROR(ROUND((VLOOKUP($A6,'Из ГУГЛа'!$B:$Z,X$1,0)+Z6)*Y6,),VLOOKUP($A6,'Из ГУГЛа'!$B:$Z,X$1,0))</f>
        <v>390</v>
      </c>
      <c r="Y6" s="75">
        <v>1</v>
      </c>
      <c r="Z6" s="75">
        <v>0</v>
      </c>
      <c r="AA6" s="85">
        <v>390</v>
      </c>
      <c r="AB6" s="63" t="s">
        <v>1215</v>
      </c>
      <c r="AC6" s="48" t="s">
        <v>812</v>
      </c>
      <c r="AD6" s="102">
        <f>IFERROR(ROUND((VLOOKUP($A6,'Из ГУГЛа'!$B:$Z,AD$1,0)+AF6)*AE6,),VLOOKUP($A6,'Из ГУГЛа'!$B:$Z,AD$1,0))</f>
        <v>0</v>
      </c>
      <c r="AE6" s="100">
        <v>1</v>
      </c>
      <c r="AF6" s="100"/>
      <c r="AG6" s="103">
        <v>338</v>
      </c>
      <c r="AH6" s="103" t="s">
        <v>2089</v>
      </c>
      <c r="AI6" s="102">
        <f>IFERROR(ROUND((VLOOKUP($A6,'Из ГУГЛа'!$B:$Z,AI$1,0)+AK6)*AJ6,),VLOOKUP($A6,'Из ГУГЛа'!$B:$Z,AI$1,0))</f>
        <v>0</v>
      </c>
      <c r="AJ6" s="100">
        <v>1</v>
      </c>
      <c r="AK6" s="100"/>
      <c r="AL6" s="103"/>
      <c r="AM6" s="103"/>
      <c r="AN6" s="102">
        <f>IFERROR(ROUND((VLOOKUP($A6,'Из ГУГЛа'!$B:$Z,AN$1,0)+AP6)*AO6,),VLOOKUP($A6,'Из ГУГЛа'!$B:$Z,AN$1,0))</f>
        <v>0</v>
      </c>
      <c r="AO6" s="100">
        <v>1</v>
      </c>
      <c r="AP6" s="100"/>
      <c r="AQ6" s="103"/>
      <c r="AR6" s="103"/>
    </row>
    <row r="7" spans="1:44" ht="31.5" thickTop="1" thickBot="1" x14ac:dyDescent="0.3">
      <c r="A7" s="57">
        <v>144947</v>
      </c>
      <c r="B7" s="57">
        <f>VLOOKUP($A7,'Выгр Кат'!$A:$T,B$1,0)</f>
        <v>13329</v>
      </c>
      <c r="C7" s="58" t="str">
        <f>VLOOKUP($A7,'Выгр Кат'!$A:$T,C$1,0)</f>
        <v>Жгут проводов подсветки заднего номера для Лада Калина</v>
      </c>
      <c r="D7" s="57" t="str">
        <f>VLOOKUP($A7,'Выгр Кат'!$A:$T,D$1,0)</f>
        <v>Y</v>
      </c>
      <c r="E7" s="57" t="str">
        <f>VLOOKUP($A7,'Выгр Кат'!$A:$T,E$1,0)</f>
        <v>1</v>
      </c>
      <c r="F7" s="57">
        <f>VLOOKUP($A7,'Выгр Кат'!$A:$T,F$1,0)</f>
        <v>0</v>
      </c>
      <c r="G7" s="57" t="str">
        <f>VLOOKUP($A7,'Выгр Кат'!$A:$T,G$1,0)</f>
        <v>111803724214</v>
      </c>
      <c r="H7" s="57" t="str">
        <f>VLOOKUP($A7,'Выгр Кат'!$A:$T,H$1,0)</f>
        <v>1118-3724214</v>
      </c>
      <c r="I7" s="64" t="s">
        <v>89</v>
      </c>
      <c r="J7" s="1" t="s">
        <v>526</v>
      </c>
      <c r="K7" s="46">
        <f t="shared" si="10"/>
        <v>200</v>
      </c>
      <c r="L7" s="7">
        <f>VLOOKUP(K7,Наценка!$A$1:$B$8,2,1)</f>
        <v>1.8</v>
      </c>
      <c r="M7" s="44">
        <f t="shared" si="0"/>
        <v>360</v>
      </c>
      <c r="N7" s="62">
        <f t="shared" si="9"/>
        <v>359</v>
      </c>
      <c r="O7" s="60">
        <f>VLOOKUP($A7,'Выгр Кат'!$A:$P,O$1,0)</f>
        <v>200</v>
      </c>
      <c r="P7" s="60">
        <f>VLOOKUP($A7,'Выгр Кат'!$A:$P,P$1,0)</f>
        <v>359</v>
      </c>
      <c r="Q7" s="73">
        <f t="shared" si="2"/>
        <v>0</v>
      </c>
      <c r="R7" s="73">
        <f t="shared" si="3"/>
        <v>0</v>
      </c>
      <c r="S7" s="97">
        <f t="shared" si="4"/>
        <v>359</v>
      </c>
      <c r="T7" s="98">
        <f t="shared" si="5"/>
        <v>0.79499999999999993</v>
      </c>
      <c r="U7" s="98">
        <f t="shared" si="6"/>
        <v>2.7100271002710029E-2</v>
      </c>
      <c r="V7" s="98">
        <f t="shared" si="7"/>
        <v>0.84499999999999997</v>
      </c>
      <c r="W7" s="106">
        <f t="shared" si="8"/>
        <v>369</v>
      </c>
      <c r="X7" s="102">
        <f>IFERROR(ROUND((VLOOKUP($A7,'Из ГУГЛа'!$B:$Z,X$1,0)+Z7)*Y7,),VLOOKUP($A7,'Из ГУГЛа'!$B:$Z,X$1,0))</f>
        <v>369</v>
      </c>
      <c r="Y7" s="75">
        <v>1</v>
      </c>
      <c r="Z7" s="75">
        <v>0</v>
      </c>
      <c r="AA7" s="85">
        <v>369</v>
      </c>
      <c r="AB7" s="63" t="s">
        <v>1215</v>
      </c>
      <c r="AC7" s="48" t="s">
        <v>913</v>
      </c>
      <c r="AD7" s="102">
        <f>IFERROR(ROUND((VLOOKUP($A7,'Из ГУГЛа'!$B:$Z,AD$1,0)+AF7)*AE7,),VLOOKUP($A7,'Из ГУГЛа'!$B:$Z,AD$1,0))</f>
        <v>0</v>
      </c>
      <c r="AE7" s="100">
        <v>1</v>
      </c>
      <c r="AF7" s="100"/>
      <c r="AG7" s="103">
        <v>489</v>
      </c>
      <c r="AH7" s="103" t="s">
        <v>1864</v>
      </c>
      <c r="AI7" s="102">
        <f>IFERROR(ROUND((VLOOKUP($A7,'Из ГУГЛа'!$B:$Z,AI$1,0)+AK7)*AJ7,),VLOOKUP($A7,'Из ГУГЛа'!$B:$Z,AI$1,0))</f>
        <v>0</v>
      </c>
      <c r="AJ7" s="100">
        <v>1</v>
      </c>
      <c r="AK7" s="100"/>
      <c r="AL7" s="103"/>
      <c r="AM7" s="103"/>
      <c r="AN7" s="102">
        <f>IFERROR(ROUND((VLOOKUP($A7,'Из ГУГЛа'!$B:$Z,AN$1,0)+AP7)*AO7,),VLOOKUP($A7,'Из ГУГЛа'!$B:$Z,AN$1,0))</f>
        <v>0</v>
      </c>
      <c r="AO7" s="100">
        <v>1</v>
      </c>
      <c r="AP7" s="100"/>
      <c r="AQ7" s="103"/>
      <c r="AR7" s="103"/>
    </row>
    <row r="8" spans="1:44" ht="40.5" thickTop="1" thickBot="1" x14ac:dyDescent="0.3">
      <c r="A8" s="57">
        <v>144866</v>
      </c>
      <c r="B8" s="57">
        <f>VLOOKUP($A8,'Выгр Кат'!$A:$T,B$1,0)</f>
        <v>13257</v>
      </c>
      <c r="C8" s="58" t="str">
        <f>VLOOKUP($A8,'Выгр Кат'!$A:$T,C$1,0)</f>
        <v>Жгут проводов коммутатора для ВАЗ 2104, 2105, 2107 карбюраторный двигатель</v>
      </c>
      <c r="D8" s="57" t="str">
        <f>VLOOKUP($A8,'Выгр Кат'!$A:$T,D$1,0)</f>
        <v>Y</v>
      </c>
      <c r="E8" s="57" t="str">
        <f>VLOOKUP($A8,'Выгр Кат'!$A:$T,E$1,0)</f>
        <v>1</v>
      </c>
      <c r="F8" s="57">
        <f>VLOOKUP($A8,'Выгр Кат'!$A:$T,F$1,0)</f>
        <v>0</v>
      </c>
      <c r="G8" s="57" t="str">
        <f>VLOOKUP($A8,'Выгр Кат'!$A:$T,G$1,0)</f>
        <v>210503724026</v>
      </c>
      <c r="H8" s="57" t="str">
        <f>VLOOKUP($A8,'Выгр Кат'!$A:$T,H$1,0)</f>
        <v>2105-3724026</v>
      </c>
      <c r="I8" s="39" t="s">
        <v>582</v>
      </c>
      <c r="J8" s="1" t="s">
        <v>526</v>
      </c>
      <c r="K8" s="47">
        <f>VLOOKUP(I8,Прайс!A:E,5,0)</f>
        <v>250</v>
      </c>
      <c r="L8" s="7">
        <f>VLOOKUP(K8,Наценка!$A$1:$B$8,2,1)</f>
        <v>1.8</v>
      </c>
      <c r="M8" s="44">
        <f t="shared" si="0"/>
        <v>450</v>
      </c>
      <c r="N8" s="62">
        <f t="shared" si="9"/>
        <v>449</v>
      </c>
      <c r="O8" s="60">
        <f>VLOOKUP($A8,'Выгр Кат'!$A:$P,O$1,0)</f>
        <v>250</v>
      </c>
      <c r="P8" s="60">
        <f>VLOOKUP($A8,'Выгр Кат'!$A:$P,P$1,0)</f>
        <v>519</v>
      </c>
      <c r="Q8" s="73">
        <f t="shared" si="2"/>
        <v>0</v>
      </c>
      <c r="R8" s="73">
        <f t="shared" si="3"/>
        <v>70</v>
      </c>
      <c r="S8" s="97">
        <f t="shared" si="4"/>
        <v>449</v>
      </c>
      <c r="T8" s="98">
        <f t="shared" si="5"/>
        <v>0.79600000000000004</v>
      </c>
      <c r="U8" s="98">
        <f t="shared" si="6"/>
        <v>-0.11691542288557213</v>
      </c>
      <c r="V8" s="98">
        <f t="shared" si="7"/>
        <v>0.6080000000000001</v>
      </c>
      <c r="W8" s="106">
        <f t="shared" si="8"/>
        <v>402</v>
      </c>
      <c r="X8" s="102">
        <f>IFERROR(ROUND((VLOOKUP($A8,'Из ГУГЛа'!$B:$Z,X$1,0)+Z8)*Y8,),VLOOKUP($A8,'Из ГУГЛа'!$B:$Z,X$1,0))</f>
        <v>549</v>
      </c>
      <c r="Y8" s="75">
        <v>1</v>
      </c>
      <c r="Z8" s="75">
        <v>0</v>
      </c>
      <c r="AA8" s="63">
        <v>549</v>
      </c>
      <c r="AB8" s="63" t="s">
        <v>1215</v>
      </c>
      <c r="AC8" s="48" t="s">
        <v>912</v>
      </c>
      <c r="AD8" s="102">
        <f>IFERROR(ROUND((VLOOKUP($A8,'Из ГУГЛа'!$B:$Z,AD$1,0)+AF8)*AE8,),VLOOKUP($A8,'Из ГУГЛа'!$B:$Z,AD$1,0))</f>
        <v>0</v>
      </c>
      <c r="AE8" s="100">
        <v>1</v>
      </c>
      <c r="AF8" s="100"/>
      <c r="AG8" s="103">
        <v>402</v>
      </c>
      <c r="AH8" s="103" t="s">
        <v>1865</v>
      </c>
      <c r="AI8" s="102">
        <f>IFERROR(ROUND((VLOOKUP($A8,'Из ГУГЛа'!$B:$Z,AI$1,0)+AK8)*AJ8,),VLOOKUP($A8,'Из ГУГЛа'!$B:$Z,AI$1,0))</f>
        <v>0</v>
      </c>
      <c r="AJ8" s="100">
        <v>1</v>
      </c>
      <c r="AK8" s="100"/>
      <c r="AL8" s="103"/>
      <c r="AM8" s="103"/>
      <c r="AN8" s="102">
        <f>IFERROR(ROUND((VLOOKUP($A8,'Из ГУГЛа'!$B:$Z,AN$1,0)+AP8)*AO8,),VLOOKUP($A8,'Из ГУГЛа'!$B:$Z,AN$1,0))</f>
        <v>0</v>
      </c>
      <c r="AO8" s="100">
        <v>1</v>
      </c>
      <c r="AP8" s="100"/>
      <c r="AQ8" s="103"/>
      <c r="AR8" s="103"/>
    </row>
    <row r="9" spans="1:44" ht="53.25" thickTop="1" thickBot="1" x14ac:dyDescent="0.3">
      <c r="A9" s="57">
        <v>201255</v>
      </c>
      <c r="B9" s="57">
        <f>VLOOKUP($A9,'Выгр Кат'!$A:$T,B$1,0)</f>
        <v>18666</v>
      </c>
      <c r="C9" s="58" t="str">
        <f>VLOOKUP($A9,'Выгр Кат'!$A:$T,C$1,0)</f>
        <v>Провод массы минусовой провод с клеммой АКБ для ВАЗ 2101-2107, Лада Нива 4х4</v>
      </c>
      <c r="D9" s="57" t="str">
        <f>VLOOKUP($A9,'Выгр Кат'!$A:$T,D$1,0)</f>
        <v>Y</v>
      </c>
      <c r="E9" s="57" t="str">
        <f>VLOOKUP($A9,'Выгр Кат'!$A:$T,E$1,0)</f>
        <v>1</v>
      </c>
      <c r="F9" s="57">
        <f>VLOOKUP($A9,'Выгр Кат'!$A:$T,F$1,0)</f>
        <v>0</v>
      </c>
      <c r="G9" s="57" t="str">
        <f>VLOOKUP($A9,'Выгр Кат'!$A:$T,G$1,0)</f>
        <v>2101372408001</v>
      </c>
      <c r="H9" s="57" t="str">
        <f>VLOOKUP($A9,'Выгр Кат'!$A:$T,H$1,0)</f>
        <v>2101-3724080</v>
      </c>
      <c r="I9" s="39" t="s">
        <v>574</v>
      </c>
      <c r="J9" s="1" t="s">
        <v>526</v>
      </c>
      <c r="K9" s="47">
        <f>VLOOKUP(I9,Прайс!A:E,5,0)</f>
        <v>300</v>
      </c>
      <c r="L9" s="7">
        <f>VLOOKUP(K9,Наценка!$A$1:$B$8,2,1)</f>
        <v>1.75</v>
      </c>
      <c r="M9" s="44">
        <f t="shared" si="0"/>
        <v>525</v>
      </c>
      <c r="N9" s="62">
        <f t="shared" si="9"/>
        <v>529</v>
      </c>
      <c r="O9" s="60">
        <f>VLOOKUP($A9,'Выгр Кат'!$A:$P,O$1,0)</f>
        <v>300</v>
      </c>
      <c r="P9" s="60">
        <f>VLOOKUP($A9,'Выгр Кат'!$A:$P,P$1,0)</f>
        <v>559</v>
      </c>
      <c r="Q9" s="73">
        <f t="shared" si="2"/>
        <v>0</v>
      </c>
      <c r="R9" s="73">
        <f t="shared" si="3"/>
        <v>30</v>
      </c>
      <c r="S9" s="97">
        <f t="shared" si="4"/>
        <v>529</v>
      </c>
      <c r="T9" s="98">
        <f t="shared" si="5"/>
        <v>0.76333333333333342</v>
      </c>
      <c r="U9" s="98">
        <f t="shared" si="6"/>
        <v>-0.38120104438642299</v>
      </c>
      <c r="V9" s="98">
        <f t="shared" si="7"/>
        <v>0.27666666666666662</v>
      </c>
      <c r="W9" s="106">
        <f t="shared" si="8"/>
        <v>383</v>
      </c>
      <c r="X9" s="102">
        <f>IFERROR(ROUND((VLOOKUP($A9,'Из ГУГЛа'!$B:$Z,X$1,0)+Z9)*Y9,),VLOOKUP($A9,'Из ГУГЛа'!$B:$Z,X$1,0))</f>
        <v>590</v>
      </c>
      <c r="Y9" s="75">
        <v>1</v>
      </c>
      <c r="Z9" s="75">
        <v>0</v>
      </c>
      <c r="AA9" s="63">
        <v>590</v>
      </c>
      <c r="AB9" s="63" t="s">
        <v>1215</v>
      </c>
      <c r="AC9" s="48" t="s">
        <v>1145</v>
      </c>
      <c r="AD9" s="102">
        <f>IFERROR(ROUND((VLOOKUP($A9,'Из ГУГЛа'!$B:$Z,AD$1,0)+AF9)*AE9,),VLOOKUP($A9,'Из ГУГЛа'!$B:$Z,AD$1,0))</f>
        <v>0</v>
      </c>
      <c r="AE9" s="100">
        <v>1</v>
      </c>
      <c r="AF9" s="100"/>
      <c r="AG9" s="103">
        <v>383</v>
      </c>
      <c r="AH9" s="103" t="s">
        <v>1866</v>
      </c>
      <c r="AI9" s="102">
        <f>IFERROR(ROUND((VLOOKUP($A9,'Из ГУГЛа'!$B:$Z,AI$1,0)+AK9)*AJ9,),VLOOKUP($A9,'Из ГУГЛа'!$B:$Z,AI$1,0))</f>
        <v>0</v>
      </c>
      <c r="AJ9" s="100">
        <v>1</v>
      </c>
      <c r="AK9" s="100"/>
      <c r="AL9" s="103"/>
      <c r="AM9" s="103"/>
      <c r="AN9" s="102">
        <f>IFERROR(ROUND((VLOOKUP($A9,'Из ГУГЛа'!$B:$Z,AN$1,0)+AP9)*AO9,),VLOOKUP($A9,'Из ГУГЛа'!$B:$Z,AN$1,0))</f>
        <v>0</v>
      </c>
      <c r="AO9" s="100">
        <v>1</v>
      </c>
      <c r="AP9" s="100"/>
      <c r="AQ9" s="103"/>
      <c r="AR9" s="103"/>
    </row>
    <row r="10" spans="1:44" ht="40.5" thickTop="1" thickBot="1" x14ac:dyDescent="0.3">
      <c r="A10" s="57">
        <v>144867</v>
      </c>
      <c r="B10" s="57">
        <f>VLOOKUP($A10,'Выгр Кат'!$A:$T,B$1,0)</f>
        <v>13266</v>
      </c>
      <c r="C10" s="58" t="str">
        <f>VLOOKUP($A10,'Выгр Кат'!$A:$T,C$1,0)</f>
        <v>Жгут проводов коммутатора для ВАЗ 2108, 2109, 21099 карбюраторный двигатель</v>
      </c>
      <c r="D10" s="57" t="str">
        <f>VLOOKUP($A10,'Выгр Кат'!$A:$T,D$1,0)</f>
        <v>Y</v>
      </c>
      <c r="E10" s="57" t="str">
        <f>VLOOKUP($A10,'Выгр Кат'!$A:$T,E$1,0)</f>
        <v>1</v>
      </c>
      <c r="F10" s="57">
        <f>VLOOKUP($A10,'Выгр Кат'!$A:$T,F$1,0)</f>
        <v>0</v>
      </c>
      <c r="G10" s="57" t="str">
        <f>VLOOKUP($A10,'Выгр Кат'!$A:$T,G$1,0)</f>
        <v>210803724026</v>
      </c>
      <c r="H10" s="57" t="str">
        <f>VLOOKUP($A10,'Выгр Кат'!$A:$T,H$1,0)</f>
        <v>2108-3724026</v>
      </c>
      <c r="I10" s="39" t="s">
        <v>597</v>
      </c>
      <c r="J10" s="1" t="s">
        <v>526</v>
      </c>
      <c r="K10" s="47">
        <f>VLOOKUP(I10,Прайс!A:E,5,0)</f>
        <v>350</v>
      </c>
      <c r="L10" s="7">
        <f>VLOOKUP(K10,Наценка!$A$1:$B$8,2,1)</f>
        <v>1.75</v>
      </c>
      <c r="M10" s="44">
        <f t="shared" si="0"/>
        <v>612.5</v>
      </c>
      <c r="N10" s="62">
        <f t="shared" si="9"/>
        <v>619</v>
      </c>
      <c r="O10" s="60">
        <f>VLOOKUP($A10,'Выгр Кат'!$A:$P,O$1,0)</f>
        <v>350</v>
      </c>
      <c r="P10" s="60">
        <f>VLOOKUP($A10,'Выгр Кат'!$A:$P,P$1,0)</f>
        <v>599</v>
      </c>
      <c r="Q10" s="73">
        <f t="shared" si="2"/>
        <v>0</v>
      </c>
      <c r="R10" s="73">
        <f t="shared" si="3"/>
        <v>-20</v>
      </c>
      <c r="S10" s="97">
        <f t="shared" si="4"/>
        <v>619</v>
      </c>
      <c r="T10" s="98">
        <f t="shared" si="5"/>
        <v>0.76857142857142846</v>
      </c>
      <c r="U10" s="98">
        <f t="shared" si="6"/>
        <v>-0.33982683982683981</v>
      </c>
      <c r="V10" s="98">
        <f t="shared" si="7"/>
        <v>0.32000000000000006</v>
      </c>
      <c r="W10" s="106">
        <f t="shared" si="8"/>
        <v>462</v>
      </c>
      <c r="X10" s="102">
        <f>IFERROR(ROUND((VLOOKUP($A10,'Из ГУГЛа'!$B:$Z,X$1,0)+Z10)*Y10,),VLOOKUP($A10,'Из ГУГЛа'!$B:$Z,X$1,0))</f>
        <v>629</v>
      </c>
      <c r="Y10" s="75">
        <v>1</v>
      </c>
      <c r="Z10" s="75">
        <v>0</v>
      </c>
      <c r="AA10" s="63">
        <v>629</v>
      </c>
      <c r="AB10" s="63" t="s">
        <v>1215</v>
      </c>
      <c r="AC10" s="48" t="s">
        <v>1144</v>
      </c>
      <c r="AD10" s="102">
        <f>IFERROR(ROUND((VLOOKUP($A10,'Из ГУГЛа'!$B:$Z,AD$1,0)+AF10)*AE10,),VLOOKUP($A10,'Из ГУГЛа'!$B:$Z,AD$1,0))</f>
        <v>0</v>
      </c>
      <c r="AE10" s="100">
        <v>1</v>
      </c>
      <c r="AF10" s="100"/>
      <c r="AG10" s="103">
        <v>462</v>
      </c>
      <c r="AH10" s="103" t="s">
        <v>1867</v>
      </c>
      <c r="AI10" s="102">
        <f>IFERROR(ROUND((VLOOKUP($A10,'Из ГУГЛа'!$B:$Z,AI$1,0)+AK10)*AJ10,),VLOOKUP($A10,'Из ГУГЛа'!$B:$Z,AI$1,0))</f>
        <v>0</v>
      </c>
      <c r="AJ10" s="100">
        <v>1</v>
      </c>
      <c r="AK10" s="100"/>
      <c r="AL10" s="103"/>
      <c r="AM10" s="103"/>
      <c r="AN10" s="102">
        <f>IFERROR(ROUND((VLOOKUP($A10,'Из ГУГЛа'!$B:$Z,AN$1,0)+AP10)*AO10,),VLOOKUP($A10,'Из ГУГЛа'!$B:$Z,AN$1,0))</f>
        <v>0</v>
      </c>
      <c r="AO10" s="100">
        <v>1</v>
      </c>
      <c r="AP10" s="100"/>
      <c r="AQ10" s="103"/>
      <c r="AR10" s="103"/>
    </row>
    <row r="11" spans="1:44" ht="31.5" thickTop="1" thickBot="1" x14ac:dyDescent="0.3">
      <c r="A11" s="57">
        <v>201253</v>
      </c>
      <c r="B11" s="57">
        <f>VLOOKUP($A11,'Выгр Кат'!$A:$T,B$1,0)</f>
        <v>15434</v>
      </c>
      <c r="C11" s="58" t="str">
        <f>VLOOKUP($A11,'Выгр Кат'!$A:$T,C$1,0)</f>
        <v>Провод дополнительный к плюсовой клемме 1400 мм для ВАЗ 2108-21099, 2113-2115</v>
      </c>
      <c r="D11" s="57" t="str">
        <f>VLOOKUP($A11,'Выгр Кат'!$A:$T,D$1,0)</f>
        <v>Y</v>
      </c>
      <c r="E11" s="57" t="str">
        <f>VLOOKUP($A11,'Выгр Кат'!$A:$T,E$1,0)</f>
        <v>1</v>
      </c>
      <c r="F11" s="57">
        <f>VLOOKUP($A11,'Выгр Кат'!$A:$T,F$1,0)</f>
        <v>0</v>
      </c>
      <c r="G11" s="57" t="str">
        <f>VLOOKUP($A11,'Выгр Кат'!$A:$T,G$1,0)</f>
        <v>2114372407020</v>
      </c>
      <c r="H11" s="57" t="str">
        <f>VLOOKUP($A11,'Выгр Кат'!$A:$T,H$1,0)</f>
        <v>2114-3724070</v>
      </c>
      <c r="I11" s="39"/>
      <c r="J11" s="1" t="s">
        <v>526</v>
      </c>
      <c r="K11" s="46">
        <f t="shared" ref="K11:K12" si="11">O11</f>
        <v>300</v>
      </c>
      <c r="L11" s="7">
        <f>VLOOKUP(K11,Наценка!$A$1:$B$8,2,1)</f>
        <v>1.75</v>
      </c>
      <c r="M11" s="44">
        <f t="shared" si="0"/>
        <v>525</v>
      </c>
      <c r="N11" s="62">
        <f t="shared" si="9"/>
        <v>529</v>
      </c>
      <c r="O11" s="60">
        <f>VLOOKUP($A11,'Выгр Кат'!$A:$P,O$1,0)</f>
        <v>300</v>
      </c>
      <c r="P11" s="60">
        <f>VLOOKUP($A11,'Выгр Кат'!$A:$P,P$1,0)</f>
        <v>529</v>
      </c>
      <c r="Q11" s="73">
        <f t="shared" si="2"/>
        <v>0</v>
      </c>
      <c r="R11" s="73">
        <f t="shared" si="3"/>
        <v>0</v>
      </c>
      <c r="S11" s="97">
        <f t="shared" si="4"/>
        <v>529</v>
      </c>
      <c r="T11" s="98">
        <f t="shared" si="5"/>
        <v>0.76333333333333342</v>
      </c>
      <c r="U11" s="98" t="str">
        <f t="shared" si="6"/>
        <v/>
      </c>
      <c r="V11" s="98" t="str">
        <f t="shared" si="7"/>
        <v/>
      </c>
      <c r="W11" s="99"/>
      <c r="X11" s="102" t="str">
        <f>IFERROR(ROUND((VLOOKUP($A11,'Из ГУГЛа'!$B:$Z,X$1,0)+Z11)*Y11,),VLOOKUP($A11,'Из ГУГЛа'!$B:$Z,X$1,0))</f>
        <v/>
      </c>
      <c r="Y11" s="75">
        <v>1</v>
      </c>
      <c r="Z11" s="75">
        <v>0</v>
      </c>
      <c r="AA11" s="63" t="s">
        <v>1017</v>
      </c>
      <c r="AB11" s="80"/>
      <c r="AD11" s="102">
        <f>IFERROR(ROUND((VLOOKUP($A11,'Из ГУГЛа'!$B:$Z,AD$1,0)+AF11)*AE11,),VLOOKUP($A11,'Из ГУГЛа'!$B:$Z,AD$1,0))</f>
        <v>0</v>
      </c>
      <c r="AE11" s="100">
        <v>1</v>
      </c>
      <c r="AF11" s="100"/>
      <c r="AG11" s="103" t="s">
        <v>1017</v>
      </c>
      <c r="AH11" s="103"/>
      <c r="AI11" s="102">
        <f>IFERROR(ROUND((VLOOKUP($A11,'Из ГУГЛа'!$B:$Z,AI$1,0)+AK11)*AJ11,),VLOOKUP($A11,'Из ГУГЛа'!$B:$Z,AI$1,0))</f>
        <v>0</v>
      </c>
      <c r="AJ11" s="100">
        <v>1</v>
      </c>
      <c r="AK11" s="100"/>
      <c r="AL11" s="103"/>
      <c r="AM11" s="103"/>
      <c r="AN11" s="102">
        <f>IFERROR(ROUND((VLOOKUP($A11,'Из ГУГЛа'!$B:$Z,AN$1,0)+AP11)*AO11,),VLOOKUP($A11,'Из ГУГЛа'!$B:$Z,AN$1,0))</f>
        <v>0</v>
      </c>
      <c r="AO11" s="100">
        <v>1</v>
      </c>
      <c r="AP11" s="100"/>
      <c r="AQ11" s="103"/>
      <c r="AR11" s="103"/>
    </row>
    <row r="12" spans="1:44" ht="46.5" thickTop="1" thickBot="1" x14ac:dyDescent="0.3">
      <c r="A12" s="57">
        <v>202549</v>
      </c>
      <c r="B12" s="57">
        <f>VLOOKUP($A12,'Выгр Кат'!$A:$T,B$1,0)</f>
        <v>21043</v>
      </c>
      <c r="C12" s="58" t="str">
        <f>VLOOKUP($A12,'Выгр Кат'!$A:$T,C$1,0)</f>
        <v>Разъем блока управления передними стеклоподъёмниками, зеркалами на Датсун mi-DO, on-DO</v>
      </c>
      <c r="D12" s="57" t="str">
        <f>VLOOKUP($A12,'Выгр Кат'!$A:$T,D$1,0)</f>
        <v>Y</v>
      </c>
      <c r="E12" s="57" t="str">
        <f>VLOOKUP($A12,'Выгр Кат'!$A:$T,E$1,0)</f>
        <v>1</v>
      </c>
      <c r="F12" s="57">
        <f>VLOOKUP($A12,'Выгр Кат'!$A:$T,F$1,0)</f>
        <v>0</v>
      </c>
      <c r="G12" s="57">
        <f>VLOOKUP($A12,'Выгр Кат'!$A:$T,G$1,0)</f>
        <v>0</v>
      </c>
      <c r="H12" s="57">
        <f>VLOOKUP($A12,'Выгр Кат'!$A:$T,H$1,0)</f>
        <v>0</v>
      </c>
      <c r="I12" s="64"/>
      <c r="J12" s="1" t="s">
        <v>526</v>
      </c>
      <c r="K12" s="46">
        <f t="shared" si="11"/>
        <v>300</v>
      </c>
      <c r="L12" s="7">
        <f>VLOOKUP(K12,Наценка!$A$1:$B$8,2,1)</f>
        <v>1.75</v>
      </c>
      <c r="M12" s="44">
        <f t="shared" si="0"/>
        <v>525</v>
      </c>
      <c r="N12" s="62">
        <f t="shared" si="9"/>
        <v>529</v>
      </c>
      <c r="O12" s="60">
        <f>VLOOKUP($A12,'Выгр Кат'!$A:$P,O$1,0)</f>
        <v>300</v>
      </c>
      <c r="P12" s="60">
        <f>VLOOKUP($A12,'Выгр Кат'!$A:$P,P$1,0)</f>
        <v>559</v>
      </c>
      <c r="Q12" s="73">
        <f t="shared" si="2"/>
        <v>0</v>
      </c>
      <c r="R12" s="73">
        <f t="shared" si="3"/>
        <v>30</v>
      </c>
      <c r="S12" s="97">
        <f t="shared" si="4"/>
        <v>529</v>
      </c>
      <c r="T12" s="98">
        <f t="shared" si="5"/>
        <v>0.76333333333333342</v>
      </c>
      <c r="U12" s="98">
        <f t="shared" si="6"/>
        <v>-0.44141689373297005</v>
      </c>
      <c r="V12" s="98">
        <f t="shared" si="7"/>
        <v>0.22333333333333338</v>
      </c>
      <c r="W12" s="106">
        <f t="shared" ref="W12:W18" si="12">MIN(AA12,AG12,AL12,AQ12)</f>
        <v>367</v>
      </c>
      <c r="X12" s="102">
        <f>IFERROR(ROUND((VLOOKUP($A12,'Из ГУГЛа'!$B:$Z,X$1,0)+Z12)*Y12,),VLOOKUP($A12,'Из ГУГЛа'!$B:$Z,X$1,0))</f>
        <v>590</v>
      </c>
      <c r="Y12" s="75">
        <v>1</v>
      </c>
      <c r="Z12" s="75">
        <v>0</v>
      </c>
      <c r="AA12" s="63">
        <v>590</v>
      </c>
      <c r="AB12" s="63" t="s">
        <v>1215</v>
      </c>
      <c r="AC12" s="48" t="s">
        <v>1143</v>
      </c>
      <c r="AD12" s="102">
        <f>IFERROR(ROUND((VLOOKUP($A12,'Из ГУГЛа'!$B:$Z,AD$1,0)+AF12)*AE12,),VLOOKUP($A12,'Из ГУГЛа'!$B:$Z,AD$1,0))</f>
        <v>0</v>
      </c>
      <c r="AE12" s="100">
        <v>1</v>
      </c>
      <c r="AF12" s="100"/>
      <c r="AG12" s="103">
        <v>367</v>
      </c>
      <c r="AH12" s="103" t="s">
        <v>2090</v>
      </c>
      <c r="AI12" s="102">
        <f>IFERROR(ROUND((VLOOKUP($A12,'Из ГУГЛа'!$B:$Z,AI$1,0)+AK12)*AJ12,),VLOOKUP($A12,'Из ГУГЛа'!$B:$Z,AI$1,0))</f>
        <v>0</v>
      </c>
      <c r="AJ12" s="100">
        <v>1</v>
      </c>
      <c r="AK12" s="100"/>
      <c r="AL12" s="103"/>
      <c r="AM12" s="103"/>
      <c r="AN12" s="102">
        <f>IFERROR(ROUND((VLOOKUP($A12,'Из ГУГЛа'!$B:$Z,AN$1,0)+AP12)*AO12,),VLOOKUP($A12,'Из ГУГЛа'!$B:$Z,AN$1,0))</f>
        <v>0</v>
      </c>
      <c r="AO12" s="100">
        <v>1</v>
      </c>
      <c r="AP12" s="100"/>
      <c r="AQ12" s="103"/>
      <c r="AR12" s="103"/>
    </row>
    <row r="13" spans="1:44" ht="40.5" thickTop="1" thickBot="1" x14ac:dyDescent="0.3">
      <c r="A13" s="57">
        <v>145004</v>
      </c>
      <c r="B13" s="57">
        <f>VLOOKUP($A13,'Выгр Кат'!$A:$T,B$1,0)</f>
        <v>13336</v>
      </c>
      <c r="C13" s="58" t="str">
        <f>VLOOKUP($A13,'Выгр Кат'!$A:$T,C$1,0)</f>
        <v>Жгут проводов форсунок для Лада Калина 8-ми клапанный двигатель 1.6 л</v>
      </c>
      <c r="D13" s="57" t="str">
        <f>VLOOKUP($A13,'Выгр Кат'!$A:$T,D$1,0)</f>
        <v>Y</v>
      </c>
      <c r="E13" s="57" t="str">
        <f>VLOOKUP($A13,'Выгр Кат'!$A:$T,E$1,0)</f>
        <v>1</v>
      </c>
      <c r="F13" s="57">
        <f>VLOOKUP($A13,'Выгр Кат'!$A:$T,F$1,0)</f>
        <v>0</v>
      </c>
      <c r="G13" s="57" t="str">
        <f>VLOOKUP($A13,'Выгр Кат'!$A:$T,G$1,0)</f>
        <v>111863724036</v>
      </c>
      <c r="H13" s="57" t="str">
        <f>VLOOKUP($A13,'Выгр Кат'!$A:$T,H$1,0)</f>
        <v>11186-3724036</v>
      </c>
      <c r="I13" s="39" t="s">
        <v>645</v>
      </c>
      <c r="J13" s="1" t="s">
        <v>526</v>
      </c>
      <c r="K13" s="47">
        <f>VLOOKUP(I13,Прайс!A:E,5,0)</f>
        <v>450</v>
      </c>
      <c r="L13" s="7">
        <f>VLOOKUP(K13,Наценка!$A$1:$B$8,2,1)</f>
        <v>1.75</v>
      </c>
      <c r="M13" s="44">
        <f t="shared" si="0"/>
        <v>787.5</v>
      </c>
      <c r="N13" s="62">
        <f t="shared" si="9"/>
        <v>789</v>
      </c>
      <c r="O13" s="60">
        <f>VLOOKUP($A13,'Выгр Кат'!$A:$P,O$1,0)</f>
        <v>400</v>
      </c>
      <c r="P13" s="60">
        <f>VLOOKUP($A13,'Выгр Кат'!$A:$P,P$1,0)</f>
        <v>659</v>
      </c>
      <c r="Q13" s="73">
        <f t="shared" si="2"/>
        <v>-50</v>
      </c>
      <c r="R13" s="73">
        <f t="shared" si="3"/>
        <v>-130</v>
      </c>
      <c r="S13" s="97">
        <f t="shared" si="4"/>
        <v>789</v>
      </c>
      <c r="T13" s="98">
        <f t="shared" si="5"/>
        <v>0.75333333333333341</v>
      </c>
      <c r="U13" s="98">
        <f t="shared" si="6"/>
        <v>-0.29556650246305421</v>
      </c>
      <c r="V13" s="98">
        <f t="shared" si="7"/>
        <v>0.35333333333333328</v>
      </c>
      <c r="W13" s="106">
        <f t="shared" si="12"/>
        <v>609</v>
      </c>
      <c r="X13" s="102">
        <f>IFERROR(ROUND((VLOOKUP($A13,'Из ГУГЛа'!$B:$Z,X$1,0)+Z13)*Y13,),VLOOKUP($A13,'Из ГУГЛа'!$B:$Z,X$1,0))</f>
        <v>690</v>
      </c>
      <c r="Y13" s="75">
        <v>1</v>
      </c>
      <c r="Z13" s="75">
        <v>0</v>
      </c>
      <c r="AA13" s="63">
        <v>690</v>
      </c>
      <c r="AB13" s="63" t="s">
        <v>1215</v>
      </c>
      <c r="AC13" s="48" t="s">
        <v>1142</v>
      </c>
      <c r="AD13" s="102">
        <f>IFERROR(ROUND((VLOOKUP($A13,'Из ГУГЛа'!$B:$Z,AD$1,0)+AF13)*AE13,),VLOOKUP($A13,'Из ГУГЛа'!$B:$Z,AD$1,0))</f>
        <v>0</v>
      </c>
      <c r="AE13" s="100">
        <v>1</v>
      </c>
      <c r="AF13" s="100"/>
      <c r="AG13" s="103">
        <v>609</v>
      </c>
      <c r="AH13" s="103" t="s">
        <v>1868</v>
      </c>
      <c r="AI13" s="102">
        <f>IFERROR(ROUND((VLOOKUP($A13,'Из ГУГЛа'!$B:$Z,AI$1,0)+AK13)*AJ13,),VLOOKUP($A13,'Из ГУГЛа'!$B:$Z,AI$1,0))</f>
        <v>0</v>
      </c>
      <c r="AJ13" s="100">
        <v>1</v>
      </c>
      <c r="AK13" s="100"/>
      <c r="AL13" s="103"/>
      <c r="AM13" s="103"/>
      <c r="AN13" s="102">
        <f>IFERROR(ROUND((VLOOKUP($A13,'Из ГУГЛа'!$B:$Z,AN$1,0)+AP13)*AO13,),VLOOKUP($A13,'Из ГУГЛа'!$B:$Z,AN$1,0))</f>
        <v>0</v>
      </c>
      <c r="AO13" s="100">
        <v>1</v>
      </c>
      <c r="AP13" s="100"/>
      <c r="AQ13" s="103"/>
      <c r="AR13" s="103"/>
    </row>
    <row r="14" spans="1:44" ht="40.5" thickTop="1" thickBot="1" x14ac:dyDescent="0.3">
      <c r="A14" s="57">
        <v>144948</v>
      </c>
      <c r="B14" s="57">
        <f>VLOOKUP($A14,'Выгр Кат'!$A:$T,B$1,0)</f>
        <v>13330</v>
      </c>
      <c r="C14" s="58" t="str">
        <f>VLOOKUP($A14,'Выгр Кат'!$A:$T,C$1,0)</f>
        <v>Жгут проводов форсунок для Лада Калина 16-ти клапанный двигатель ВАЗ 11194 1.4 л</v>
      </c>
      <c r="D14" s="57" t="str">
        <f>VLOOKUP($A14,'Выгр Кат'!$A:$T,D$1,0)</f>
        <v>Y</v>
      </c>
      <c r="E14" s="57" t="str">
        <f>VLOOKUP($A14,'Выгр Кат'!$A:$T,E$1,0)</f>
        <v>1</v>
      </c>
      <c r="F14" s="57">
        <f>VLOOKUP($A14,'Выгр Кат'!$A:$T,F$1,0)</f>
        <v>0</v>
      </c>
      <c r="G14" s="57" t="str">
        <f>VLOOKUP($A14,'Выгр Кат'!$A:$T,G$1,0)</f>
        <v>11184372403600</v>
      </c>
      <c r="H14" s="57" t="str">
        <f>VLOOKUP($A14,'Выгр Кат'!$A:$T,H$1,0)</f>
        <v>11184-3724036</v>
      </c>
      <c r="I14" s="39" t="s">
        <v>645</v>
      </c>
      <c r="J14" s="1" t="s">
        <v>526</v>
      </c>
      <c r="K14" s="47">
        <f>VLOOKUP(I14,Прайс!A:E,5,0)</f>
        <v>450</v>
      </c>
      <c r="L14" s="7">
        <f>VLOOKUP(K14,Наценка!$A$1:$B$8,2,1)</f>
        <v>1.75</v>
      </c>
      <c r="M14" s="44">
        <f t="shared" si="0"/>
        <v>787.5</v>
      </c>
      <c r="N14" s="62">
        <f t="shared" si="9"/>
        <v>789</v>
      </c>
      <c r="O14" s="60">
        <f>VLOOKUP($A14,'Выгр Кат'!$A:$P,O$1,0)</f>
        <v>400</v>
      </c>
      <c r="P14" s="60">
        <f>VLOOKUP($A14,'Выгр Кат'!$A:$P,P$1,0)</f>
        <v>699</v>
      </c>
      <c r="Q14" s="73">
        <f t="shared" si="2"/>
        <v>-50</v>
      </c>
      <c r="R14" s="73">
        <f t="shared" si="3"/>
        <v>-90</v>
      </c>
      <c r="S14" s="97">
        <f t="shared" si="4"/>
        <v>789</v>
      </c>
      <c r="T14" s="98">
        <f t="shared" si="5"/>
        <v>0.75333333333333341</v>
      </c>
      <c r="U14" s="98">
        <f t="shared" si="6"/>
        <v>7.934655775962661E-2</v>
      </c>
      <c r="V14" s="98">
        <f t="shared" si="7"/>
        <v>0.90444444444444438</v>
      </c>
      <c r="W14" s="106">
        <f t="shared" si="12"/>
        <v>857</v>
      </c>
      <c r="X14" s="102">
        <f>IFERROR(ROUND((VLOOKUP($A14,'Из ГУГЛа'!$B:$Z,X$1,0)+Z14)*Y14,),VLOOKUP($A14,'Из ГУГЛа'!$B:$Z,X$1,0))</f>
        <v>1290</v>
      </c>
      <c r="Y14" s="75">
        <v>1</v>
      </c>
      <c r="Z14" s="75">
        <v>0</v>
      </c>
      <c r="AA14" s="63" t="s">
        <v>1141</v>
      </c>
      <c r="AB14" s="80"/>
      <c r="AC14" s="48" t="s">
        <v>1140</v>
      </c>
      <c r="AD14" s="102">
        <f>IFERROR(ROUND((VLOOKUP($A14,'Из ГУГЛа'!$B:$Z,AD$1,0)+AF14)*AE14,),VLOOKUP($A14,'Из ГУГЛа'!$B:$Z,AD$1,0))</f>
        <v>0</v>
      </c>
      <c r="AE14" s="100">
        <v>1</v>
      </c>
      <c r="AF14" s="100"/>
      <c r="AG14" s="103">
        <v>857</v>
      </c>
      <c r="AH14" s="103" t="s">
        <v>1869</v>
      </c>
      <c r="AI14" s="102">
        <f>IFERROR(ROUND((VLOOKUP($A14,'Из ГУГЛа'!$B:$Z,AI$1,0)+AK14)*AJ14,),VLOOKUP($A14,'Из ГУГЛа'!$B:$Z,AI$1,0))</f>
        <v>0</v>
      </c>
      <c r="AJ14" s="100">
        <v>1</v>
      </c>
      <c r="AK14" s="100"/>
      <c r="AL14" s="103"/>
      <c r="AM14" s="103"/>
      <c r="AN14" s="102">
        <f>IFERROR(ROUND((VLOOKUP($A14,'Из ГУГЛа'!$B:$Z,AN$1,0)+AP14)*AO14,),VLOOKUP($A14,'Из ГУГЛа'!$B:$Z,AN$1,0))</f>
        <v>0</v>
      </c>
      <c r="AO14" s="100">
        <v>1</v>
      </c>
      <c r="AP14" s="100"/>
      <c r="AQ14" s="103"/>
      <c r="AR14" s="103"/>
    </row>
    <row r="15" spans="1:44" ht="40.5" thickTop="1" thickBot="1" x14ac:dyDescent="0.3">
      <c r="A15" s="57">
        <v>145005</v>
      </c>
      <c r="B15" s="57">
        <f>VLOOKUP($A15,'Выгр Кат'!$A:$T,B$1,0)</f>
        <v>13306</v>
      </c>
      <c r="C15" s="58" t="str">
        <f>VLOOKUP($A15,'Выгр Кат'!$A:$T,C$1,0)</f>
        <v>Жгут проводов форсунок для ВАЗ 2110-2112 8-ми клапанный двигатель</v>
      </c>
      <c r="D15" s="57" t="str">
        <f>VLOOKUP($A15,'Выгр Кат'!$A:$T,D$1,0)</f>
        <v>Y</v>
      </c>
      <c r="E15" s="57" t="str">
        <f>VLOOKUP($A15,'Выгр Кат'!$A:$T,E$1,0)</f>
        <v>1</v>
      </c>
      <c r="F15" s="57">
        <f>VLOOKUP($A15,'Выгр Кат'!$A:$T,F$1,0)</f>
        <v>0</v>
      </c>
      <c r="G15" s="57" t="str">
        <f>VLOOKUP($A15,'Выгр Кат'!$A:$T,G$1,0)</f>
        <v>21113724036</v>
      </c>
      <c r="H15" s="57" t="str">
        <f>VLOOKUP($A15,'Выгр Кат'!$A:$T,H$1,0)</f>
        <v>2111-3724036</v>
      </c>
      <c r="I15" s="39" t="s">
        <v>625</v>
      </c>
      <c r="J15" s="1" t="s">
        <v>526</v>
      </c>
      <c r="K15" s="47">
        <f>VLOOKUP(I15,Прайс!A:E,5,0)</f>
        <v>450</v>
      </c>
      <c r="L15" s="7">
        <f>VLOOKUP(K15,Наценка!$A$1:$B$8,2,1)</f>
        <v>1.75</v>
      </c>
      <c r="M15" s="44">
        <f t="shared" si="0"/>
        <v>787.5</v>
      </c>
      <c r="N15" s="62">
        <f t="shared" si="9"/>
        <v>789</v>
      </c>
      <c r="O15" s="60">
        <f>VLOOKUP($A15,'Выгр Кат'!$A:$P,O$1,0)</f>
        <v>400</v>
      </c>
      <c r="P15" s="60">
        <f>VLOOKUP($A15,'Выгр Кат'!$A:$P,P$1,0)</f>
        <v>659</v>
      </c>
      <c r="Q15" s="73">
        <f t="shared" si="2"/>
        <v>-50</v>
      </c>
      <c r="R15" s="73">
        <f t="shared" si="3"/>
        <v>-130</v>
      </c>
      <c r="S15" s="97">
        <f t="shared" si="4"/>
        <v>789</v>
      </c>
      <c r="T15" s="98">
        <f t="shared" si="5"/>
        <v>0.75333333333333341</v>
      </c>
      <c r="U15" s="98">
        <f t="shared" si="6"/>
        <v>-0.97744360902255634</v>
      </c>
      <c r="V15" s="98">
        <f t="shared" si="7"/>
        <v>-0.11333333333333329</v>
      </c>
      <c r="W15" s="106">
        <f t="shared" si="12"/>
        <v>399</v>
      </c>
      <c r="X15" s="102">
        <f>IFERROR(ROUND((VLOOKUP($A15,'Из ГУГЛа'!$B:$Z,X$1,0)+Z15)*Y15,),VLOOKUP($A15,'Из ГУГЛа'!$B:$Z,X$1,0))</f>
        <v>690</v>
      </c>
      <c r="Y15" s="75">
        <v>1</v>
      </c>
      <c r="Z15" s="75">
        <v>0</v>
      </c>
      <c r="AA15" s="63">
        <v>690</v>
      </c>
      <c r="AB15" s="63" t="s">
        <v>1215</v>
      </c>
      <c r="AC15" s="48" t="s">
        <v>1139</v>
      </c>
      <c r="AD15" s="102">
        <f>IFERROR(ROUND((VLOOKUP($A15,'Из ГУГЛа'!$B:$Z,AD$1,0)+AF15)*AE15,),VLOOKUP($A15,'Из ГУГЛа'!$B:$Z,AD$1,0))</f>
        <v>0</v>
      </c>
      <c r="AE15" s="100">
        <v>1</v>
      </c>
      <c r="AF15" s="100"/>
      <c r="AG15" s="103">
        <v>399</v>
      </c>
      <c r="AH15" s="103" t="s">
        <v>1870</v>
      </c>
      <c r="AI15" s="102">
        <f>IFERROR(ROUND((VLOOKUP($A15,'Из ГУГЛа'!$B:$Z,AI$1,0)+AK15)*AJ15,),VLOOKUP($A15,'Из ГУГЛа'!$B:$Z,AI$1,0))</f>
        <v>0</v>
      </c>
      <c r="AJ15" s="100">
        <v>1</v>
      </c>
      <c r="AK15" s="100"/>
      <c r="AL15" s="103"/>
      <c r="AM15" s="103"/>
      <c r="AN15" s="102">
        <f>IFERROR(ROUND((VLOOKUP($A15,'Из ГУГЛа'!$B:$Z,AN$1,0)+AP15)*AO15,),VLOOKUP($A15,'Из ГУГЛа'!$B:$Z,AN$1,0))</f>
        <v>0</v>
      </c>
      <c r="AO15" s="100">
        <v>1</v>
      </c>
      <c r="AP15" s="100"/>
      <c r="AQ15" s="103"/>
      <c r="AR15" s="103"/>
    </row>
    <row r="16" spans="1:44" ht="40.5" thickTop="1" thickBot="1" x14ac:dyDescent="0.3">
      <c r="A16" s="57">
        <v>145006</v>
      </c>
      <c r="B16" s="57">
        <f>VLOOKUP($A16,'Выгр Кат'!$A:$T,B$1,0)</f>
        <v>13307</v>
      </c>
      <c r="C16" s="58" t="str">
        <f>VLOOKUP($A16,'Выгр Кат'!$A:$T,C$1,0)</f>
        <v>Жгут проводов форсунок для ВАЗ 2110-2112 16-ти клапанный двигатель</v>
      </c>
      <c r="D16" s="57" t="str">
        <f>VLOOKUP($A16,'Выгр Кат'!$A:$T,D$1,0)</f>
        <v>Y</v>
      </c>
      <c r="E16" s="57" t="str">
        <f>VLOOKUP($A16,'Выгр Кат'!$A:$T,E$1,0)</f>
        <v>1</v>
      </c>
      <c r="F16" s="57">
        <f>VLOOKUP($A16,'Выгр Кат'!$A:$T,F$1,0)</f>
        <v>0</v>
      </c>
      <c r="G16" s="57" t="str">
        <f>VLOOKUP($A16,'Выгр Кат'!$A:$T,G$1,0)</f>
        <v>21123724036</v>
      </c>
      <c r="H16" s="57" t="str">
        <f>VLOOKUP($A16,'Выгр Кат'!$A:$T,H$1,0)</f>
        <v>2112-3724036</v>
      </c>
      <c r="I16" s="39" t="s">
        <v>626</v>
      </c>
      <c r="J16" s="1" t="s">
        <v>526</v>
      </c>
      <c r="K16" s="47">
        <f>VLOOKUP(I16,Прайс!A:E,5,0)</f>
        <v>450</v>
      </c>
      <c r="L16" s="7">
        <f>VLOOKUP(K16,Наценка!$A$1:$B$8,2,1)</f>
        <v>1.75</v>
      </c>
      <c r="M16" s="44">
        <f t="shared" si="0"/>
        <v>787.5</v>
      </c>
      <c r="N16" s="62">
        <f t="shared" si="9"/>
        <v>789</v>
      </c>
      <c r="O16" s="60">
        <f>VLOOKUP($A16,'Выгр Кат'!$A:$P,O$1,0)</f>
        <v>400</v>
      </c>
      <c r="P16" s="60">
        <f>VLOOKUP($A16,'Выгр Кат'!$A:$P,P$1,0)</f>
        <v>699</v>
      </c>
      <c r="Q16" s="73">
        <f t="shared" si="2"/>
        <v>-50</v>
      </c>
      <c r="R16" s="73">
        <f t="shared" si="3"/>
        <v>-90</v>
      </c>
      <c r="S16" s="97">
        <f t="shared" si="4"/>
        <v>789</v>
      </c>
      <c r="T16" s="98">
        <f t="shared" si="5"/>
        <v>0.75333333333333341</v>
      </c>
      <c r="U16" s="98">
        <f t="shared" si="6"/>
        <v>-0.92909535452322733</v>
      </c>
      <c r="V16" s="98">
        <f t="shared" si="7"/>
        <v>-9.1111111111111143E-2</v>
      </c>
      <c r="W16" s="106">
        <f t="shared" si="12"/>
        <v>409</v>
      </c>
      <c r="X16" s="102" t="str">
        <f>IFERROR(ROUND((VLOOKUP($A16,'Из ГУГЛа'!$B:$Z,X$1,0)+Z16)*Y16,),VLOOKUP($A16,'Из ГУГЛа'!$B:$Z,X$1,0))</f>
        <v/>
      </c>
      <c r="Y16" s="75">
        <v>1</v>
      </c>
      <c r="Z16" s="75">
        <v>0</v>
      </c>
      <c r="AA16" s="63" t="s">
        <v>1017</v>
      </c>
      <c r="AB16" s="80"/>
      <c r="AD16" s="102">
        <f>IFERROR(ROUND((VLOOKUP($A16,'Из ГУГЛа'!$B:$Z,AD$1,0)+AF16)*AE16,),VLOOKUP($A16,'Из ГУГЛа'!$B:$Z,AD$1,0))</f>
        <v>0</v>
      </c>
      <c r="AE16" s="100">
        <v>1</v>
      </c>
      <c r="AF16" s="100"/>
      <c r="AG16" s="103">
        <v>409</v>
      </c>
      <c r="AH16" s="103" t="s">
        <v>1871</v>
      </c>
      <c r="AI16" s="102">
        <f>IFERROR(ROUND((VLOOKUP($A16,'Из ГУГЛа'!$B:$Z,AI$1,0)+AK16)*AJ16,),VLOOKUP($A16,'Из ГУГЛа'!$B:$Z,AI$1,0))</f>
        <v>0</v>
      </c>
      <c r="AJ16" s="100">
        <v>1</v>
      </c>
      <c r="AK16" s="100"/>
      <c r="AL16" s="103"/>
      <c r="AM16" s="103"/>
      <c r="AN16" s="102">
        <f>IFERROR(ROUND((VLOOKUP($A16,'Из ГУГЛа'!$B:$Z,AN$1,0)+AP16)*AO16,),VLOOKUP($A16,'Из ГУГЛа'!$B:$Z,AN$1,0))</f>
        <v>0</v>
      </c>
      <c r="AO16" s="100">
        <v>1</v>
      </c>
      <c r="AP16" s="100"/>
      <c r="AQ16" s="103"/>
      <c r="AR16" s="103"/>
    </row>
    <row r="17" spans="1:44" ht="40.5" thickTop="1" thickBot="1" x14ac:dyDescent="0.3">
      <c r="A17" s="57">
        <v>145007</v>
      </c>
      <c r="B17" s="57">
        <f>VLOOKUP($A17,'Выгр Кат'!$A:$T,B$1,0)</f>
        <v>13436</v>
      </c>
      <c r="C17" s="58" t="str">
        <f>VLOOKUP($A17,'Выгр Кат'!$A:$T,C$1,0)</f>
        <v>Жгут проводов форсунок для Лада Нива 4х4</v>
      </c>
      <c r="D17" s="57" t="str">
        <f>VLOOKUP($A17,'Выгр Кат'!$A:$T,D$1,0)</f>
        <v>Y</v>
      </c>
      <c r="E17" s="57" t="str">
        <f>VLOOKUP($A17,'Выгр Кат'!$A:$T,E$1,0)</f>
        <v>1</v>
      </c>
      <c r="F17" s="57">
        <f>VLOOKUP($A17,'Выгр Кат'!$A:$T,F$1,0)</f>
        <v>0</v>
      </c>
      <c r="G17" s="57" t="str">
        <f>VLOOKUP($A17,'Выгр Кат'!$A:$T,G$1,0)</f>
        <v>212143724036</v>
      </c>
      <c r="H17" s="57" t="str">
        <f>VLOOKUP($A17,'Выгр Кат'!$A:$T,H$1,0)</f>
        <v>21214-3724036</v>
      </c>
      <c r="I17" s="39" t="s">
        <v>674</v>
      </c>
      <c r="J17" s="1" t="s">
        <v>526</v>
      </c>
      <c r="K17" s="47">
        <f>VLOOKUP(I17,Прайс!A:E,5,0)</f>
        <v>450</v>
      </c>
      <c r="L17" s="7">
        <f>VLOOKUP(K17,Наценка!$A$1:$B$8,2,1)</f>
        <v>1.75</v>
      </c>
      <c r="M17" s="44">
        <f t="shared" si="0"/>
        <v>787.5</v>
      </c>
      <c r="N17" s="62">
        <f t="shared" si="9"/>
        <v>789</v>
      </c>
      <c r="O17" s="60">
        <f>VLOOKUP($A17,'Выгр Кат'!$A:$P,O$1,0)</f>
        <v>400</v>
      </c>
      <c r="P17" s="60">
        <f>VLOOKUP($A17,'Выгр Кат'!$A:$P,P$1,0)</f>
        <v>659</v>
      </c>
      <c r="Q17" s="73">
        <f t="shared" si="2"/>
        <v>-50</v>
      </c>
      <c r="R17" s="73">
        <f t="shared" si="3"/>
        <v>-130</v>
      </c>
      <c r="S17" s="97">
        <f t="shared" si="4"/>
        <v>789</v>
      </c>
      <c r="T17" s="98">
        <f t="shared" si="5"/>
        <v>0.75333333333333341</v>
      </c>
      <c r="U17" s="98">
        <f t="shared" si="6"/>
        <v>-0.94334975369458129</v>
      </c>
      <c r="V17" s="98">
        <f t="shared" si="7"/>
        <v>-9.7777777777777741E-2</v>
      </c>
      <c r="W17" s="106">
        <f t="shared" si="12"/>
        <v>406</v>
      </c>
      <c r="X17" s="102">
        <f>IFERROR(ROUND((VLOOKUP($A17,'Из ГУГЛа'!$B:$Z,X$1,0)+Z17)*Y17,),VLOOKUP($A17,'Из ГУГЛа'!$B:$Z,X$1,0))</f>
        <v>690</v>
      </c>
      <c r="Y17" s="75">
        <v>1</v>
      </c>
      <c r="Z17" s="75">
        <v>0</v>
      </c>
      <c r="AA17" s="63">
        <v>690</v>
      </c>
      <c r="AB17" s="63" t="s">
        <v>1215</v>
      </c>
      <c r="AC17" s="48" t="s">
        <v>1138</v>
      </c>
      <c r="AD17" s="102">
        <f>IFERROR(ROUND((VLOOKUP($A17,'Из ГУГЛа'!$B:$Z,AD$1,0)+AF17)*AE17,),VLOOKUP($A17,'Из ГУГЛа'!$B:$Z,AD$1,0))</f>
        <v>0</v>
      </c>
      <c r="AE17" s="100">
        <v>1</v>
      </c>
      <c r="AF17" s="100"/>
      <c r="AG17" s="103">
        <v>406</v>
      </c>
      <c r="AH17" s="103" t="s">
        <v>1872</v>
      </c>
      <c r="AI17" s="102">
        <f>IFERROR(ROUND((VLOOKUP($A17,'Из ГУГЛа'!$B:$Z,AI$1,0)+AK17)*AJ17,),VLOOKUP($A17,'Из ГУГЛа'!$B:$Z,AI$1,0))</f>
        <v>0</v>
      </c>
      <c r="AJ17" s="100">
        <v>1</v>
      </c>
      <c r="AK17" s="100"/>
      <c r="AL17" s="103"/>
      <c r="AM17" s="103"/>
      <c r="AN17" s="102">
        <f>IFERROR(ROUND((VLOOKUP($A17,'Из ГУГЛа'!$B:$Z,AN$1,0)+AP17)*AO17,),VLOOKUP($A17,'Из ГУГЛа'!$B:$Z,AN$1,0))</f>
        <v>0</v>
      </c>
      <c r="AO17" s="100">
        <v>1</v>
      </c>
      <c r="AP17" s="100"/>
      <c r="AQ17" s="103"/>
      <c r="AR17" s="103"/>
    </row>
    <row r="18" spans="1:44" ht="40.5" thickTop="1" thickBot="1" x14ac:dyDescent="0.3">
      <c r="A18" s="57">
        <v>145008</v>
      </c>
      <c r="B18" s="57">
        <f>VLOOKUP($A18,'Выгр Кат'!$A:$T,B$1,0)</f>
        <v>13412</v>
      </c>
      <c r="C18" s="58" t="str">
        <f>VLOOKUP($A18,'Выгр Кат'!$A:$T,C$1,0)</f>
        <v>Жгут проводов форсунок для Шевроле Нива</v>
      </c>
      <c r="D18" s="57" t="str">
        <f>VLOOKUP($A18,'Выгр Кат'!$A:$T,D$1,0)</f>
        <v>Y</v>
      </c>
      <c r="E18" s="57" t="str">
        <f>VLOOKUP($A18,'Выгр Кат'!$A:$T,E$1,0)</f>
        <v>1</v>
      </c>
      <c r="F18" s="57">
        <f>VLOOKUP($A18,'Выгр Кат'!$A:$T,F$1,0)</f>
        <v>0</v>
      </c>
      <c r="G18" s="57" t="str">
        <f>VLOOKUP($A18,'Выгр Кат'!$A:$T,G$1,0)</f>
        <v>21233724036</v>
      </c>
      <c r="H18" s="57" t="str">
        <f>VLOOKUP($A18,'Выгр Кат'!$A:$T,H$1,0)</f>
        <v>2123-3724036</v>
      </c>
      <c r="I18" s="39" t="s">
        <v>688</v>
      </c>
      <c r="J18" s="1" t="s">
        <v>526</v>
      </c>
      <c r="K18" s="47">
        <f>VLOOKUP(I18,Прайс!A:E,5,0)</f>
        <v>450</v>
      </c>
      <c r="L18" s="7">
        <f>VLOOKUP(K18,Наценка!$A$1:$B$8,2,1)</f>
        <v>1.75</v>
      </c>
      <c r="M18" s="44">
        <f t="shared" si="0"/>
        <v>787.5</v>
      </c>
      <c r="N18" s="62">
        <f t="shared" si="9"/>
        <v>789</v>
      </c>
      <c r="O18" s="60">
        <f>VLOOKUP($A18,'Выгр Кат'!$A:$P,O$1,0)</f>
        <v>400</v>
      </c>
      <c r="P18" s="60">
        <f>VLOOKUP($A18,'Выгр Кат'!$A:$P,P$1,0)</f>
        <v>659</v>
      </c>
      <c r="Q18" s="73">
        <f t="shared" si="2"/>
        <v>-50</v>
      </c>
      <c r="R18" s="73">
        <f t="shared" si="3"/>
        <v>-130</v>
      </c>
      <c r="S18" s="97">
        <f t="shared" si="4"/>
        <v>789</v>
      </c>
      <c r="T18" s="98">
        <f t="shared" si="5"/>
        <v>0.75333333333333341</v>
      </c>
      <c r="U18" s="98">
        <f t="shared" si="6"/>
        <v>-0.28084415584415584</v>
      </c>
      <c r="V18" s="98">
        <f t="shared" si="7"/>
        <v>0.36888888888888882</v>
      </c>
      <c r="W18" s="106">
        <f t="shared" si="12"/>
        <v>616</v>
      </c>
      <c r="X18" s="102">
        <f>IFERROR(ROUND((VLOOKUP($A18,'Из ГУГЛа'!$B:$Z,X$1,0)+Z18)*Y18,),VLOOKUP($A18,'Из ГУГЛа'!$B:$Z,X$1,0))</f>
        <v>690</v>
      </c>
      <c r="Y18" s="75">
        <v>1</v>
      </c>
      <c r="Z18" s="75">
        <v>0</v>
      </c>
      <c r="AA18" s="63">
        <v>690</v>
      </c>
      <c r="AB18" s="63" t="s">
        <v>1215</v>
      </c>
      <c r="AC18" s="48" t="s">
        <v>1137</v>
      </c>
      <c r="AD18" s="102">
        <f>IFERROR(ROUND((VLOOKUP($A18,'Из ГУГЛа'!$B:$Z,AD$1,0)+AF18)*AE18,),VLOOKUP($A18,'Из ГУГЛа'!$B:$Z,AD$1,0))</f>
        <v>0</v>
      </c>
      <c r="AE18" s="100">
        <v>1</v>
      </c>
      <c r="AF18" s="100"/>
      <c r="AG18" s="103">
        <v>616</v>
      </c>
      <c r="AH18" s="103" t="s">
        <v>1873</v>
      </c>
      <c r="AI18" s="102">
        <f>IFERROR(ROUND((VLOOKUP($A18,'Из ГУГЛа'!$B:$Z,AI$1,0)+AK18)*AJ18,),VLOOKUP($A18,'Из ГУГЛа'!$B:$Z,AI$1,0))</f>
        <v>0</v>
      </c>
      <c r="AJ18" s="100">
        <v>1</v>
      </c>
      <c r="AK18" s="100"/>
      <c r="AL18" s="103"/>
      <c r="AM18" s="103"/>
      <c r="AN18" s="102">
        <f>IFERROR(ROUND((VLOOKUP($A18,'Из ГУГЛа'!$B:$Z,AN$1,0)+AP18)*AO18,),VLOOKUP($A18,'Из ГУГЛа'!$B:$Z,AN$1,0))</f>
        <v>0</v>
      </c>
      <c r="AO18" s="100">
        <v>1</v>
      </c>
      <c r="AP18" s="100"/>
      <c r="AQ18" s="103"/>
      <c r="AR18" s="103"/>
    </row>
    <row r="19" spans="1:44" ht="53.25" thickTop="1" thickBot="1" x14ac:dyDescent="0.3">
      <c r="A19" s="57">
        <v>163978</v>
      </c>
      <c r="B19" s="57">
        <f>VLOOKUP($A19,'Выгр Кат'!$A:$T,B$1,0)</f>
        <v>14185</v>
      </c>
      <c r="C19" s="58" t="str">
        <f>VLOOKUP($A19,'Выгр Кат'!$A:$T,C$1,0)</f>
        <v>Минусовой провод массы для ВАЗ 2101-2107</v>
      </c>
      <c r="D19" s="57" t="str">
        <f>VLOOKUP($A19,'Выгр Кат'!$A:$T,D$1,0)</f>
        <v>Y</v>
      </c>
      <c r="E19" s="57" t="str">
        <f>VLOOKUP($A19,'Выгр Кат'!$A:$T,E$1,0)</f>
        <v>1</v>
      </c>
      <c r="F19" s="57">
        <f>VLOOKUP($A19,'Выгр Кат'!$A:$T,F$1,0)</f>
        <v>0</v>
      </c>
      <c r="G19" s="57" t="str">
        <f>VLOOKUP($A19,'Выгр Кат'!$A:$T,G$1,0)</f>
        <v>210443724080</v>
      </c>
      <c r="H19" s="57" t="str">
        <f>VLOOKUP($A19,'Выгр Кат'!$A:$T,H$1,0)</f>
        <v>21044-3724080</v>
      </c>
      <c r="I19" s="64" t="s">
        <v>1858</v>
      </c>
      <c r="J19" s="1" t="s">
        <v>526</v>
      </c>
      <c r="K19" s="47">
        <f>VLOOKUP(I19,Прайс!A:E,5,0)</f>
        <v>400</v>
      </c>
      <c r="L19" s="7">
        <f>VLOOKUP(K19,Наценка!$A$1:$B$8,2,1)</f>
        <v>1.75</v>
      </c>
      <c r="M19" s="44">
        <f t="shared" si="0"/>
        <v>700</v>
      </c>
      <c r="N19" s="62">
        <f t="shared" si="9"/>
        <v>699</v>
      </c>
      <c r="O19" s="60">
        <f>VLOOKUP($A19,'Выгр Кат'!$A:$P,O$1,0)</f>
        <v>400</v>
      </c>
      <c r="P19" s="60">
        <f>VLOOKUP($A19,'Выгр Кат'!$A:$P,P$1,0)</f>
        <v>699</v>
      </c>
      <c r="Q19" s="73">
        <f t="shared" si="2"/>
        <v>0</v>
      </c>
      <c r="R19" s="73">
        <f t="shared" si="3"/>
        <v>0</v>
      </c>
      <c r="S19" s="97">
        <f t="shared" si="4"/>
        <v>699</v>
      </c>
      <c r="T19" s="98">
        <f t="shared" si="5"/>
        <v>0.74750000000000005</v>
      </c>
      <c r="U19" s="98" t="str">
        <f t="shared" si="6"/>
        <v/>
      </c>
      <c r="V19" s="98" t="str">
        <f t="shared" si="7"/>
        <v/>
      </c>
      <c r="W19" s="99"/>
      <c r="X19" s="102" t="str">
        <f>IFERROR(ROUND((VLOOKUP($A19,'Из ГУГЛа'!$B:$Z,X$1,0)+Z19)*Y19,),VLOOKUP($A19,'Из ГУГЛа'!$B:$Z,X$1,0))</f>
        <v/>
      </c>
      <c r="Y19" s="75">
        <v>1</v>
      </c>
      <c r="Z19" s="75">
        <v>0</v>
      </c>
      <c r="AA19" s="63" t="s">
        <v>1120</v>
      </c>
      <c r="AB19" s="80"/>
      <c r="AD19" s="102">
        <f>IFERROR(ROUND((VLOOKUP($A19,'Из ГУГЛа'!$B:$Z,AD$1,0)+AF19)*AE19,),VLOOKUP($A19,'Из ГУГЛа'!$B:$Z,AD$1,0))</f>
        <v>0</v>
      </c>
      <c r="AE19" s="100">
        <v>1</v>
      </c>
      <c r="AF19" s="100"/>
      <c r="AG19" s="103" t="s">
        <v>1017</v>
      </c>
      <c r="AH19" s="103"/>
      <c r="AI19" s="102">
        <f>IFERROR(ROUND((VLOOKUP($A19,'Из ГУГЛа'!$B:$Z,AI$1,0)+AK19)*AJ19,),VLOOKUP($A19,'Из ГУГЛа'!$B:$Z,AI$1,0))</f>
        <v>0</v>
      </c>
      <c r="AJ19" s="100">
        <v>1</v>
      </c>
      <c r="AK19" s="100"/>
      <c r="AL19" s="103"/>
      <c r="AM19" s="103"/>
      <c r="AN19" s="102">
        <f>IFERROR(ROUND((VLOOKUP($A19,'Из ГУГЛа'!$B:$Z,AN$1,0)+AP19)*AO19,),VLOOKUP($A19,'Из ГУГЛа'!$B:$Z,AN$1,0))</f>
        <v>0</v>
      </c>
      <c r="AO19" s="100">
        <v>1</v>
      </c>
      <c r="AP19" s="100"/>
      <c r="AQ19" s="103"/>
      <c r="AR19" s="103"/>
    </row>
    <row r="20" spans="1:44" ht="40.5" thickTop="1" thickBot="1" x14ac:dyDescent="0.3">
      <c r="A20" s="57">
        <v>144828</v>
      </c>
      <c r="B20" s="57">
        <f>VLOOKUP($A20,'Выгр Кат'!$A:$T,B$1,0)</f>
        <v>13432</v>
      </c>
      <c r="C20" s="58" t="str">
        <f>VLOOKUP($A20,'Выгр Кат'!$A:$T,C$1,0)</f>
        <v>Жгут проводов габаритов и ходовых огней для Лада Нива 4х4</v>
      </c>
      <c r="D20" s="57" t="str">
        <f>VLOOKUP($A20,'Выгр Кат'!$A:$T,D$1,0)</f>
        <v>Y</v>
      </c>
      <c r="E20" s="57" t="str">
        <f>VLOOKUP($A20,'Выгр Кат'!$A:$T,E$1,0)</f>
        <v>1</v>
      </c>
      <c r="F20" s="57">
        <f>VLOOKUP($A20,'Выгр Кат'!$A:$T,F$1,0)</f>
        <v>0</v>
      </c>
      <c r="G20" s="57" t="str">
        <f>VLOOKUP($A20,'Выгр Кат'!$A:$T,G$1,0)</f>
        <v>21214371254002</v>
      </c>
      <c r="H20" s="57" t="str">
        <f>VLOOKUP($A20,'Выгр Кат'!$A:$T,H$1,0)</f>
        <v>21214-3712540</v>
      </c>
      <c r="I20" s="39" t="s">
        <v>870</v>
      </c>
      <c r="J20" s="1" t="s">
        <v>526</v>
      </c>
      <c r="K20" s="47">
        <f>VLOOKUP(I20,Прайс!A:E,5,0)</f>
        <v>400</v>
      </c>
      <c r="L20" s="7">
        <f>VLOOKUP(K20,Наценка!$A$1:$B$8,2,1)</f>
        <v>1.75</v>
      </c>
      <c r="M20" s="44">
        <f t="shared" si="0"/>
        <v>700</v>
      </c>
      <c r="N20" s="62">
        <f t="shared" si="9"/>
        <v>699</v>
      </c>
      <c r="O20" s="60">
        <f>VLOOKUP($A20,'Выгр Кат'!$A:$P,O$1,0)</f>
        <v>400</v>
      </c>
      <c r="P20" s="60">
        <f>VLOOKUP($A20,'Выгр Кат'!$A:$P,P$1,0)</f>
        <v>659</v>
      </c>
      <c r="Q20" s="73">
        <f t="shared" si="2"/>
        <v>0</v>
      </c>
      <c r="R20" s="73">
        <f t="shared" si="3"/>
        <v>-40</v>
      </c>
      <c r="S20" s="97">
        <f t="shared" si="4"/>
        <v>699</v>
      </c>
      <c r="T20" s="98">
        <f t="shared" si="5"/>
        <v>0.74750000000000005</v>
      </c>
      <c r="U20" s="98">
        <f t="shared" si="6"/>
        <v>-1.3043478260869565E-2</v>
      </c>
      <c r="V20" s="98">
        <f t="shared" si="7"/>
        <v>0.72500000000000009</v>
      </c>
      <c r="W20" s="106">
        <f t="shared" ref="W20:W22" si="13">MIN(AA20,AG20,AL20,AQ20)</f>
        <v>690</v>
      </c>
      <c r="X20" s="102">
        <f>IFERROR(ROUND((VLOOKUP($A20,'Из ГУГЛа'!$B:$Z,X$1,0)+Z20)*Y20,),VLOOKUP($A20,'Из ГУГЛа'!$B:$Z,X$1,0))</f>
        <v>690</v>
      </c>
      <c r="Y20" s="75">
        <v>1</v>
      </c>
      <c r="Z20" s="75">
        <v>0</v>
      </c>
      <c r="AA20" s="63">
        <v>690</v>
      </c>
      <c r="AB20" s="63" t="s">
        <v>1215</v>
      </c>
      <c r="AC20" s="48" t="s">
        <v>1136</v>
      </c>
      <c r="AD20" s="102">
        <f>IFERROR(ROUND((VLOOKUP($A20,'Из ГУГЛа'!$B:$Z,AD$1,0)+AF20)*AE20,),VLOOKUP($A20,'Из ГУГЛа'!$B:$Z,AD$1,0))</f>
        <v>0</v>
      </c>
      <c r="AE20" s="100">
        <v>1</v>
      </c>
      <c r="AF20" s="100"/>
      <c r="AG20" s="103">
        <v>879</v>
      </c>
      <c r="AH20" s="103" t="s">
        <v>1874</v>
      </c>
      <c r="AI20" s="102">
        <f>IFERROR(ROUND((VLOOKUP($A20,'Из ГУГЛа'!$B:$Z,AI$1,0)+AK20)*AJ20,),VLOOKUP($A20,'Из ГУГЛа'!$B:$Z,AI$1,0))</f>
        <v>0</v>
      </c>
      <c r="AJ20" s="100">
        <v>1</v>
      </c>
      <c r="AK20" s="100"/>
      <c r="AL20" s="103"/>
      <c r="AM20" s="103"/>
      <c r="AN20" s="102">
        <f>IFERROR(ROUND((VLOOKUP($A20,'Из ГУГЛа'!$B:$Z,AN$1,0)+AP20)*AO20,),VLOOKUP($A20,'Из ГУГЛа'!$B:$Z,AN$1,0))</f>
        <v>0</v>
      </c>
      <c r="AO20" s="100">
        <v>1</v>
      </c>
      <c r="AP20" s="100"/>
      <c r="AQ20" s="103"/>
      <c r="AR20" s="103"/>
    </row>
    <row r="21" spans="1:44" ht="27.75" thickTop="1" thickBot="1" x14ac:dyDescent="0.3">
      <c r="A21" s="57">
        <v>155900</v>
      </c>
      <c r="B21" s="57">
        <f>VLOOKUP($A21,'Выгр Кат'!$A:$T,B$1,0)</f>
        <v>13315</v>
      </c>
      <c r="C21" s="58" t="str">
        <f>VLOOKUP($A21,'Выгр Кат'!$A:$T,C$1,0)</f>
        <v>Клемма + евро для Лада Калина</v>
      </c>
      <c r="D21" s="57" t="str">
        <f>VLOOKUP($A21,'Выгр Кат'!$A:$T,D$1,0)</f>
        <v>Y</v>
      </c>
      <c r="E21" s="57" t="str">
        <f>VLOOKUP($A21,'Выгр Кат'!$A:$T,E$1,0)</f>
        <v>1</v>
      </c>
      <c r="F21" s="57">
        <f>VLOOKUP($A21,'Выгр Кат'!$A:$T,F$1,0)</f>
        <v>0</v>
      </c>
      <c r="G21" s="57" t="str">
        <f>VLOOKUP($A21,'Выгр Кат'!$A:$T,G$1,0)</f>
        <v>11183724070</v>
      </c>
      <c r="H21" s="57" t="str">
        <f>VLOOKUP($A21,'Выгр Кат'!$A:$T,H$1,0)</f>
        <v>1118-3724070</v>
      </c>
      <c r="I21" s="64" t="s">
        <v>644</v>
      </c>
      <c r="J21" s="1" t="s">
        <v>526</v>
      </c>
      <c r="K21" s="47">
        <f>VLOOKUP(I21,Прайс!A:E,5,0)</f>
        <v>500</v>
      </c>
      <c r="L21" s="7">
        <f>VLOOKUP(K21,Наценка!$A$1:$B$8,2,1)</f>
        <v>1.63</v>
      </c>
      <c r="M21" s="44">
        <f t="shared" si="0"/>
        <v>815</v>
      </c>
      <c r="N21" s="62">
        <f t="shared" si="9"/>
        <v>819</v>
      </c>
      <c r="O21" s="60">
        <f>VLOOKUP($A21,'Выгр Кат'!$A:$P,O$1,0)</f>
        <v>500</v>
      </c>
      <c r="P21" s="60">
        <f>VLOOKUP($A21,'Выгр Кат'!$A:$P,P$1,0)</f>
        <v>859</v>
      </c>
      <c r="Q21" s="73">
        <f t="shared" si="2"/>
        <v>0</v>
      </c>
      <c r="R21" s="73">
        <f t="shared" si="3"/>
        <v>40</v>
      </c>
      <c r="S21" s="97">
        <f t="shared" si="4"/>
        <v>819</v>
      </c>
      <c r="T21" s="98">
        <f t="shared" si="5"/>
        <v>0.6379999999999999</v>
      </c>
      <c r="U21" s="98">
        <f t="shared" si="6"/>
        <v>-0.11885245901639344</v>
      </c>
      <c r="V21" s="98">
        <f t="shared" si="7"/>
        <v>0.46399999999999997</v>
      </c>
      <c r="W21" s="106">
        <f t="shared" si="13"/>
        <v>732</v>
      </c>
      <c r="X21" s="102">
        <f>IFERROR(ROUND((VLOOKUP($A21,'Из ГУГЛа'!$B:$Z,X$1,0)+Z21)*Y21,),VLOOKUP($A21,'Из ГУГЛа'!$B:$Z,X$1,0))</f>
        <v>890</v>
      </c>
      <c r="Y21" s="75">
        <v>1</v>
      </c>
      <c r="Z21" s="75">
        <v>0</v>
      </c>
      <c r="AA21" s="63">
        <v>890</v>
      </c>
      <c r="AB21" s="63" t="s">
        <v>1215</v>
      </c>
      <c r="AC21" s="48" t="s">
        <v>1135</v>
      </c>
      <c r="AD21" s="102">
        <f>IFERROR(ROUND((VLOOKUP($A21,'Из ГУГЛа'!$B:$Z,AD$1,0)+AF21)*AE21,),VLOOKUP($A21,'Из ГУГЛа'!$B:$Z,AD$1,0))</f>
        <v>0</v>
      </c>
      <c r="AE21" s="100">
        <v>1</v>
      </c>
      <c r="AF21" s="100"/>
      <c r="AG21" s="103">
        <v>732</v>
      </c>
      <c r="AH21" s="103" t="s">
        <v>1875</v>
      </c>
      <c r="AI21" s="102">
        <f>IFERROR(ROUND((VLOOKUP($A21,'Из ГУГЛа'!$B:$Z,AI$1,0)+AK21)*AJ21,),VLOOKUP($A21,'Из ГУГЛа'!$B:$Z,AI$1,0))</f>
        <v>0</v>
      </c>
      <c r="AJ21" s="100">
        <v>1</v>
      </c>
      <c r="AK21" s="100"/>
      <c r="AL21" s="103"/>
      <c r="AM21" s="103"/>
      <c r="AN21" s="102">
        <f>IFERROR(ROUND((VLOOKUP($A21,'Из ГУГЛа'!$B:$Z,AN$1,0)+AP21)*AO21,),VLOOKUP($A21,'Из ГУГЛа'!$B:$Z,AN$1,0))</f>
        <v>0</v>
      </c>
      <c r="AO21" s="100">
        <v>1</v>
      </c>
      <c r="AP21" s="100"/>
      <c r="AQ21" s="103"/>
      <c r="AR21" s="103"/>
    </row>
    <row r="22" spans="1:44" ht="40.5" thickTop="1" thickBot="1" x14ac:dyDescent="0.3">
      <c r="A22" s="57">
        <v>144837</v>
      </c>
      <c r="B22" s="57">
        <f>VLOOKUP($A22,'Выгр Кат'!$A:$T,B$1,0)</f>
        <v>13316</v>
      </c>
      <c r="C22" s="58" t="str">
        <f>VLOOKUP($A22,'Выгр Кат'!$A:$T,C$1,0)</f>
        <v>Жгут проводов задней двери для Лада Калина</v>
      </c>
      <c r="D22" s="57" t="str">
        <f>VLOOKUP($A22,'Выгр Кат'!$A:$T,D$1,0)</f>
        <v>Y</v>
      </c>
      <c r="E22" s="57" t="str">
        <f>VLOOKUP($A22,'Выгр Кат'!$A:$T,E$1,0)</f>
        <v>1</v>
      </c>
      <c r="F22" s="57">
        <f>VLOOKUP($A22,'Выгр Кат'!$A:$T,F$1,0)</f>
        <v>0</v>
      </c>
      <c r="G22" s="57" t="str">
        <f>VLOOKUP($A22,'Выгр Кат'!$A:$T,G$1,0)</f>
        <v>1118372455010</v>
      </c>
      <c r="H22" s="57" t="str">
        <f>VLOOKUP($A22,'Выгр Кат'!$A:$T,H$1,0)</f>
        <v>1118-3724550</v>
      </c>
      <c r="I22" s="39" t="s">
        <v>646</v>
      </c>
      <c r="J22" s="1" t="s">
        <v>526</v>
      </c>
      <c r="K22" s="47">
        <f>VLOOKUP(I22,Прайс!A:E,5,0)</f>
        <v>400</v>
      </c>
      <c r="L22" s="7">
        <f>VLOOKUP(K22,Наценка!$A$1:$B$8,2,1)</f>
        <v>1.75</v>
      </c>
      <c r="M22" s="44">
        <f t="shared" si="0"/>
        <v>700</v>
      </c>
      <c r="N22" s="62">
        <f t="shared" si="9"/>
        <v>699</v>
      </c>
      <c r="O22" s="60">
        <f>VLOOKUP($A22,'Выгр Кат'!$A:$P,O$1,0)</f>
        <v>400</v>
      </c>
      <c r="P22" s="60">
        <f>VLOOKUP($A22,'Выгр Кат'!$A:$P,P$1,0)</f>
        <v>659</v>
      </c>
      <c r="Q22" s="73">
        <f t="shared" si="2"/>
        <v>0</v>
      </c>
      <c r="R22" s="73">
        <f t="shared" si="3"/>
        <v>-40</v>
      </c>
      <c r="S22" s="97">
        <f t="shared" si="4"/>
        <v>699</v>
      </c>
      <c r="T22" s="98">
        <f t="shared" si="5"/>
        <v>0.74750000000000005</v>
      </c>
      <c r="U22" s="98">
        <f t="shared" si="6"/>
        <v>-1.3043478260869565E-2</v>
      </c>
      <c r="V22" s="98">
        <f t="shared" si="7"/>
        <v>0.72500000000000009</v>
      </c>
      <c r="W22" s="106">
        <f t="shared" si="13"/>
        <v>690</v>
      </c>
      <c r="X22" s="102">
        <f>IFERROR(ROUND((VLOOKUP($A22,'Из ГУГЛа'!$B:$Z,X$1,0)+Z22)*Y22,),VLOOKUP($A22,'Из ГУГЛа'!$B:$Z,X$1,0))</f>
        <v>690</v>
      </c>
      <c r="Y22" s="75">
        <v>1</v>
      </c>
      <c r="Z22" s="75">
        <v>0</v>
      </c>
      <c r="AA22" s="63">
        <v>690</v>
      </c>
      <c r="AB22" s="63" t="s">
        <v>1215</v>
      </c>
      <c r="AC22" s="48" t="s">
        <v>1134</v>
      </c>
      <c r="AD22" s="102">
        <f>IFERROR(ROUND((VLOOKUP($A22,'Из ГУГЛа'!$B:$Z,AD$1,0)+AF22)*AE22,),VLOOKUP($A22,'Из ГУГЛа'!$B:$Z,AD$1,0))</f>
        <v>0</v>
      </c>
      <c r="AE22" s="100">
        <v>1</v>
      </c>
      <c r="AF22" s="100"/>
      <c r="AG22" s="103">
        <v>806</v>
      </c>
      <c r="AH22" s="103" t="s">
        <v>1876</v>
      </c>
      <c r="AI22" s="102">
        <f>IFERROR(ROUND((VLOOKUP($A22,'Из ГУГЛа'!$B:$Z,AI$1,0)+AK22)*AJ22,),VLOOKUP($A22,'Из ГУГЛа'!$B:$Z,AI$1,0))</f>
        <v>0</v>
      </c>
      <c r="AJ22" s="100">
        <v>1</v>
      </c>
      <c r="AK22" s="100"/>
      <c r="AL22" s="103"/>
      <c r="AM22" s="103"/>
      <c r="AN22" s="102">
        <f>IFERROR(ROUND((VLOOKUP($A22,'Из ГУГЛа'!$B:$Z,AN$1,0)+AP22)*AO22,),VLOOKUP($A22,'Из ГУГЛа'!$B:$Z,AN$1,0))</f>
        <v>0</v>
      </c>
      <c r="AO22" s="100">
        <v>1</v>
      </c>
      <c r="AP22" s="100"/>
      <c r="AQ22" s="103"/>
      <c r="AR22" s="103"/>
    </row>
    <row r="23" spans="1:44" ht="40.5" thickTop="1" thickBot="1" x14ac:dyDescent="0.3">
      <c r="A23" s="57">
        <v>202564</v>
      </c>
      <c r="B23" s="57">
        <f>VLOOKUP($A23,'Выгр Кат'!$A:$T,B$1,0)</f>
        <v>13425</v>
      </c>
      <c r="C23" s="58" t="str">
        <f>VLOOKUP($A23,'Выгр Кат'!$A:$T,C$1,0)</f>
        <v>Разъем предохранителей на 4шт на Лада 4х4</v>
      </c>
      <c r="D23" s="57" t="str">
        <f>VLOOKUP($A23,'Выгр Кат'!$A:$T,D$1,0)</f>
        <v>Y</v>
      </c>
      <c r="E23" s="57" t="str">
        <f>VLOOKUP($A23,'Выгр Кат'!$A:$T,E$1,0)</f>
        <v>1</v>
      </c>
      <c r="F23" s="57">
        <f>VLOOKUP($A23,'Выгр Кат'!$A:$T,F$1,0)</f>
        <v>0</v>
      </c>
      <c r="G23" s="57">
        <f>VLOOKUP($A23,'Выгр Кат'!$A:$T,G$1,0)</f>
        <v>0</v>
      </c>
      <c r="H23" s="57">
        <f>VLOOKUP($A23,'Выгр Кат'!$A:$T,H$1,0)</f>
        <v>0</v>
      </c>
      <c r="I23" s="39" t="s">
        <v>664</v>
      </c>
      <c r="J23" s="1" t="s">
        <v>526</v>
      </c>
      <c r="K23" s="47">
        <f>VLOOKUP(I23,Прайс!A:E,5,0)</f>
        <v>450</v>
      </c>
      <c r="L23" s="7">
        <f>VLOOKUP(K23,Наценка!$A$1:$B$8,2,1)</f>
        <v>1.75</v>
      </c>
      <c r="M23" s="44">
        <f t="shared" si="0"/>
        <v>787.5</v>
      </c>
      <c r="N23" s="62">
        <f t="shared" si="9"/>
        <v>789</v>
      </c>
      <c r="O23" s="60">
        <f>VLOOKUP($A23,'Выгр Кат'!$A:$P,O$1,0)</f>
        <v>450</v>
      </c>
      <c r="P23" s="60">
        <f>VLOOKUP($A23,'Выгр Кат'!$A:$P,P$1,0)</f>
        <v>759</v>
      </c>
      <c r="Q23" s="73">
        <f t="shared" si="2"/>
        <v>0</v>
      </c>
      <c r="R23" s="73">
        <f t="shared" si="3"/>
        <v>-30</v>
      </c>
      <c r="S23" s="97">
        <f t="shared" si="4"/>
        <v>789</v>
      </c>
      <c r="T23" s="98">
        <f t="shared" si="5"/>
        <v>0.75333333333333341</v>
      </c>
      <c r="U23" s="98" t="str">
        <f t="shared" si="6"/>
        <v/>
      </c>
      <c r="V23" s="98" t="str">
        <f t="shared" si="7"/>
        <v/>
      </c>
      <c r="W23" s="103"/>
      <c r="X23" s="102">
        <f>IFERROR(ROUND((VLOOKUP($A23,'Из ГУГЛа'!$B:$Z,X$1,0)+Z23)*Y23,),VLOOKUP($A23,'Из ГУГЛа'!$B:$Z,X$1,0))</f>
        <v>790</v>
      </c>
      <c r="Y23" s="75">
        <v>1</v>
      </c>
      <c r="Z23" s="75">
        <v>0</v>
      </c>
      <c r="AA23" s="63">
        <v>790</v>
      </c>
      <c r="AB23" s="63" t="s">
        <v>1215</v>
      </c>
      <c r="AC23" s="48" t="s">
        <v>1133</v>
      </c>
      <c r="AD23" s="102">
        <f>IFERROR(ROUND((VLOOKUP($A23,'Из ГУГЛа'!$B:$Z,AD$1,0)+AF23)*AE23,),VLOOKUP($A23,'Из ГУГЛа'!$B:$Z,AD$1,0))</f>
        <v>0</v>
      </c>
      <c r="AE23" s="100">
        <v>1</v>
      </c>
      <c r="AF23" s="100"/>
      <c r="AG23" s="103" t="s">
        <v>1017</v>
      </c>
      <c r="AH23" s="103"/>
      <c r="AI23" s="102">
        <f>IFERROR(ROUND((VLOOKUP($A23,'Из ГУГЛа'!$B:$Z,AI$1,0)+AK23)*AJ23,),VLOOKUP($A23,'Из ГУГЛа'!$B:$Z,AI$1,0))</f>
        <v>0</v>
      </c>
      <c r="AJ23" s="100">
        <v>1</v>
      </c>
      <c r="AK23" s="100"/>
      <c r="AL23" s="103"/>
      <c r="AM23" s="103"/>
      <c r="AN23" s="102">
        <f>IFERROR(ROUND((VLOOKUP($A23,'Из ГУГЛа'!$B:$Z,AN$1,0)+AP23)*AO23,),VLOOKUP($A23,'Из ГУГЛа'!$B:$Z,AN$1,0))</f>
        <v>0</v>
      </c>
      <c r="AO23" s="100">
        <v>1</v>
      </c>
      <c r="AP23" s="100"/>
      <c r="AQ23" s="103"/>
      <c r="AR23" s="103"/>
    </row>
    <row r="24" spans="1:44" ht="53.25" thickTop="1" thickBot="1" x14ac:dyDescent="0.3">
      <c r="A24" s="57">
        <v>144976</v>
      </c>
      <c r="B24" s="57">
        <f>VLOOKUP($A24,'Выгр Кат'!$A:$T,B$1,0)</f>
        <v>13229</v>
      </c>
      <c r="C24" s="58" t="str">
        <f>VLOOKUP($A24,'Выгр Кат'!$A:$T,C$1,0)</f>
        <v>Жгут проводов соединительный клемма + евро для ВАЗ 2101, 2105, 2107</v>
      </c>
      <c r="D24" s="57" t="str">
        <f>VLOOKUP($A24,'Выгр Кат'!$A:$T,D$1,0)</f>
        <v>Y</v>
      </c>
      <c r="E24" s="57" t="str">
        <f>VLOOKUP($A24,'Выгр Кат'!$A:$T,E$1,0)</f>
        <v>1</v>
      </c>
      <c r="F24" s="57">
        <f>VLOOKUP($A24,'Выгр Кат'!$A:$T,F$1,0)</f>
        <v>0</v>
      </c>
      <c r="G24" s="57" t="str">
        <f>VLOOKUP($A24,'Выгр Кат'!$A:$T,G$1,0)</f>
        <v>21013724070</v>
      </c>
      <c r="H24" s="57" t="str">
        <f>VLOOKUP($A24,'Выгр Кат'!$A:$T,H$1,0)</f>
        <v>2101-3724070, 2105-3724070, 2107-3724070</v>
      </c>
      <c r="I24" s="64" t="s">
        <v>571</v>
      </c>
      <c r="J24" s="1" t="s">
        <v>526</v>
      </c>
      <c r="K24" s="47">
        <f>VLOOKUP(I24,Прайс!A:E,5,0)</f>
        <v>500</v>
      </c>
      <c r="L24" s="7">
        <f>VLOOKUP(K24,Наценка!$A$1:$B$8,2,1)</f>
        <v>1.63</v>
      </c>
      <c r="M24" s="44">
        <f t="shared" si="0"/>
        <v>815</v>
      </c>
      <c r="N24" s="62">
        <f t="shared" si="9"/>
        <v>819</v>
      </c>
      <c r="O24" s="60">
        <f>VLOOKUP($A24,'Выгр Кат'!$A:$P,O$1,0)</f>
        <v>500</v>
      </c>
      <c r="P24" s="60">
        <f>VLOOKUP($A24,'Выгр Кат'!$A:$P,P$1,0)</f>
        <v>859</v>
      </c>
      <c r="Q24" s="73">
        <f t="shared" si="2"/>
        <v>0</v>
      </c>
      <c r="R24" s="73">
        <f t="shared" si="3"/>
        <v>40</v>
      </c>
      <c r="S24" s="97">
        <f t="shared" si="4"/>
        <v>819</v>
      </c>
      <c r="T24" s="98">
        <f t="shared" si="5"/>
        <v>0.6379999999999999</v>
      </c>
      <c r="U24" s="98">
        <f t="shared" si="6"/>
        <v>-0.60588235294117643</v>
      </c>
      <c r="V24" s="98">
        <f t="shared" si="7"/>
        <v>2.0000000000000018E-2</v>
      </c>
      <c r="W24" s="106">
        <f t="shared" ref="W24:W26" si="14">MIN(AA24,AG24,AL24,AQ24)</f>
        <v>510</v>
      </c>
      <c r="X24" s="102">
        <f>IFERROR(ROUND((VLOOKUP($A24,'Из ГУГЛа'!$B:$Z,X$1,0)+Z24)*Y24,),VLOOKUP($A24,'Из ГУГЛа'!$B:$Z,X$1,0))</f>
        <v>890</v>
      </c>
      <c r="Y24" s="75">
        <v>1</v>
      </c>
      <c r="Z24" s="75">
        <v>0</v>
      </c>
      <c r="AA24" s="85">
        <v>890</v>
      </c>
      <c r="AB24" s="63" t="s">
        <v>1215</v>
      </c>
      <c r="AC24" s="48" t="s">
        <v>775</v>
      </c>
      <c r="AD24" s="102">
        <f>IFERROR(ROUND((VLOOKUP($A24,'Из ГУГЛа'!$B:$Z,AD$1,0)+AF24)*AE24,),VLOOKUP($A24,'Из ГУГЛа'!$B:$Z,AD$1,0))</f>
        <v>0</v>
      </c>
      <c r="AE24" s="100">
        <v>1</v>
      </c>
      <c r="AF24" s="100"/>
      <c r="AG24" s="103">
        <v>510</v>
      </c>
      <c r="AH24" s="103" t="s">
        <v>1877</v>
      </c>
      <c r="AI24" s="102">
        <f>IFERROR(ROUND((VLOOKUP($A24,'Из ГУГЛа'!$B:$Z,AI$1,0)+AK24)*AJ24,),VLOOKUP($A24,'Из ГУГЛа'!$B:$Z,AI$1,0))</f>
        <v>0</v>
      </c>
      <c r="AJ24" s="100">
        <v>1</v>
      </c>
      <c r="AK24" s="100"/>
      <c r="AL24" s="103"/>
      <c r="AM24" s="103"/>
      <c r="AN24" s="102">
        <f>IFERROR(ROUND((VLOOKUP($A24,'Из ГУГЛа'!$B:$Z,AN$1,0)+AP24)*AO24,),VLOOKUP($A24,'Из ГУГЛа'!$B:$Z,AN$1,0))</f>
        <v>0</v>
      </c>
      <c r="AO24" s="100">
        <v>1</v>
      </c>
      <c r="AP24" s="100"/>
      <c r="AQ24" s="103"/>
      <c r="AR24" s="103"/>
    </row>
    <row r="25" spans="1:44" ht="40.5" thickTop="1" thickBot="1" x14ac:dyDescent="0.3">
      <c r="A25" s="57">
        <v>160436</v>
      </c>
      <c r="B25" s="57">
        <f>VLOOKUP($A25,'Выгр Кат'!$A:$T,B$1,0)</f>
        <v>13253</v>
      </c>
      <c r="C25" s="58" t="str">
        <f>VLOOKUP($A25,'Выгр Кат'!$A:$T,C$1,0)</f>
        <v>Жгут панели приборов для ВАЗ 2106</v>
      </c>
      <c r="D25" s="57" t="str">
        <f>VLOOKUP($A25,'Выгр Кат'!$A:$T,D$1,0)</f>
        <v>Y</v>
      </c>
      <c r="E25" s="57" t="str">
        <f>VLOOKUP($A25,'Выгр Кат'!$A:$T,E$1,0)</f>
        <v>1</v>
      </c>
      <c r="F25" s="57">
        <f>VLOOKUP($A25,'Выгр Кат'!$A:$T,F$1,0)</f>
        <v>0</v>
      </c>
      <c r="G25" s="57" t="str">
        <f>VLOOKUP($A25,'Выгр Кат'!$A:$T,G$1,0)</f>
        <v>21063724030</v>
      </c>
      <c r="H25" s="57" t="str">
        <f>VLOOKUP($A25,'Выгр Кат'!$A:$T,H$1,0)</f>
        <v>2106-3724030</v>
      </c>
      <c r="I25" s="64" t="s">
        <v>587</v>
      </c>
      <c r="J25" s="1" t="s">
        <v>526</v>
      </c>
      <c r="K25" s="47">
        <f>VLOOKUP(I25,Прайс!A:E,5,0)</f>
        <v>650</v>
      </c>
      <c r="L25" s="7">
        <f>VLOOKUP(K25,Наценка!$A$1:$B$8,2,1)</f>
        <v>1.63</v>
      </c>
      <c r="M25" s="44">
        <f t="shared" si="0"/>
        <v>1059.5</v>
      </c>
      <c r="N25" s="62">
        <f t="shared" si="9"/>
        <v>1090</v>
      </c>
      <c r="O25" s="60">
        <f>VLOOKUP($A25,'Выгр Кат'!$A:$P,O$1,0)</f>
        <v>600</v>
      </c>
      <c r="P25" s="60">
        <f>VLOOKUP($A25,'Выгр Кат'!$A:$P,P$1,0)</f>
        <v>959</v>
      </c>
      <c r="Q25" s="73">
        <f t="shared" si="2"/>
        <v>-50</v>
      </c>
      <c r="R25" s="73">
        <f t="shared" si="3"/>
        <v>-131</v>
      </c>
      <c r="S25" s="97">
        <f t="shared" si="4"/>
        <v>1090</v>
      </c>
      <c r="T25" s="98">
        <f t="shared" si="5"/>
        <v>0.67692307692307696</v>
      </c>
      <c r="U25" s="98">
        <f t="shared" si="6"/>
        <v>-0.33251833740831294</v>
      </c>
      <c r="V25" s="98">
        <f t="shared" si="7"/>
        <v>0.25846153846153852</v>
      </c>
      <c r="W25" s="106">
        <f t="shared" si="14"/>
        <v>818</v>
      </c>
      <c r="X25" s="102">
        <f>IFERROR(ROUND((VLOOKUP($A25,'Из ГУГЛа'!$B:$Z,X$1,0)+Z25)*Y25,),VLOOKUP($A25,'Из ГУГЛа'!$B:$Z,X$1,0))</f>
        <v>990</v>
      </c>
      <c r="Y25" s="75">
        <v>1</v>
      </c>
      <c r="Z25" s="75">
        <v>0</v>
      </c>
      <c r="AA25" s="63">
        <v>990</v>
      </c>
      <c r="AB25" s="63" t="s">
        <v>1215</v>
      </c>
      <c r="AC25" s="48" t="s">
        <v>776</v>
      </c>
      <c r="AD25" s="102">
        <f>IFERROR(ROUND((VLOOKUP($A25,'Из ГУГЛа'!$B:$Z,AD$1,0)+AF25)*AE25,),VLOOKUP($A25,'Из ГУГЛа'!$B:$Z,AD$1,0))</f>
        <v>0</v>
      </c>
      <c r="AE25" s="100">
        <v>1</v>
      </c>
      <c r="AF25" s="100"/>
      <c r="AG25" s="103">
        <v>818</v>
      </c>
      <c r="AH25" s="103" t="s">
        <v>1878</v>
      </c>
      <c r="AI25" s="102">
        <f>IFERROR(ROUND((VLOOKUP($A25,'Из ГУГЛа'!$B:$Z,AI$1,0)+AK25)*AJ25,),VLOOKUP($A25,'Из ГУГЛа'!$B:$Z,AI$1,0))</f>
        <v>0</v>
      </c>
      <c r="AJ25" s="100">
        <v>1</v>
      </c>
      <c r="AK25" s="100"/>
      <c r="AL25" s="103"/>
      <c r="AM25" s="103"/>
      <c r="AN25" s="102">
        <f>IFERROR(ROUND((VLOOKUP($A25,'Из ГУГЛа'!$B:$Z,AN$1,0)+AP25)*AO25,),VLOOKUP($A25,'Из ГУГЛа'!$B:$Z,AN$1,0))</f>
        <v>0</v>
      </c>
      <c r="AO25" s="100">
        <v>1</v>
      </c>
      <c r="AP25" s="100"/>
      <c r="AQ25" s="103"/>
      <c r="AR25" s="103"/>
    </row>
    <row r="26" spans="1:44" ht="53.25" thickTop="1" thickBot="1" x14ac:dyDescent="0.3">
      <c r="A26" s="57">
        <v>144977</v>
      </c>
      <c r="B26" s="57">
        <f>VLOOKUP($A26,'Выгр Кат'!$A:$T,B$1,0)</f>
        <v>13254</v>
      </c>
      <c r="C26" s="58" t="str">
        <f>VLOOKUP($A26,'Выгр Кат'!$A:$T,C$1,0)</f>
        <v>Жгут проводов соединительный клемма + евро для ВАЗ 2106</v>
      </c>
      <c r="D26" s="57" t="str">
        <f>VLOOKUP($A26,'Выгр Кат'!$A:$T,D$1,0)</f>
        <v>Y</v>
      </c>
      <c r="E26" s="57" t="str">
        <f>VLOOKUP($A26,'Выгр Кат'!$A:$T,E$1,0)</f>
        <v>1</v>
      </c>
      <c r="F26" s="57">
        <f>VLOOKUP($A26,'Выгр Кат'!$A:$T,F$1,0)</f>
        <v>0</v>
      </c>
      <c r="G26" s="57" t="str">
        <f>VLOOKUP($A26,'Выгр Кат'!$A:$T,G$1,0)</f>
        <v>21063724070</v>
      </c>
      <c r="H26" s="57" t="str">
        <f>VLOOKUP($A26,'Выгр Кат'!$A:$T,H$1,0)</f>
        <v>2106-3724070</v>
      </c>
      <c r="I26" s="39" t="s">
        <v>862</v>
      </c>
      <c r="J26" s="1" t="s">
        <v>526</v>
      </c>
      <c r="K26" s="47">
        <f>VLOOKUP(I26,Прайс!A:E,5,0)</f>
        <v>500</v>
      </c>
      <c r="L26" s="7">
        <f>VLOOKUP(K26,Наценка!$A$1:$B$8,2,1)</f>
        <v>1.63</v>
      </c>
      <c r="M26" s="44">
        <f t="shared" si="0"/>
        <v>815</v>
      </c>
      <c r="N26" s="62">
        <f t="shared" si="9"/>
        <v>819</v>
      </c>
      <c r="O26" s="60">
        <f>VLOOKUP($A26,'Выгр Кат'!$A:$P,O$1,0)</f>
        <v>500</v>
      </c>
      <c r="P26" s="60">
        <f>VLOOKUP($A26,'Выгр Кат'!$A:$P,P$1,0)</f>
        <v>859</v>
      </c>
      <c r="Q26" s="73">
        <f t="shared" si="2"/>
        <v>0</v>
      </c>
      <c r="R26" s="73">
        <f t="shared" si="3"/>
        <v>40</v>
      </c>
      <c r="S26" s="97">
        <f t="shared" si="4"/>
        <v>819</v>
      </c>
      <c r="T26" s="98">
        <f t="shared" si="5"/>
        <v>0.6379999999999999</v>
      </c>
      <c r="U26" s="98">
        <f t="shared" si="6"/>
        <v>-0.11732605729877217</v>
      </c>
      <c r="V26" s="98">
        <f t="shared" si="7"/>
        <v>0.46599999999999997</v>
      </c>
      <c r="W26" s="106">
        <f t="shared" si="14"/>
        <v>733</v>
      </c>
      <c r="X26" s="102">
        <f>IFERROR(ROUND((VLOOKUP($A26,'Из ГУГЛа'!$B:$Z,X$1,0)+Z26)*Y26,),VLOOKUP($A26,'Из ГУГЛа'!$B:$Z,X$1,0))</f>
        <v>890</v>
      </c>
      <c r="Y26" s="75">
        <v>1</v>
      </c>
      <c r="Z26" s="75">
        <v>0</v>
      </c>
      <c r="AA26" s="63">
        <v>890</v>
      </c>
      <c r="AB26" s="63" t="s">
        <v>1215</v>
      </c>
      <c r="AC26" s="48" t="s">
        <v>1132</v>
      </c>
      <c r="AD26" s="102">
        <f>IFERROR(ROUND((VLOOKUP($A26,'Из ГУГЛа'!$B:$Z,AD$1,0)+AF26)*AE26,),VLOOKUP($A26,'Из ГУГЛа'!$B:$Z,AD$1,0))</f>
        <v>0</v>
      </c>
      <c r="AE26" s="100">
        <v>1</v>
      </c>
      <c r="AF26" s="100"/>
      <c r="AG26" s="103">
        <v>733</v>
      </c>
      <c r="AH26" s="103" t="s">
        <v>1879</v>
      </c>
      <c r="AI26" s="102">
        <f>IFERROR(ROUND((VLOOKUP($A26,'Из ГУГЛа'!$B:$Z,AI$1,0)+AK26)*AJ26,),VLOOKUP($A26,'Из ГУГЛа'!$B:$Z,AI$1,0))</f>
        <v>0</v>
      </c>
      <c r="AJ26" s="100">
        <v>1</v>
      </c>
      <c r="AK26" s="100"/>
      <c r="AL26" s="103"/>
      <c r="AM26" s="103"/>
      <c r="AN26" s="102">
        <f>IFERROR(ROUND((VLOOKUP($A26,'Из ГУГЛа'!$B:$Z,AN$1,0)+AP26)*AO26,),VLOOKUP($A26,'Из ГУГЛа'!$B:$Z,AN$1,0))</f>
        <v>0</v>
      </c>
      <c r="AO26" s="100">
        <v>1</v>
      </c>
      <c r="AP26" s="100"/>
      <c r="AQ26" s="103"/>
      <c r="AR26" s="103"/>
    </row>
    <row r="27" spans="1:44" ht="40.5" thickTop="1" thickBot="1" x14ac:dyDescent="0.3">
      <c r="A27" s="57">
        <v>163979</v>
      </c>
      <c r="B27" s="57">
        <f>VLOOKUP($A27,'Выгр Кат'!$A:$T,B$1,0)</f>
        <v>13268</v>
      </c>
      <c r="C27" s="58" t="str">
        <f>VLOOKUP($A27,'Выгр Кат'!$A:$T,C$1,0)</f>
        <v>Минусовой провод массы для ВАЗ 2108-21099, 2113-2115</v>
      </c>
      <c r="D27" s="57" t="str">
        <f>VLOOKUP($A27,'Выгр Кат'!$A:$T,D$1,0)</f>
        <v>Y</v>
      </c>
      <c r="E27" s="57" t="str">
        <f>VLOOKUP($A27,'Выгр Кат'!$A:$T,E$1,0)</f>
        <v>1</v>
      </c>
      <c r="F27" s="57">
        <f>VLOOKUP($A27,'Выгр Кат'!$A:$T,F$1,0)</f>
        <v>0</v>
      </c>
      <c r="G27" s="57" t="str">
        <f>VLOOKUP($A27,'Выгр Кат'!$A:$T,G$1,0)</f>
        <v>21082372408011</v>
      </c>
      <c r="H27" s="57" t="str">
        <f>VLOOKUP($A27,'Выгр Кат'!$A:$T,H$1,0)</f>
        <v>21082-3724080</v>
      </c>
      <c r="I27" s="39" t="s">
        <v>863</v>
      </c>
      <c r="J27" s="1" t="s">
        <v>526</v>
      </c>
      <c r="K27" s="47">
        <f>VLOOKUP(I27,Прайс!A:E,5,0)</f>
        <v>450</v>
      </c>
      <c r="L27" s="7">
        <f>VLOOKUP(K27,Наценка!$A$1:$B$8,2,1)</f>
        <v>1.75</v>
      </c>
      <c r="M27" s="44">
        <f t="shared" si="0"/>
        <v>787.5</v>
      </c>
      <c r="N27" s="62">
        <f t="shared" si="9"/>
        <v>789</v>
      </c>
      <c r="O27" s="60">
        <f>VLOOKUP($A27,'Выгр Кат'!$A:$P,O$1,0)</f>
        <v>450</v>
      </c>
      <c r="P27" s="60">
        <f>VLOOKUP($A27,'Выгр Кат'!$A:$P,P$1,0)</f>
        <v>759</v>
      </c>
      <c r="Q27" s="73">
        <f t="shared" si="2"/>
        <v>0</v>
      </c>
      <c r="R27" s="73">
        <f t="shared" si="3"/>
        <v>-30</v>
      </c>
      <c r="S27" s="97">
        <f t="shared" si="4"/>
        <v>789</v>
      </c>
      <c r="T27" s="98">
        <f t="shared" si="5"/>
        <v>0.75333333333333341</v>
      </c>
      <c r="U27" s="98" t="str">
        <f t="shared" si="6"/>
        <v/>
      </c>
      <c r="V27" s="98" t="str">
        <f t="shared" si="7"/>
        <v/>
      </c>
      <c r="W27" s="103"/>
      <c r="X27" s="102">
        <f>IFERROR(ROUND((VLOOKUP($A27,'Из ГУГЛа'!$B:$Z,X$1,0)+Z27)*Y27,),VLOOKUP($A27,'Из ГУГЛа'!$B:$Z,X$1,0))</f>
        <v>790</v>
      </c>
      <c r="Y27" s="75">
        <v>1</v>
      </c>
      <c r="Z27" s="75">
        <v>0</v>
      </c>
      <c r="AA27" s="63">
        <v>790</v>
      </c>
      <c r="AB27" s="63" t="s">
        <v>1215</v>
      </c>
      <c r="AC27" s="48" t="s">
        <v>1131</v>
      </c>
      <c r="AD27" s="102">
        <f>IFERROR(ROUND((VLOOKUP($A27,'Из ГУГЛа'!$B:$Z,AD$1,0)+AF27)*AE27,),VLOOKUP($A27,'Из ГУГЛа'!$B:$Z,AD$1,0))</f>
        <v>0</v>
      </c>
      <c r="AE27" s="100">
        <v>1</v>
      </c>
      <c r="AF27" s="100"/>
      <c r="AG27" s="103" t="s">
        <v>1017</v>
      </c>
      <c r="AH27" s="103"/>
      <c r="AI27" s="102">
        <f>IFERROR(ROUND((VLOOKUP($A27,'Из ГУГЛа'!$B:$Z,AI$1,0)+AK27)*AJ27,),VLOOKUP($A27,'Из ГУГЛа'!$B:$Z,AI$1,0))</f>
        <v>0</v>
      </c>
      <c r="AJ27" s="100">
        <v>1</v>
      </c>
      <c r="AK27" s="100"/>
      <c r="AL27" s="103"/>
      <c r="AM27" s="103"/>
      <c r="AN27" s="102">
        <f>IFERROR(ROUND((VLOOKUP($A27,'Из ГУГЛа'!$B:$Z,AN$1,0)+AP27)*AO27,),VLOOKUP($A27,'Из ГУГЛа'!$B:$Z,AN$1,0))</f>
        <v>0</v>
      </c>
      <c r="AO27" s="100">
        <v>1</v>
      </c>
      <c r="AP27" s="100"/>
      <c r="AQ27" s="103"/>
      <c r="AR27" s="103"/>
    </row>
    <row r="28" spans="1:44" ht="53.25" thickTop="1" thickBot="1" x14ac:dyDescent="0.3">
      <c r="A28" s="57">
        <v>144979</v>
      </c>
      <c r="B28" s="57">
        <f>VLOOKUP($A28,'Выгр Кат'!$A:$T,B$1,0)</f>
        <v>13269</v>
      </c>
      <c r="C28" s="58" t="str">
        <f>VLOOKUP($A28,'Выгр Кат'!$A:$T,C$1,0)</f>
        <v>Жгут проводов стеклоочистителя и омывателя для ВАЗ 2108-21099, 2113-2115 карбюраторный двигатель</v>
      </c>
      <c r="D28" s="57" t="str">
        <f>VLOOKUP($A28,'Выгр Кат'!$A:$T,D$1,0)</f>
        <v>Y</v>
      </c>
      <c r="E28" s="57" t="str">
        <f>VLOOKUP($A28,'Выгр Кат'!$A:$T,E$1,0)</f>
        <v>1</v>
      </c>
      <c r="F28" s="57">
        <f>VLOOKUP($A28,'Выгр Кат'!$A:$T,F$1,0)</f>
        <v>0</v>
      </c>
      <c r="G28" s="57" t="str">
        <f>VLOOKUP($A28,'Выгр Кат'!$A:$T,G$1,0)</f>
        <v>21093372401901</v>
      </c>
      <c r="H28" s="57" t="str">
        <f>VLOOKUP($A28,'Выгр Кат'!$A:$T,H$1,0)</f>
        <v>21093-3724019</v>
      </c>
      <c r="I28" s="39" t="s">
        <v>598</v>
      </c>
      <c r="J28" s="1" t="s">
        <v>526</v>
      </c>
      <c r="K28" s="47">
        <f>VLOOKUP(I28,Прайс!A:E,5,0)</f>
        <v>700</v>
      </c>
      <c r="L28" s="7">
        <f>VLOOKUP(K28,Наценка!$A$1:$B$8,2,1)</f>
        <v>1.63</v>
      </c>
      <c r="M28" s="44">
        <f t="shared" si="0"/>
        <v>1141</v>
      </c>
      <c r="N28" s="62">
        <f t="shared" si="9"/>
        <v>1190</v>
      </c>
      <c r="O28" s="60">
        <f>VLOOKUP($A28,'Выгр Кат'!$A:$P,O$1,0)</f>
        <v>650</v>
      </c>
      <c r="P28" s="60">
        <f>VLOOKUP($A28,'Выгр Кат'!$A:$P,P$1,0)</f>
        <v>989</v>
      </c>
      <c r="Q28" s="73">
        <f t="shared" si="2"/>
        <v>-50</v>
      </c>
      <c r="R28" s="73">
        <f t="shared" si="3"/>
        <v>-201</v>
      </c>
      <c r="S28" s="97">
        <f t="shared" si="4"/>
        <v>1190</v>
      </c>
      <c r="T28" s="98">
        <f t="shared" si="5"/>
        <v>0.7</v>
      </c>
      <c r="U28" s="98">
        <f t="shared" si="6"/>
        <v>-0.391812865497076</v>
      </c>
      <c r="V28" s="98">
        <f t="shared" si="7"/>
        <v>0.22142857142857153</v>
      </c>
      <c r="W28" s="106">
        <f t="shared" ref="W28:W34" si="15">MIN(AA28,AG28,AL28,AQ28)</f>
        <v>855</v>
      </c>
      <c r="X28" s="102">
        <f>IFERROR(ROUND((VLOOKUP($A28,'Из ГУГЛа'!$B:$Z,X$1,0)+Z28)*Y28,),VLOOKUP($A28,'Из ГУГЛа'!$B:$Z,X$1,0))</f>
        <v>1090</v>
      </c>
      <c r="Y28" s="75">
        <v>1</v>
      </c>
      <c r="Z28" s="75">
        <v>0</v>
      </c>
      <c r="AA28" s="63">
        <v>1090</v>
      </c>
      <c r="AB28" s="63" t="s">
        <v>1215</v>
      </c>
      <c r="AC28" s="48" t="s">
        <v>1130</v>
      </c>
      <c r="AD28" s="102">
        <f>IFERROR(ROUND((VLOOKUP($A28,'Из ГУГЛа'!$B:$Z,AD$1,0)+AF28)*AE28,),VLOOKUP($A28,'Из ГУГЛа'!$B:$Z,AD$1,0))</f>
        <v>0</v>
      </c>
      <c r="AE28" s="100">
        <v>1</v>
      </c>
      <c r="AF28" s="100"/>
      <c r="AG28" s="103">
        <v>855</v>
      </c>
      <c r="AH28" s="103" t="s">
        <v>1880</v>
      </c>
      <c r="AI28" s="102">
        <f>IFERROR(ROUND((VLOOKUP($A28,'Из ГУГЛа'!$B:$Z,AI$1,0)+AK28)*AJ28,),VLOOKUP($A28,'Из ГУГЛа'!$B:$Z,AI$1,0))</f>
        <v>0</v>
      </c>
      <c r="AJ28" s="100">
        <v>1</v>
      </c>
      <c r="AK28" s="100"/>
      <c r="AL28" s="103"/>
      <c r="AM28" s="103"/>
      <c r="AN28" s="102">
        <f>IFERROR(ROUND((VLOOKUP($A28,'Из ГУГЛа'!$B:$Z,AN$1,0)+AP28)*AO28,),VLOOKUP($A28,'Из ГУГЛа'!$B:$Z,AN$1,0))</f>
        <v>0</v>
      </c>
      <c r="AO28" s="100">
        <v>1</v>
      </c>
      <c r="AP28" s="100"/>
      <c r="AQ28" s="103"/>
      <c r="AR28" s="103"/>
    </row>
    <row r="29" spans="1:44" ht="40.5" thickTop="1" thickBot="1" x14ac:dyDescent="0.3">
      <c r="A29" s="57">
        <v>144959</v>
      </c>
      <c r="B29" s="57">
        <f>VLOOKUP($A29,'Выгр Кат'!$A:$T,B$1,0)</f>
        <v>13299</v>
      </c>
      <c r="C29" s="58" t="str">
        <f>VLOOKUP($A29,'Выгр Кат'!$A:$T,C$1,0)</f>
        <v>Жгут проводов салона и ручника для ВАЗ 2110-2112</v>
      </c>
      <c r="D29" s="57" t="str">
        <f>VLOOKUP($A29,'Выгр Кат'!$A:$T,D$1,0)</f>
        <v>Y</v>
      </c>
      <c r="E29" s="57" t="str">
        <f>VLOOKUP($A29,'Выгр Кат'!$A:$T,E$1,0)</f>
        <v>1</v>
      </c>
      <c r="F29" s="57">
        <f>VLOOKUP($A29,'Выгр Кат'!$A:$T,F$1,0)</f>
        <v>0</v>
      </c>
      <c r="G29" s="57" t="str">
        <f>VLOOKUP($A29,'Выгр Кат'!$A:$T,G$1,0)</f>
        <v>21103724550</v>
      </c>
      <c r="H29" s="57" t="str">
        <f>VLOOKUP($A29,'Выгр Кат'!$A:$T,H$1,0)</f>
        <v>2110-3724550</v>
      </c>
      <c r="I29" s="39" t="s">
        <v>617</v>
      </c>
      <c r="J29" s="1" t="s">
        <v>526</v>
      </c>
      <c r="K29" s="47">
        <f>VLOOKUP(I29,Прайс!A:E,5,0)</f>
        <v>500</v>
      </c>
      <c r="L29" s="7">
        <f>VLOOKUP(K29,Наценка!$A$1:$B$8,2,1)</f>
        <v>1.63</v>
      </c>
      <c r="M29" s="44">
        <f t="shared" si="0"/>
        <v>815</v>
      </c>
      <c r="N29" s="62">
        <f t="shared" si="9"/>
        <v>819</v>
      </c>
      <c r="O29" s="60">
        <f>VLOOKUP($A29,'Выгр Кат'!$A:$P,O$1,0)</f>
        <v>500</v>
      </c>
      <c r="P29" s="60">
        <f>VLOOKUP($A29,'Выгр Кат'!$A:$P,P$1,0)</f>
        <v>859</v>
      </c>
      <c r="Q29" s="73">
        <f t="shared" si="2"/>
        <v>0</v>
      </c>
      <c r="R29" s="73">
        <f t="shared" si="3"/>
        <v>40</v>
      </c>
      <c r="S29" s="97">
        <f t="shared" si="4"/>
        <v>819</v>
      </c>
      <c r="T29" s="98">
        <f t="shared" si="5"/>
        <v>0.6379999999999999</v>
      </c>
      <c r="U29" s="98">
        <f t="shared" si="6"/>
        <v>-3.5398230088495575E-2</v>
      </c>
      <c r="V29" s="98">
        <f t="shared" si="7"/>
        <v>0.58200000000000007</v>
      </c>
      <c r="W29" s="106">
        <f t="shared" si="15"/>
        <v>791</v>
      </c>
      <c r="X29" s="102">
        <f>IFERROR(ROUND((VLOOKUP($A29,'Из ГУГЛа'!$B:$Z,X$1,0)+Z29)*Y29,),VLOOKUP($A29,'Из ГУГЛа'!$B:$Z,X$1,0))</f>
        <v>890</v>
      </c>
      <c r="Y29" s="75">
        <v>1</v>
      </c>
      <c r="Z29" s="75">
        <v>0</v>
      </c>
      <c r="AA29" s="63">
        <v>890</v>
      </c>
      <c r="AB29" s="63" t="s">
        <v>1215</v>
      </c>
      <c r="AC29" s="48" t="s">
        <v>777</v>
      </c>
      <c r="AD29" s="102">
        <f>IFERROR(ROUND((VLOOKUP($A29,'Из ГУГЛа'!$B:$Z,AD$1,0)+AF29)*AE29,),VLOOKUP($A29,'Из ГУГЛа'!$B:$Z,AD$1,0))</f>
        <v>0</v>
      </c>
      <c r="AE29" s="100">
        <v>1</v>
      </c>
      <c r="AF29" s="100"/>
      <c r="AG29" s="103">
        <v>791</v>
      </c>
      <c r="AH29" s="103" t="s">
        <v>1881</v>
      </c>
      <c r="AI29" s="102">
        <f>IFERROR(ROUND((VLOOKUP($A29,'Из ГУГЛа'!$B:$Z,AI$1,0)+AK29)*AJ29,),VLOOKUP($A29,'Из ГУГЛа'!$B:$Z,AI$1,0))</f>
        <v>0</v>
      </c>
      <c r="AJ29" s="100">
        <v>1</v>
      </c>
      <c r="AK29" s="100"/>
      <c r="AL29" s="103"/>
      <c r="AM29" s="103"/>
      <c r="AN29" s="102">
        <f>IFERROR(ROUND((VLOOKUP($A29,'Из ГУГЛа'!$B:$Z,AN$1,0)+AP29)*AO29,),VLOOKUP($A29,'Из ГУГЛа'!$B:$Z,AN$1,0))</f>
        <v>0</v>
      </c>
      <c r="AO29" s="100">
        <v>1</v>
      </c>
      <c r="AP29" s="100"/>
      <c r="AQ29" s="103"/>
      <c r="AR29" s="103"/>
    </row>
    <row r="30" spans="1:44" ht="40.5" thickTop="1" thickBot="1" x14ac:dyDescent="0.3">
      <c r="A30" s="57">
        <v>144864</v>
      </c>
      <c r="B30" s="57">
        <f>VLOOKUP($A30,'Выгр Кат'!$A:$T,B$1,0)</f>
        <v>13286</v>
      </c>
      <c r="C30" s="58" t="str">
        <f>VLOOKUP($A30,'Выгр Кат'!$A:$T,C$1,0)</f>
        <v>Жгут проводов катушек зажигания для ВАЗ 2110-2112 с двигателем ВАЗ 21124</v>
      </c>
      <c r="D30" s="57" t="str">
        <f>VLOOKUP($A30,'Выгр Кат'!$A:$T,D$1,0)</f>
        <v>Y</v>
      </c>
      <c r="E30" s="57" t="str">
        <f>VLOOKUP($A30,'Выгр Кат'!$A:$T,E$1,0)</f>
        <v>1</v>
      </c>
      <c r="F30" s="57">
        <f>VLOOKUP($A30,'Выгр Кат'!$A:$T,F$1,0)</f>
        <v>0</v>
      </c>
      <c r="G30" s="57" t="str">
        <f>VLOOKUP($A30,'Выгр Кат'!$A:$T,G$1,0)</f>
        <v>211043724148</v>
      </c>
      <c r="H30" s="57" t="str">
        <f>VLOOKUP($A30,'Выгр Кат'!$A:$T,H$1,0)</f>
        <v>21104-3724148</v>
      </c>
      <c r="I30" s="39" t="s">
        <v>613</v>
      </c>
      <c r="J30" s="1" t="s">
        <v>526</v>
      </c>
      <c r="K30" s="47">
        <f>VLOOKUP(I30,Прайс!A:E,5,0)</f>
        <v>550</v>
      </c>
      <c r="L30" s="7">
        <f>VLOOKUP(K30,Наценка!$A$1:$B$8,2,1)</f>
        <v>1.63</v>
      </c>
      <c r="M30" s="44">
        <f t="shared" si="0"/>
        <v>896.49999999999989</v>
      </c>
      <c r="N30" s="62">
        <f t="shared" si="9"/>
        <v>899</v>
      </c>
      <c r="O30" s="60">
        <f>VLOOKUP($A30,'Выгр Кат'!$A:$P,O$1,0)</f>
        <v>550</v>
      </c>
      <c r="P30" s="60">
        <f>VLOOKUP($A30,'Выгр Кат'!$A:$P,P$1,0)</f>
        <v>859</v>
      </c>
      <c r="Q30" s="73">
        <f t="shared" si="2"/>
        <v>0</v>
      </c>
      <c r="R30" s="73">
        <f t="shared" si="3"/>
        <v>-40</v>
      </c>
      <c r="S30" s="97">
        <f t="shared" si="4"/>
        <v>899</v>
      </c>
      <c r="T30" s="98">
        <f t="shared" si="5"/>
        <v>0.63454545454545452</v>
      </c>
      <c r="U30" s="98">
        <f t="shared" si="6"/>
        <v>-1.3657894736842104</v>
      </c>
      <c r="V30" s="98">
        <f t="shared" si="7"/>
        <v>-0.30909090909090908</v>
      </c>
      <c r="W30" s="106">
        <f t="shared" si="15"/>
        <v>380</v>
      </c>
      <c r="X30" s="102">
        <f>IFERROR(ROUND((VLOOKUP($A30,'Из ГУГЛа'!$B:$Z,X$1,0)+Z30)*Y30,),VLOOKUP($A30,'Из ГУГЛа'!$B:$Z,X$1,0))</f>
        <v>890</v>
      </c>
      <c r="Y30" s="75">
        <v>1</v>
      </c>
      <c r="Z30" s="75">
        <v>0</v>
      </c>
      <c r="AA30" s="63">
        <v>890</v>
      </c>
      <c r="AB30" s="63" t="s">
        <v>1215</v>
      </c>
      <c r="AC30" s="48" t="s">
        <v>1129</v>
      </c>
      <c r="AD30" s="102">
        <f>IFERROR(ROUND((VLOOKUP($A30,'Из ГУГЛа'!$B:$Z,AD$1,0)+AF30)*AE30,),VLOOKUP($A30,'Из ГУГЛа'!$B:$Z,AD$1,0))</f>
        <v>0</v>
      </c>
      <c r="AE30" s="100">
        <v>1</v>
      </c>
      <c r="AF30" s="100"/>
      <c r="AG30" s="103">
        <v>380</v>
      </c>
      <c r="AH30" s="103" t="s">
        <v>1882</v>
      </c>
      <c r="AI30" s="102">
        <f>IFERROR(ROUND((VLOOKUP($A30,'Из ГУГЛа'!$B:$Z,AI$1,0)+AK30)*AJ30,),VLOOKUP($A30,'Из ГУГЛа'!$B:$Z,AI$1,0))</f>
        <v>0</v>
      </c>
      <c r="AJ30" s="100">
        <v>1</v>
      </c>
      <c r="AK30" s="100"/>
      <c r="AL30" s="103"/>
      <c r="AM30" s="103"/>
      <c r="AN30" s="102">
        <f>IFERROR(ROUND((VLOOKUP($A30,'Из ГУГЛа'!$B:$Z,AN$1,0)+AP30)*AO30,),VLOOKUP($A30,'Из ГУГЛа'!$B:$Z,AN$1,0))</f>
        <v>0</v>
      </c>
      <c r="AO30" s="100">
        <v>1</v>
      </c>
      <c r="AP30" s="100"/>
      <c r="AQ30" s="103"/>
      <c r="AR30" s="103"/>
    </row>
    <row r="31" spans="1:44" ht="40.5" thickTop="1" thickBot="1" x14ac:dyDescent="0.3">
      <c r="A31" s="57">
        <v>144826</v>
      </c>
      <c r="B31" s="57">
        <f>VLOOKUP($A31,'Выгр Кат'!$A:$T,B$1,0)</f>
        <v>13292</v>
      </c>
      <c r="C31" s="58" t="str">
        <f>VLOOKUP($A31,'Выгр Кат'!$A:$T,C$1,0)</f>
        <v>Жгут проводов бензобака нового образца для ВАЗ 2110-2112</v>
      </c>
      <c r="D31" s="57" t="str">
        <f>VLOOKUP($A31,'Выгр Кат'!$A:$T,D$1,0)</f>
        <v>Y</v>
      </c>
      <c r="E31" s="57" t="str">
        <f>VLOOKUP($A31,'Выгр Кат'!$A:$T,E$1,0)</f>
        <v>1</v>
      </c>
      <c r="F31" s="57">
        <f>VLOOKUP($A31,'Выгр Кат'!$A:$T,F$1,0)</f>
        <v>0</v>
      </c>
      <c r="G31" s="57" t="str">
        <f>VLOOKUP($A31,'Выгр Кат'!$A:$T,G$1,0)</f>
        <v>2112372403740</v>
      </c>
      <c r="H31" s="57" t="str">
        <f>VLOOKUP($A31,'Выгр Кат'!$A:$T,H$1,0)</f>
        <v>2112-3724037</v>
      </c>
      <c r="I31" s="39" t="s">
        <v>609</v>
      </c>
      <c r="J31" s="1" t="s">
        <v>526</v>
      </c>
      <c r="K31" s="47">
        <f>VLOOKUP(I31,Прайс!A:E,5,0)</f>
        <v>500</v>
      </c>
      <c r="L31" s="7">
        <f>VLOOKUP(K31,Наценка!$A$1:$B$8,2,1)</f>
        <v>1.63</v>
      </c>
      <c r="M31" s="44">
        <f t="shared" si="0"/>
        <v>815</v>
      </c>
      <c r="N31" s="62">
        <f t="shared" si="9"/>
        <v>819</v>
      </c>
      <c r="O31" s="60">
        <f>VLOOKUP($A31,'Выгр Кат'!$A:$P,O$1,0)</f>
        <v>500</v>
      </c>
      <c r="P31" s="60">
        <f>VLOOKUP($A31,'Выгр Кат'!$A:$P,P$1,0)</f>
        <v>859</v>
      </c>
      <c r="Q31" s="73">
        <f t="shared" si="2"/>
        <v>0</v>
      </c>
      <c r="R31" s="73">
        <f t="shared" si="3"/>
        <v>40</v>
      </c>
      <c r="S31" s="97">
        <f t="shared" si="4"/>
        <v>819</v>
      </c>
      <c r="T31" s="98">
        <f t="shared" si="5"/>
        <v>0.6379999999999999</v>
      </c>
      <c r="U31" s="98">
        <f t="shared" si="6"/>
        <v>-0.5780346820809249</v>
      </c>
      <c r="V31" s="98">
        <f t="shared" si="7"/>
        <v>3.8000000000000034E-2</v>
      </c>
      <c r="W31" s="106">
        <f t="shared" si="15"/>
        <v>519</v>
      </c>
      <c r="X31" s="102">
        <f>IFERROR(ROUND((VLOOKUP($A31,'Из ГУГЛа'!$B:$Z,X$1,0)+Z31)*Y31,),VLOOKUP($A31,'Из ГУГЛа'!$B:$Z,X$1,0))</f>
        <v>890</v>
      </c>
      <c r="Y31" s="75">
        <v>1</v>
      </c>
      <c r="Z31" s="75">
        <v>0</v>
      </c>
      <c r="AA31" s="63">
        <v>890</v>
      </c>
      <c r="AB31" s="63" t="s">
        <v>1215</v>
      </c>
      <c r="AC31" s="48" t="s">
        <v>778</v>
      </c>
      <c r="AD31" s="102">
        <f>IFERROR(ROUND((VLOOKUP($A31,'Из ГУГЛа'!$B:$Z,AD$1,0)+AF31)*AE31,),VLOOKUP($A31,'Из ГУГЛа'!$B:$Z,AD$1,0))</f>
        <v>0</v>
      </c>
      <c r="AE31" s="100">
        <v>1</v>
      </c>
      <c r="AF31" s="100"/>
      <c r="AG31" s="103">
        <v>519</v>
      </c>
      <c r="AH31" s="103" t="s">
        <v>1883</v>
      </c>
      <c r="AI31" s="102">
        <f>IFERROR(ROUND((VLOOKUP($A31,'Из ГУГЛа'!$B:$Z,AI$1,0)+AK31)*AJ31,),VLOOKUP($A31,'Из ГУГЛа'!$B:$Z,AI$1,0))</f>
        <v>0</v>
      </c>
      <c r="AJ31" s="100">
        <v>1</v>
      </c>
      <c r="AK31" s="100"/>
      <c r="AL31" s="103"/>
      <c r="AM31" s="103"/>
      <c r="AN31" s="102">
        <f>IFERROR(ROUND((VLOOKUP($A31,'Из ГУГЛа'!$B:$Z,AN$1,0)+AP31)*AO31,),VLOOKUP($A31,'Из ГУГЛа'!$B:$Z,AN$1,0))</f>
        <v>0</v>
      </c>
      <c r="AO31" s="100">
        <v>1</v>
      </c>
      <c r="AP31" s="100"/>
      <c r="AQ31" s="103"/>
      <c r="AR31" s="103"/>
    </row>
    <row r="32" spans="1:44" ht="40.5" thickTop="1" thickBot="1" x14ac:dyDescent="0.3">
      <c r="A32" s="57">
        <v>144825</v>
      </c>
      <c r="B32" s="57">
        <f>VLOOKUP($A32,'Выгр Кат'!$A:$T,B$1,0)</f>
        <v>13291</v>
      </c>
      <c r="C32" s="58" t="str">
        <f>VLOOKUP($A32,'Выгр Кат'!$A:$T,C$1,0)</f>
        <v>Жгут проводов бензобака для ВАЗ 2110-2112</v>
      </c>
      <c r="D32" s="57" t="str">
        <f>VLOOKUP($A32,'Выгр Кат'!$A:$T,D$1,0)</f>
        <v>Y</v>
      </c>
      <c r="E32" s="57" t="str">
        <f>VLOOKUP($A32,'Выгр Кат'!$A:$T,E$1,0)</f>
        <v>1</v>
      </c>
      <c r="F32" s="57">
        <f>VLOOKUP($A32,'Выгр Кат'!$A:$T,F$1,0)</f>
        <v>0</v>
      </c>
      <c r="G32" s="57" t="str">
        <f>VLOOKUP($A32,'Выгр Кат'!$A:$T,G$1,0)</f>
        <v>21123724037</v>
      </c>
      <c r="H32" s="57" t="str">
        <f>VLOOKUP($A32,'Выгр Кат'!$A:$T,H$1,0)</f>
        <v>2112-3724037</v>
      </c>
      <c r="I32" s="39" t="s">
        <v>608</v>
      </c>
      <c r="J32" s="1" t="s">
        <v>526</v>
      </c>
      <c r="K32" s="47">
        <f>VLOOKUP(I32,Прайс!A:E,5,0)</f>
        <v>500</v>
      </c>
      <c r="L32" s="7">
        <f>VLOOKUP(K32,Наценка!$A$1:$B$8,2,1)</f>
        <v>1.63</v>
      </c>
      <c r="M32" s="44">
        <f t="shared" si="0"/>
        <v>815</v>
      </c>
      <c r="N32" s="62">
        <f t="shared" si="9"/>
        <v>819</v>
      </c>
      <c r="O32" s="60">
        <f>VLOOKUP($A32,'Выгр Кат'!$A:$P,O$1,0)</f>
        <v>500</v>
      </c>
      <c r="P32" s="60">
        <f>VLOOKUP($A32,'Выгр Кат'!$A:$P,P$1,0)</f>
        <v>859</v>
      </c>
      <c r="Q32" s="73">
        <f t="shared" si="2"/>
        <v>0</v>
      </c>
      <c r="R32" s="73">
        <f t="shared" si="3"/>
        <v>40</v>
      </c>
      <c r="S32" s="97">
        <f t="shared" si="4"/>
        <v>819</v>
      </c>
      <c r="T32" s="98">
        <f t="shared" si="5"/>
        <v>0.6379999999999999</v>
      </c>
      <c r="U32" s="98">
        <f t="shared" si="6"/>
        <v>-0.79605263157894735</v>
      </c>
      <c r="V32" s="98">
        <f t="shared" si="7"/>
        <v>-8.7999999999999967E-2</v>
      </c>
      <c r="W32" s="106">
        <f t="shared" si="15"/>
        <v>456</v>
      </c>
      <c r="X32" s="102">
        <f>IFERROR(ROUND((VLOOKUP($A32,'Из ГУГЛа'!$B:$Z,X$1,0)+Z32)*Y32,),VLOOKUP($A32,'Из ГУГЛа'!$B:$Z,X$1,0))</f>
        <v>890</v>
      </c>
      <c r="Y32" s="75">
        <v>1</v>
      </c>
      <c r="Z32" s="75">
        <v>0</v>
      </c>
      <c r="AA32" s="63">
        <v>890</v>
      </c>
      <c r="AB32" s="63" t="s">
        <v>1215</v>
      </c>
      <c r="AC32" s="48" t="s">
        <v>778</v>
      </c>
      <c r="AD32" s="102">
        <f>IFERROR(ROUND((VLOOKUP($A32,'Из ГУГЛа'!$B:$Z,AD$1,0)+AF32)*AE32,),VLOOKUP($A32,'Из ГУГЛа'!$B:$Z,AD$1,0))</f>
        <v>0</v>
      </c>
      <c r="AE32" s="100">
        <v>1</v>
      </c>
      <c r="AF32" s="100"/>
      <c r="AG32" s="103">
        <v>456</v>
      </c>
      <c r="AH32" s="103" t="s">
        <v>1884</v>
      </c>
      <c r="AI32" s="102">
        <f>IFERROR(ROUND((VLOOKUP($A32,'Из ГУГЛа'!$B:$Z,AI$1,0)+AK32)*AJ32,),VLOOKUP($A32,'Из ГУГЛа'!$B:$Z,AI$1,0))</f>
        <v>0</v>
      </c>
      <c r="AJ32" s="100">
        <v>1</v>
      </c>
      <c r="AK32" s="100"/>
      <c r="AL32" s="103"/>
      <c r="AM32" s="103"/>
      <c r="AN32" s="102">
        <f>IFERROR(ROUND((VLOOKUP($A32,'Из ГУГЛа'!$B:$Z,AN$1,0)+AP32)*AO32,),VLOOKUP($A32,'Из ГУГЛа'!$B:$Z,AN$1,0))</f>
        <v>0</v>
      </c>
      <c r="AO32" s="100">
        <v>1</v>
      </c>
      <c r="AP32" s="100"/>
      <c r="AQ32" s="103"/>
      <c r="AR32" s="103"/>
    </row>
    <row r="33" spans="1:44" ht="31.5" thickTop="1" thickBot="1" x14ac:dyDescent="0.3">
      <c r="A33" s="57">
        <v>194011</v>
      </c>
      <c r="B33" s="57">
        <f>VLOOKUP($A33,'Выгр Кат'!$A:$T,B$1,0)</f>
        <v>13267</v>
      </c>
      <c r="C33" s="58" t="str">
        <f>VLOOKUP($A33,'Выгр Кат'!$A:$T,C$1,0)</f>
        <v>Плюсовой провод генератора для ВАЗ 2108-21099, 2113-2115</v>
      </c>
      <c r="D33" s="57" t="str">
        <f>VLOOKUP($A33,'Выгр Кат'!$A:$T,D$1,0)</f>
        <v>Y</v>
      </c>
      <c r="E33" s="57" t="str">
        <f>VLOOKUP($A33,'Выгр Кат'!$A:$T,E$1,0)</f>
        <v>1</v>
      </c>
      <c r="F33" s="57">
        <f>VLOOKUP($A33,'Выгр Кат'!$A:$T,F$1,0)</f>
        <v>0</v>
      </c>
      <c r="G33" s="57" t="str">
        <f>VLOOKUP($A33,'Выгр Кат'!$A:$T,G$1,0)</f>
        <v>2114372407020</v>
      </c>
      <c r="H33" s="57" t="str">
        <f>VLOOKUP($A33,'Выгр Кат'!$A:$T,H$1,0)</f>
        <v>2114-3724070</v>
      </c>
      <c r="I33" s="39" t="s">
        <v>638</v>
      </c>
      <c r="J33" s="1" t="s">
        <v>526</v>
      </c>
      <c r="K33" s="47">
        <f>VLOOKUP(I33,Прайс!A:E,5,0)</f>
        <v>550</v>
      </c>
      <c r="L33" s="7">
        <f>VLOOKUP(K33,Наценка!$A$1:$B$8,2,1)</f>
        <v>1.63</v>
      </c>
      <c r="M33" s="44">
        <f t="shared" si="0"/>
        <v>896.49999999999989</v>
      </c>
      <c r="N33" s="62">
        <f t="shared" si="9"/>
        <v>899</v>
      </c>
      <c r="O33" s="60">
        <f>VLOOKUP($A33,'Выгр Кат'!$A:$P,O$1,0)</f>
        <v>550</v>
      </c>
      <c r="P33" s="60">
        <f>VLOOKUP($A33,'Выгр Кат'!$A:$P,P$1,0)</f>
        <v>859</v>
      </c>
      <c r="Q33" s="73">
        <f t="shared" si="2"/>
        <v>0</v>
      </c>
      <c r="R33" s="73">
        <f t="shared" si="3"/>
        <v>-40</v>
      </c>
      <c r="S33" s="97">
        <f t="shared" si="4"/>
        <v>899</v>
      </c>
      <c r="T33" s="98">
        <f t="shared" si="5"/>
        <v>0.63454545454545452</v>
      </c>
      <c r="U33" s="98">
        <f t="shared" si="6"/>
        <v>-6.6429418742585997E-2</v>
      </c>
      <c r="V33" s="98">
        <f t="shared" si="7"/>
        <v>0.53272727272727272</v>
      </c>
      <c r="W33" s="106">
        <f t="shared" si="15"/>
        <v>843</v>
      </c>
      <c r="X33" s="102">
        <f>IFERROR(ROUND((VLOOKUP($A33,'Из ГУГЛа'!$B:$Z,X$1,0)+Z33)*Y33,),VLOOKUP($A33,'Из ГУГЛа'!$B:$Z,X$1,0))</f>
        <v>890</v>
      </c>
      <c r="Y33" s="75">
        <v>1</v>
      </c>
      <c r="Z33" s="75">
        <v>0</v>
      </c>
      <c r="AA33" s="85">
        <v>890</v>
      </c>
      <c r="AB33" s="63" t="s">
        <v>1215</v>
      </c>
      <c r="AC33" s="48" t="s">
        <v>779</v>
      </c>
      <c r="AD33" s="102">
        <f>IFERROR(ROUND((VLOOKUP($A33,'Из ГУГЛа'!$B:$Z,AD$1,0)+AF33)*AE33,),VLOOKUP($A33,'Из ГУГЛа'!$B:$Z,AD$1,0))</f>
        <v>0</v>
      </c>
      <c r="AE33" s="100">
        <v>1</v>
      </c>
      <c r="AF33" s="100"/>
      <c r="AG33" s="103">
        <v>843</v>
      </c>
      <c r="AH33" s="103" t="s">
        <v>1885</v>
      </c>
      <c r="AI33" s="102">
        <f>IFERROR(ROUND((VLOOKUP($A33,'Из ГУГЛа'!$B:$Z,AI$1,0)+AK33)*AJ33,),VLOOKUP($A33,'Из ГУГЛа'!$B:$Z,AI$1,0))</f>
        <v>0</v>
      </c>
      <c r="AJ33" s="100">
        <v>1</v>
      </c>
      <c r="AK33" s="100"/>
      <c r="AL33" s="103"/>
      <c r="AM33" s="103"/>
      <c r="AN33" s="102">
        <f>IFERROR(ROUND((VLOOKUP($A33,'Из ГУГЛа'!$B:$Z,AN$1,0)+AP33)*AO33,),VLOOKUP($A33,'Из ГУГЛа'!$B:$Z,AN$1,0))</f>
        <v>0</v>
      </c>
      <c r="AO33" s="100">
        <v>1</v>
      </c>
      <c r="AP33" s="100"/>
      <c r="AQ33" s="103"/>
      <c r="AR33" s="103"/>
    </row>
    <row r="34" spans="1:44" ht="53.25" thickTop="1" thickBot="1" x14ac:dyDescent="0.3">
      <c r="A34" s="57">
        <v>144894</v>
      </c>
      <c r="B34" s="57">
        <f>VLOOKUP($A34,'Выгр Кат'!$A:$T,B$1,0)</f>
        <v>13270</v>
      </c>
      <c r="C34" s="58" t="str">
        <f>VLOOKUP($A34,'Выгр Кат'!$A:$T,C$1,0)</f>
        <v>Жгут проводов коробки воздухопритока для ВАЗ 2108-21099, 2113-2115</v>
      </c>
      <c r="D34" s="57" t="str">
        <f>VLOOKUP($A34,'Выгр Кат'!$A:$T,D$1,0)</f>
        <v>Y</v>
      </c>
      <c r="E34" s="57" t="str">
        <f>VLOOKUP($A34,'Выгр Кат'!$A:$T,E$1,0)</f>
        <v>1</v>
      </c>
      <c r="F34" s="57">
        <f>VLOOKUP($A34,'Выгр Кат'!$A:$T,F$1,0)</f>
        <v>0</v>
      </c>
      <c r="G34" s="57" t="str">
        <f>VLOOKUP($A34,'Выгр Кат'!$A:$T,G$1,0)</f>
        <v>21143724019</v>
      </c>
      <c r="H34" s="57" t="str">
        <f>VLOOKUP($A34,'Выгр Кат'!$A:$T,H$1,0)</f>
        <v>2114-3724019</v>
      </c>
      <c r="I34" s="39" t="s">
        <v>639</v>
      </c>
      <c r="J34" s="1" t="s">
        <v>526</v>
      </c>
      <c r="K34" s="47">
        <f>VLOOKUP(I34,Прайс!A:E,5,0)</f>
        <v>700</v>
      </c>
      <c r="L34" s="7">
        <f>VLOOKUP(K34,Наценка!$A$1:$B$8,2,1)</f>
        <v>1.63</v>
      </c>
      <c r="M34" s="44">
        <f t="shared" si="0"/>
        <v>1141</v>
      </c>
      <c r="N34" s="62">
        <f t="shared" si="9"/>
        <v>1190</v>
      </c>
      <c r="O34" s="60">
        <f>VLOOKUP($A34,'Выгр Кат'!$A:$P,O$1,0)</f>
        <v>650</v>
      </c>
      <c r="P34" s="60">
        <f>VLOOKUP($A34,'Выгр Кат'!$A:$P,P$1,0)</f>
        <v>1190</v>
      </c>
      <c r="Q34" s="73">
        <f t="shared" si="2"/>
        <v>-50</v>
      </c>
      <c r="R34" s="73">
        <f t="shared" si="3"/>
        <v>0</v>
      </c>
      <c r="S34" s="97">
        <f t="shared" si="4"/>
        <v>1190</v>
      </c>
      <c r="T34" s="98">
        <f t="shared" si="5"/>
        <v>0.7</v>
      </c>
      <c r="U34" s="98">
        <f t="shared" si="6"/>
        <v>-0.47826086956521741</v>
      </c>
      <c r="V34" s="98">
        <f t="shared" si="7"/>
        <v>0.14999999999999991</v>
      </c>
      <c r="W34" s="106">
        <f t="shared" si="15"/>
        <v>805</v>
      </c>
      <c r="X34" s="102">
        <f>IFERROR(ROUND((VLOOKUP($A34,'Из ГУГЛа'!$B:$Z,X$1,0)+Z34)*Y34,),VLOOKUP($A34,'Из ГУГЛа'!$B:$Z,X$1,0))</f>
        <v>1190</v>
      </c>
      <c r="Y34" s="75">
        <v>1</v>
      </c>
      <c r="Z34" s="75">
        <v>0</v>
      </c>
      <c r="AA34" s="63">
        <v>1190</v>
      </c>
      <c r="AB34" s="63" t="s">
        <v>1215</v>
      </c>
      <c r="AC34" s="48" t="s">
        <v>1128</v>
      </c>
      <c r="AD34" s="102">
        <f>IFERROR(ROUND((VLOOKUP($A34,'Из ГУГЛа'!$B:$Z,AD$1,0)+AF34)*AE34,),VLOOKUP($A34,'Из ГУГЛа'!$B:$Z,AD$1,0))</f>
        <v>0</v>
      </c>
      <c r="AE34" s="100">
        <v>1</v>
      </c>
      <c r="AF34" s="100"/>
      <c r="AG34" s="103">
        <v>805</v>
      </c>
      <c r="AH34" s="103" t="s">
        <v>1886</v>
      </c>
      <c r="AI34" s="102">
        <f>IFERROR(ROUND((VLOOKUP($A34,'Из ГУГЛа'!$B:$Z,AI$1,0)+AK34)*AJ34,),VLOOKUP($A34,'Из ГУГЛа'!$B:$Z,AI$1,0))</f>
        <v>0</v>
      </c>
      <c r="AJ34" s="100">
        <v>1</v>
      </c>
      <c r="AK34" s="100"/>
      <c r="AL34" s="103"/>
      <c r="AM34" s="103"/>
      <c r="AN34" s="102">
        <f>IFERROR(ROUND((VLOOKUP($A34,'Из ГУГЛа'!$B:$Z,AN$1,0)+AP34)*AO34,),VLOOKUP($A34,'Из ГУГЛа'!$B:$Z,AN$1,0))</f>
        <v>0</v>
      </c>
      <c r="AO34" s="100">
        <v>1</v>
      </c>
      <c r="AP34" s="100"/>
      <c r="AQ34" s="103"/>
      <c r="AR34" s="103"/>
    </row>
    <row r="35" spans="1:44" ht="27.75" thickTop="1" thickBot="1" x14ac:dyDescent="0.3">
      <c r="A35" s="57">
        <v>155903</v>
      </c>
      <c r="B35" s="57">
        <f>VLOOKUP($A35,'Выгр Кат'!$A:$T,B$1,0)</f>
        <v>13361</v>
      </c>
      <c r="C35" s="58" t="str">
        <f>VLOOKUP($A35,'Выгр Кат'!$A:$T,C$1,0)</f>
        <v>Клемма + евро для Лада Приора, Приора 2</v>
      </c>
      <c r="D35" s="57" t="str">
        <f>VLOOKUP($A35,'Выгр Кат'!$A:$T,D$1,0)</f>
        <v>Y</v>
      </c>
      <c r="E35" s="57" t="str">
        <f>VLOOKUP($A35,'Выгр Кат'!$A:$T,E$1,0)</f>
        <v>1</v>
      </c>
      <c r="F35" s="57">
        <f>VLOOKUP($A35,'Выгр Кат'!$A:$T,F$1,0)</f>
        <v>0</v>
      </c>
      <c r="G35" s="57" t="str">
        <f>VLOOKUP($A35,'Выгр Кат'!$A:$T,G$1,0)</f>
        <v>21703724070</v>
      </c>
      <c r="H35" s="57" t="str">
        <f>VLOOKUP($A35,'Выгр Кат'!$A:$T,H$1,0)</f>
        <v>2170-3724070</v>
      </c>
      <c r="I35" s="39" t="s">
        <v>871</v>
      </c>
      <c r="J35" s="1" t="s">
        <v>526</v>
      </c>
      <c r="K35" s="47">
        <f>VLOOKUP(I35,Прайс!A:E,5,0)</f>
        <v>550</v>
      </c>
      <c r="L35" s="7">
        <f>VLOOKUP(K35,Наценка!$A$1:$B$8,2,1)</f>
        <v>1.63</v>
      </c>
      <c r="M35" s="44">
        <f t="shared" si="0"/>
        <v>896.49999999999989</v>
      </c>
      <c r="N35" s="62">
        <f t="shared" si="9"/>
        <v>899</v>
      </c>
      <c r="O35" s="60">
        <f>VLOOKUP($A35,'Выгр Кат'!$A:$P,O$1,0)</f>
        <v>550</v>
      </c>
      <c r="P35" s="60">
        <f>VLOOKUP($A35,'Выгр Кат'!$A:$P,P$1,0)</f>
        <v>859</v>
      </c>
      <c r="Q35" s="73">
        <f t="shared" si="2"/>
        <v>0</v>
      </c>
      <c r="R35" s="73">
        <f t="shared" si="3"/>
        <v>-40</v>
      </c>
      <c r="S35" s="97">
        <f t="shared" si="4"/>
        <v>899</v>
      </c>
      <c r="T35" s="98">
        <f t="shared" si="5"/>
        <v>0.63454545454545452</v>
      </c>
      <c r="U35" s="98" t="str">
        <f t="shared" si="6"/>
        <v/>
      </c>
      <c r="V35" s="98" t="str">
        <f t="shared" si="7"/>
        <v/>
      </c>
      <c r="W35" s="103"/>
      <c r="X35" s="102">
        <f>IFERROR(ROUND((VLOOKUP($A35,'Из ГУГЛа'!$B:$Z,X$1,0)+Z35)*Y35,),VLOOKUP($A35,'Из ГУГЛа'!$B:$Z,X$1,0))</f>
        <v>890</v>
      </c>
      <c r="Y35" s="75">
        <v>1</v>
      </c>
      <c r="Z35" s="75">
        <v>0</v>
      </c>
      <c r="AA35" s="63">
        <v>890</v>
      </c>
      <c r="AB35" s="63" t="s">
        <v>1215</v>
      </c>
      <c r="AC35" s="48" t="s">
        <v>1127</v>
      </c>
      <c r="AD35" s="102">
        <f>IFERROR(ROUND((VLOOKUP($A35,'Из ГУГЛа'!$B:$Z,AD$1,0)+AF35)*AE35,),VLOOKUP($A35,'Из ГУГЛа'!$B:$Z,AD$1,0))</f>
        <v>0</v>
      </c>
      <c r="AE35" s="100">
        <v>1</v>
      </c>
      <c r="AF35" s="100"/>
      <c r="AG35" s="103" t="s">
        <v>1017</v>
      </c>
      <c r="AH35" s="103"/>
      <c r="AI35" s="102">
        <f>IFERROR(ROUND((VLOOKUP($A35,'Из ГУГЛа'!$B:$Z,AI$1,0)+AK35)*AJ35,),VLOOKUP($A35,'Из ГУГЛа'!$B:$Z,AI$1,0))</f>
        <v>0</v>
      </c>
      <c r="AJ35" s="100">
        <v>1</v>
      </c>
      <c r="AK35" s="100"/>
      <c r="AL35" s="103"/>
      <c r="AM35" s="103"/>
      <c r="AN35" s="102">
        <f>IFERROR(ROUND((VLOOKUP($A35,'Из ГУГЛа'!$B:$Z,AN$1,0)+AP35)*AO35,),VLOOKUP($A35,'Из ГУГЛа'!$B:$Z,AN$1,0))</f>
        <v>0</v>
      </c>
      <c r="AO35" s="100">
        <v>1</v>
      </c>
      <c r="AP35" s="100"/>
      <c r="AQ35" s="103"/>
      <c r="AR35" s="103"/>
    </row>
    <row r="36" spans="1:44" ht="40.5" thickTop="1" thickBot="1" x14ac:dyDescent="0.3">
      <c r="A36" s="57">
        <v>202560</v>
      </c>
      <c r="B36" s="57">
        <f>VLOOKUP($A36,'Выгр Кат'!$A:$T,B$1,0)</f>
        <v>7120</v>
      </c>
      <c r="C36" s="58" t="str">
        <f>VLOOKUP($A36,'Выгр Кат'!$A:$T,C$1,0)</f>
        <v>Разъем комбинации приборов вертикальный вывод проводов для Калина, Калина 2, Приора</v>
      </c>
      <c r="D36" s="57" t="str">
        <f>VLOOKUP($A36,'Выгр Кат'!$A:$T,D$1,0)</f>
        <v>Y</v>
      </c>
      <c r="E36" s="57" t="str">
        <f>VLOOKUP($A36,'Выгр Кат'!$A:$T,E$1,0)</f>
        <v>1</v>
      </c>
      <c r="F36" s="57">
        <f>VLOOKUP($A36,'Выгр Кат'!$A:$T,F$1,0)</f>
        <v>0</v>
      </c>
      <c r="G36" s="57" t="str">
        <f>VLOOKUP($A36,'Выгр Кат'!$A:$T,G$1,0)</f>
        <v>1-929407-1</v>
      </c>
      <c r="H36" s="57">
        <f>VLOOKUP($A36,'Выгр Кат'!$A:$T,H$1,0)</f>
        <v>0</v>
      </c>
      <c r="I36" s="39" t="s">
        <v>536</v>
      </c>
      <c r="J36" s="1" t="s">
        <v>526</v>
      </c>
      <c r="K36" s="47">
        <f>VLOOKUP(I36,Прайс!A:E,5,0)</f>
        <v>450</v>
      </c>
      <c r="L36" s="7">
        <f>VLOOKUP(K36,Наценка!$A$1:$B$8,2,1)</f>
        <v>1.75</v>
      </c>
      <c r="M36" s="44">
        <f t="shared" si="0"/>
        <v>787.5</v>
      </c>
      <c r="N36" s="62">
        <f t="shared" si="9"/>
        <v>789</v>
      </c>
      <c r="O36" s="60">
        <f>VLOOKUP($A36,'Выгр Кат'!$A:$P,O$1,0)</f>
        <v>450</v>
      </c>
      <c r="P36" s="60">
        <f>VLOOKUP($A36,'Выгр Кат'!$A:$P,P$1,0)</f>
        <v>759</v>
      </c>
      <c r="Q36" s="73">
        <f t="shared" si="2"/>
        <v>0</v>
      </c>
      <c r="R36" s="73">
        <f t="shared" si="3"/>
        <v>-30</v>
      </c>
      <c r="S36" s="97">
        <f t="shared" si="4"/>
        <v>789</v>
      </c>
      <c r="T36" s="98">
        <f t="shared" si="5"/>
        <v>0.75333333333333341</v>
      </c>
      <c r="U36" s="98">
        <f t="shared" si="6"/>
        <v>-0.25636942675159236</v>
      </c>
      <c r="V36" s="98">
        <f t="shared" si="7"/>
        <v>0.39555555555555566</v>
      </c>
      <c r="W36" s="106">
        <f>MIN(AA36,AG36,AL36,AQ36)</f>
        <v>628</v>
      </c>
      <c r="X36" s="102">
        <f>IFERROR(ROUND((VLOOKUP($A36,'Из ГУГЛа'!$B:$Z,X$1,0)+Z36)*Y36,),VLOOKUP($A36,'Из ГУГЛа'!$B:$Z,X$1,0))</f>
        <v>790</v>
      </c>
      <c r="Y36" s="75">
        <v>1</v>
      </c>
      <c r="Z36" s="75">
        <v>0</v>
      </c>
      <c r="AA36" s="63">
        <v>790</v>
      </c>
      <c r="AB36" s="63" t="s">
        <v>1215</v>
      </c>
      <c r="AC36" s="48" t="s">
        <v>1126</v>
      </c>
      <c r="AD36" s="102">
        <f>IFERROR(ROUND((VLOOKUP($A36,'Из ГУГЛа'!$B:$Z,AD$1,0)+AF36)*AE36,),VLOOKUP($A36,'Из ГУГЛа'!$B:$Z,AD$1,0))</f>
        <v>0</v>
      </c>
      <c r="AE36" s="100">
        <v>1</v>
      </c>
      <c r="AF36" s="100"/>
      <c r="AG36" s="103">
        <v>628</v>
      </c>
      <c r="AH36" s="103" t="s">
        <v>2091</v>
      </c>
      <c r="AI36" s="102">
        <f>IFERROR(ROUND((VLOOKUP($A36,'Из ГУГЛа'!$B:$Z,AI$1,0)+AK36)*AJ36,),VLOOKUP($A36,'Из ГУГЛа'!$B:$Z,AI$1,0))</f>
        <v>0</v>
      </c>
      <c r="AJ36" s="100">
        <v>1</v>
      </c>
      <c r="AK36" s="100"/>
      <c r="AL36" s="103"/>
      <c r="AM36" s="103"/>
      <c r="AN36" s="102">
        <f>IFERROR(ROUND((VLOOKUP($A36,'Из ГУГЛа'!$B:$Z,AN$1,0)+AP36)*AO36,),VLOOKUP($A36,'Из ГУГЛа'!$B:$Z,AN$1,0))</f>
        <v>0</v>
      </c>
      <c r="AO36" s="100">
        <v>1</v>
      </c>
      <c r="AP36" s="100"/>
      <c r="AQ36" s="103"/>
      <c r="AR36" s="103"/>
    </row>
    <row r="37" spans="1:44" ht="31.5" thickTop="1" thickBot="1" x14ac:dyDescent="0.3">
      <c r="A37" s="57">
        <v>144829</v>
      </c>
      <c r="B37" s="57">
        <f>VLOOKUP($A37,'Выгр Кат'!$A:$T,B$1,0)</f>
        <v>13393</v>
      </c>
      <c r="C37" s="58" t="str">
        <f>VLOOKUP($A37,'Выгр Кат'!$A:$T,C$1,0)</f>
        <v>Жгут проводов датчика системы парковки для Лада Гранта</v>
      </c>
      <c r="D37" s="57" t="str">
        <f>VLOOKUP($A37,'Выгр Кат'!$A:$T,D$1,0)</f>
        <v>Y</v>
      </c>
      <c r="E37" s="57" t="str">
        <f>VLOOKUP($A37,'Выгр Кат'!$A:$T,E$1,0)</f>
        <v>0</v>
      </c>
      <c r="F37" s="57">
        <f>VLOOKUP($A37,'Выгр Кат'!$A:$T,F$1,0)</f>
        <v>0</v>
      </c>
      <c r="G37" s="57" t="str">
        <f>VLOOKUP($A37,'Выгр Кат'!$A:$T,G$1,0)</f>
        <v>21910372424810</v>
      </c>
      <c r="H37" s="57" t="str">
        <f>VLOOKUP($A37,'Выгр Кат'!$A:$T,H$1,0)</f>
        <v>2191-3724248</v>
      </c>
      <c r="I37" s="64"/>
      <c r="J37" s="1" t="s">
        <v>526</v>
      </c>
      <c r="K37" s="46">
        <f>O37</f>
        <v>450</v>
      </c>
      <c r="L37" s="7">
        <f>VLOOKUP(K37,Наценка!$A$1:$B$8,2,1)</f>
        <v>1.75</v>
      </c>
      <c r="M37" s="44">
        <f t="shared" si="0"/>
        <v>787.5</v>
      </c>
      <c r="N37" s="62">
        <f t="shared" si="9"/>
        <v>789</v>
      </c>
      <c r="O37" s="60">
        <f>VLOOKUP($A37,'Выгр Кат'!$A:$P,O$1,0)</f>
        <v>450</v>
      </c>
      <c r="P37" s="60">
        <f>VLOOKUP($A37,'Выгр Кат'!$A:$P,P$1,0)</f>
        <v>789</v>
      </c>
      <c r="Q37" s="73">
        <f t="shared" si="2"/>
        <v>0</v>
      </c>
      <c r="R37" s="73">
        <f t="shared" si="3"/>
        <v>0</v>
      </c>
      <c r="S37" s="97">
        <f t="shared" si="4"/>
        <v>789</v>
      </c>
      <c r="T37" s="98">
        <f t="shared" si="5"/>
        <v>0.75333333333333341</v>
      </c>
      <c r="U37" s="98" t="str">
        <f t="shared" si="6"/>
        <v/>
      </c>
      <c r="V37" s="98" t="str">
        <f t="shared" si="7"/>
        <v/>
      </c>
      <c r="W37" s="99"/>
      <c r="X37" s="102" t="str">
        <f>IFERROR(ROUND((VLOOKUP($A37,'Из ГУГЛа'!$B:$Z,X$1,0)+Z37)*Y37,),VLOOKUP($A37,'Из ГУГЛа'!$B:$Z,X$1,0))</f>
        <v/>
      </c>
      <c r="Y37" s="75">
        <v>1</v>
      </c>
      <c r="Z37" s="75">
        <v>0</v>
      </c>
      <c r="AA37" s="63" t="s">
        <v>1120</v>
      </c>
      <c r="AB37" s="80"/>
      <c r="AD37" s="102">
        <f>IFERROR(ROUND((VLOOKUP($A37,'Из ГУГЛа'!$B:$Z,AD$1,0)+AF37)*AE37,),VLOOKUP($A37,'Из ГУГЛа'!$B:$Z,AD$1,0))</f>
        <v>0</v>
      </c>
      <c r="AE37" s="100">
        <v>1</v>
      </c>
      <c r="AF37" s="100"/>
      <c r="AG37" s="103" t="s">
        <v>1017</v>
      </c>
      <c r="AH37" s="103"/>
      <c r="AI37" s="102">
        <f>IFERROR(ROUND((VLOOKUP($A37,'Из ГУГЛа'!$B:$Z,AI$1,0)+AK37)*AJ37,),VLOOKUP($A37,'Из ГУГЛа'!$B:$Z,AI$1,0))</f>
        <v>0</v>
      </c>
      <c r="AJ37" s="100">
        <v>1</v>
      </c>
      <c r="AK37" s="100"/>
      <c r="AL37" s="103"/>
      <c r="AM37" s="103"/>
      <c r="AN37" s="102">
        <f>IFERROR(ROUND((VLOOKUP($A37,'Из ГУГЛа'!$B:$Z,AN$1,0)+AP37)*AO37,),VLOOKUP($A37,'Из ГУГЛа'!$B:$Z,AN$1,0))</f>
        <v>0</v>
      </c>
      <c r="AO37" s="100">
        <v>1</v>
      </c>
      <c r="AP37" s="100"/>
      <c r="AQ37" s="103"/>
      <c r="AR37" s="103"/>
    </row>
    <row r="38" spans="1:44" ht="46.5" thickTop="1" thickBot="1" x14ac:dyDescent="0.3">
      <c r="A38" s="57">
        <v>144865</v>
      </c>
      <c r="B38" s="57">
        <f>VLOOKUP($A38,'Выгр Кат'!$A:$T,B$1,0)</f>
        <v>13337</v>
      </c>
      <c r="C38" s="58" t="str">
        <f>VLOOKUP($A38,'Выгр Кат'!$A:$T,C$1,0)</f>
        <v>Жгут проводов катушек зажигания для Лада Калина 2, Гранта, Приора 16-ти клапанный двигатель ВАЗ 21127 1.6 л, с одной массой</v>
      </c>
      <c r="D38" s="57" t="str">
        <f>VLOOKUP($A38,'Выгр Кат'!$A:$T,D$1,0)</f>
        <v>Y</v>
      </c>
      <c r="E38" s="57" t="str">
        <f>VLOOKUP($A38,'Выгр Кат'!$A:$T,E$1,0)</f>
        <v>1</v>
      </c>
      <c r="F38" s="57">
        <f>VLOOKUP($A38,'Выгр Кат'!$A:$T,F$1,0)</f>
        <v>0</v>
      </c>
      <c r="G38" s="57" t="str">
        <f>VLOOKUP($A38,'Выгр Кат'!$A:$T,G$1,0)</f>
        <v>211273724148</v>
      </c>
      <c r="H38" s="57" t="str">
        <f>VLOOKUP($A38,'Выгр Кат'!$A:$T,H$1,0)</f>
        <v>21127-3724148</v>
      </c>
      <c r="I38" s="39" t="s">
        <v>647</v>
      </c>
      <c r="J38" s="1" t="s">
        <v>526</v>
      </c>
      <c r="K38" s="47">
        <f>VLOOKUP(I38,Прайс!A:E,5,0)</f>
        <v>650</v>
      </c>
      <c r="L38" s="7">
        <f>VLOOKUP(K38,Наценка!$A$1:$B$8,2,1)</f>
        <v>1.63</v>
      </c>
      <c r="M38" s="44">
        <f t="shared" si="0"/>
        <v>1059.5</v>
      </c>
      <c r="N38" s="62">
        <f t="shared" si="9"/>
        <v>1090</v>
      </c>
      <c r="O38" s="60">
        <f>VLOOKUP($A38,'Выгр Кат'!$A:$P,O$1,0)</f>
        <v>650</v>
      </c>
      <c r="P38" s="60">
        <f>VLOOKUP($A38,'Выгр Кат'!$A:$P,P$1,0)</f>
        <v>1090</v>
      </c>
      <c r="Q38" s="73">
        <f t="shared" si="2"/>
        <v>0</v>
      </c>
      <c r="R38" s="73">
        <f t="shared" si="3"/>
        <v>0</v>
      </c>
      <c r="S38" s="97">
        <f t="shared" si="4"/>
        <v>1090</v>
      </c>
      <c r="T38" s="98">
        <f t="shared" si="5"/>
        <v>0.67692307692307696</v>
      </c>
      <c r="U38" s="98">
        <f t="shared" si="6"/>
        <v>-0.15466101694915255</v>
      </c>
      <c r="V38" s="98">
        <f t="shared" si="7"/>
        <v>0.4523076923076923</v>
      </c>
      <c r="W38" s="106">
        <f t="shared" ref="W38:W45" si="16">MIN(AA38,AG38,AL38,AQ38)</f>
        <v>944</v>
      </c>
      <c r="X38" s="102">
        <f>IFERROR(ROUND((VLOOKUP($A38,'Из ГУГЛа'!$B:$Z,X$1,0)+Z38)*Y38,),VLOOKUP($A38,'Из ГУГЛа'!$B:$Z,X$1,0))</f>
        <v>1190</v>
      </c>
      <c r="Y38" s="75">
        <v>1</v>
      </c>
      <c r="Z38" s="75">
        <v>0</v>
      </c>
      <c r="AA38" s="85">
        <v>1190</v>
      </c>
      <c r="AB38" s="63" t="s">
        <v>1215</v>
      </c>
      <c r="AC38" s="48" t="s">
        <v>909</v>
      </c>
      <c r="AD38" s="102">
        <f>IFERROR(ROUND((VLOOKUP($A38,'Из ГУГЛа'!$B:$Z,AD$1,0)+AF38)*AE38,),VLOOKUP($A38,'Из ГУГЛа'!$B:$Z,AD$1,0))</f>
        <v>0</v>
      </c>
      <c r="AE38" s="100">
        <v>1</v>
      </c>
      <c r="AF38" s="100"/>
      <c r="AG38" s="103">
        <v>944</v>
      </c>
      <c r="AH38" s="103" t="s">
        <v>1887</v>
      </c>
      <c r="AI38" s="102">
        <f>IFERROR(ROUND((VLOOKUP($A38,'Из ГУГЛа'!$B:$Z,AI$1,0)+AK38)*AJ38,),VLOOKUP($A38,'Из ГУГЛа'!$B:$Z,AI$1,0))</f>
        <v>0</v>
      </c>
      <c r="AJ38" s="100">
        <v>1</v>
      </c>
      <c r="AK38" s="100"/>
      <c r="AL38" s="103"/>
      <c r="AM38" s="103"/>
      <c r="AN38" s="102">
        <f>IFERROR(ROUND((VLOOKUP($A38,'Из ГУГЛа'!$B:$Z,AN$1,0)+AP38)*AO38,),VLOOKUP($A38,'Из ГУГЛа'!$B:$Z,AN$1,0))</f>
        <v>0</v>
      </c>
      <c r="AO38" s="100">
        <v>1</v>
      </c>
      <c r="AP38" s="100"/>
      <c r="AQ38" s="103"/>
      <c r="AR38" s="103"/>
    </row>
    <row r="39" spans="1:44" ht="46.5" thickTop="1" thickBot="1" x14ac:dyDescent="0.3">
      <c r="A39" s="57">
        <v>144863</v>
      </c>
      <c r="B39" s="57">
        <f>VLOOKUP($A39,'Выгр Кат'!$A:$T,B$1,0)</f>
        <v>13310</v>
      </c>
      <c r="C39" s="58" t="str">
        <f>VLOOKUP($A39,'Выгр Кат'!$A:$T,C$1,0)</f>
        <v>Жгут проводов катушек зажигания для Лада Приора, Калина 16-ти клапанный двигатель ВАЗ 21126 1.6 л</v>
      </c>
      <c r="D39" s="57" t="str">
        <f>VLOOKUP($A39,'Выгр Кат'!$A:$T,D$1,0)</f>
        <v>Y</v>
      </c>
      <c r="E39" s="57" t="str">
        <f>VLOOKUP($A39,'Выгр Кат'!$A:$T,E$1,0)</f>
        <v>1</v>
      </c>
      <c r="F39" s="57">
        <f>VLOOKUP($A39,'Выгр Кат'!$A:$T,F$1,0)</f>
        <v>0</v>
      </c>
      <c r="G39" s="57" t="str">
        <f>VLOOKUP($A39,'Выгр Кат'!$A:$T,G$1,0)</f>
        <v>11183724148</v>
      </c>
      <c r="H39" s="57" t="str">
        <f>VLOOKUP($A39,'Выгр Кат'!$A:$T,H$1,0)</f>
        <v>1118-3724148</v>
      </c>
      <c r="I39" s="39" t="s">
        <v>647</v>
      </c>
      <c r="J39" s="1" t="s">
        <v>526</v>
      </c>
      <c r="K39" s="47">
        <f>VLOOKUP(I39,Прайс!A:E,5,0)</f>
        <v>650</v>
      </c>
      <c r="L39" s="7">
        <f>VLOOKUP(K39,Наценка!$A$1:$B$8,2,1)</f>
        <v>1.63</v>
      </c>
      <c r="M39" s="44">
        <f t="shared" si="0"/>
        <v>1059.5</v>
      </c>
      <c r="N39" s="62">
        <f t="shared" si="9"/>
        <v>1090</v>
      </c>
      <c r="O39" s="60">
        <f>VLOOKUP($A39,'Выгр Кат'!$A:$P,O$1,0)</f>
        <v>650</v>
      </c>
      <c r="P39" s="60">
        <f>VLOOKUP($A39,'Выгр Кат'!$A:$P,P$1,0)</f>
        <v>1090</v>
      </c>
      <c r="Q39" s="73">
        <f t="shared" si="2"/>
        <v>0</v>
      </c>
      <c r="R39" s="73">
        <f t="shared" si="3"/>
        <v>0</v>
      </c>
      <c r="S39" s="97">
        <f t="shared" si="4"/>
        <v>1090</v>
      </c>
      <c r="T39" s="98">
        <f t="shared" si="5"/>
        <v>0.67692307692307696</v>
      </c>
      <c r="U39" s="98">
        <f t="shared" si="6"/>
        <v>-0.6172106824925816</v>
      </c>
      <c r="V39" s="98">
        <f t="shared" si="7"/>
        <v>3.6923076923076836E-2</v>
      </c>
      <c r="W39" s="106">
        <f t="shared" si="16"/>
        <v>674</v>
      </c>
      <c r="X39" s="102">
        <f>IFERROR(ROUND((VLOOKUP($A39,'Из ГУГЛа'!$B:$Z,X$1,0)+Z39)*Y39,),VLOOKUP($A39,'Из ГУГЛа'!$B:$Z,X$1,0))</f>
        <v>1090</v>
      </c>
      <c r="Y39" s="75">
        <v>1</v>
      </c>
      <c r="Z39" s="75">
        <v>0</v>
      </c>
      <c r="AA39" s="63">
        <v>1090</v>
      </c>
      <c r="AB39" s="63" t="s">
        <v>1215</v>
      </c>
      <c r="AC39" s="48" t="s">
        <v>910</v>
      </c>
      <c r="AD39" s="102">
        <f>IFERROR(ROUND((VLOOKUP($A39,'Из ГУГЛа'!$B:$Z,AD$1,0)+AF39)*AE39,),VLOOKUP($A39,'Из ГУГЛа'!$B:$Z,AD$1,0))</f>
        <v>0</v>
      </c>
      <c r="AE39" s="100">
        <v>1</v>
      </c>
      <c r="AF39" s="100"/>
      <c r="AG39" s="103">
        <v>674</v>
      </c>
      <c r="AH39" s="103" t="s">
        <v>1888</v>
      </c>
      <c r="AI39" s="102">
        <f>IFERROR(ROUND((VLOOKUP($A39,'Из ГУГЛа'!$B:$Z,AI$1,0)+AK39)*AJ39,),VLOOKUP($A39,'Из ГУГЛа'!$B:$Z,AI$1,0))</f>
        <v>0</v>
      </c>
      <c r="AJ39" s="100">
        <v>1</v>
      </c>
      <c r="AK39" s="100"/>
      <c r="AL39" s="103"/>
      <c r="AM39" s="103"/>
      <c r="AN39" s="102">
        <f>IFERROR(ROUND((VLOOKUP($A39,'Из ГУГЛа'!$B:$Z,AN$1,0)+AP39)*AO39,),VLOOKUP($A39,'Из ГУГЛа'!$B:$Z,AN$1,0))</f>
        <v>0</v>
      </c>
      <c r="AO39" s="100">
        <v>1</v>
      </c>
      <c r="AP39" s="100"/>
      <c r="AQ39" s="103"/>
      <c r="AR39" s="103"/>
    </row>
    <row r="40" spans="1:44" ht="46.5" thickTop="1" thickBot="1" x14ac:dyDescent="0.3">
      <c r="A40" s="57">
        <v>144862</v>
      </c>
      <c r="B40" s="57">
        <f>VLOOKUP($A40,'Выгр Кат'!$A:$T,B$1,0)</f>
        <v>13312</v>
      </c>
      <c r="C40" s="58" t="str">
        <f>VLOOKUP($A40,'Выгр Кат'!$A:$T,C$1,0)</f>
        <v>Жгут проводов катушек зажигания для Лада Приора, Калина, Калина 2, Гранта 16-ти клапанный двигатель ВАЗ 21126 1.6 л, Е-Газ</v>
      </c>
      <c r="D40" s="57" t="str">
        <f>VLOOKUP($A40,'Выгр Кат'!$A:$T,D$1,0)</f>
        <v>Y</v>
      </c>
      <c r="E40" s="57" t="str">
        <f>VLOOKUP($A40,'Выгр Кат'!$A:$T,E$1,0)</f>
        <v>1</v>
      </c>
      <c r="F40" s="57">
        <f>VLOOKUP($A40,'Выгр Кат'!$A:$T,F$1,0)</f>
        <v>0</v>
      </c>
      <c r="G40" s="57" t="str">
        <f>VLOOKUP($A40,'Выгр Кат'!$A:$T,G$1,0)</f>
        <v>111743724148</v>
      </c>
      <c r="H40" s="57" t="str">
        <f>VLOOKUP($A40,'Выгр Кат'!$A:$T,H$1,0)</f>
        <v>11174-3724148</v>
      </c>
      <c r="I40" s="39" t="s">
        <v>647</v>
      </c>
      <c r="J40" s="1" t="s">
        <v>526</v>
      </c>
      <c r="K40" s="47">
        <f>VLOOKUP(I40,Прайс!A:E,5,0)</f>
        <v>650</v>
      </c>
      <c r="L40" s="7">
        <f>VLOOKUP(K40,Наценка!$A$1:$B$8,2,1)</f>
        <v>1.63</v>
      </c>
      <c r="M40" s="44">
        <f t="shared" si="0"/>
        <v>1059.5</v>
      </c>
      <c r="N40" s="62">
        <f t="shared" si="9"/>
        <v>1090</v>
      </c>
      <c r="O40" s="60">
        <f>VLOOKUP($A40,'Выгр Кат'!$A:$P,O$1,0)</f>
        <v>650</v>
      </c>
      <c r="P40" s="60">
        <f>VLOOKUP($A40,'Выгр Кат'!$A:$P,P$1,0)</f>
        <v>859</v>
      </c>
      <c r="Q40" s="73">
        <f t="shared" si="2"/>
        <v>0</v>
      </c>
      <c r="R40" s="73">
        <f t="shared" si="3"/>
        <v>-231</v>
      </c>
      <c r="S40" s="97">
        <f t="shared" si="4"/>
        <v>1090</v>
      </c>
      <c r="T40" s="98">
        <f t="shared" si="5"/>
        <v>0.67692307692307696</v>
      </c>
      <c r="U40" s="98">
        <f t="shared" si="6"/>
        <v>-0.59824046920821117</v>
      </c>
      <c r="V40" s="98">
        <f t="shared" si="7"/>
        <v>4.9230769230769189E-2</v>
      </c>
      <c r="W40" s="106">
        <f t="shared" si="16"/>
        <v>682</v>
      </c>
      <c r="X40" s="102">
        <f>IFERROR(ROUND((VLOOKUP($A40,'Из ГУГЛа'!$B:$Z,X$1,0)+Z40)*Y40,),VLOOKUP($A40,'Из ГУГЛа'!$B:$Z,X$1,0))</f>
        <v>890</v>
      </c>
      <c r="Y40" s="75">
        <v>1</v>
      </c>
      <c r="Z40" s="75">
        <v>0</v>
      </c>
      <c r="AA40" s="85">
        <v>890</v>
      </c>
      <c r="AB40" s="63" t="s">
        <v>1215</v>
      </c>
      <c r="AC40" s="48" t="s">
        <v>911</v>
      </c>
      <c r="AD40" s="102">
        <f>IFERROR(ROUND((VLOOKUP($A40,'Из ГУГЛа'!$B:$Z,AD$1,0)+AF40)*AE40,),VLOOKUP($A40,'Из ГУГЛа'!$B:$Z,AD$1,0))</f>
        <v>0</v>
      </c>
      <c r="AE40" s="100">
        <v>1</v>
      </c>
      <c r="AF40" s="100"/>
      <c r="AG40" s="103">
        <v>682</v>
      </c>
      <c r="AH40" s="103" t="s">
        <v>1889</v>
      </c>
      <c r="AI40" s="102">
        <f>IFERROR(ROUND((VLOOKUP($A40,'Из ГУГЛа'!$B:$Z,AI$1,0)+AK40)*AJ40,),VLOOKUP($A40,'Из ГУГЛа'!$B:$Z,AI$1,0))</f>
        <v>0</v>
      </c>
      <c r="AJ40" s="100">
        <v>1</v>
      </c>
      <c r="AK40" s="100"/>
      <c r="AL40" s="103"/>
      <c r="AM40" s="103"/>
      <c r="AN40" s="102">
        <f>IFERROR(ROUND((VLOOKUP($A40,'Из ГУГЛа'!$B:$Z,AN$1,0)+AP40)*AO40,),VLOOKUP($A40,'Из ГУГЛа'!$B:$Z,AN$1,0))</f>
        <v>0</v>
      </c>
      <c r="AO40" s="100">
        <v>1</v>
      </c>
      <c r="AP40" s="100"/>
      <c r="AQ40" s="103"/>
      <c r="AR40" s="103"/>
    </row>
    <row r="41" spans="1:44" ht="27.75" thickTop="1" thickBot="1" x14ac:dyDescent="0.3">
      <c r="A41" s="57">
        <v>155901</v>
      </c>
      <c r="B41" s="57">
        <f>VLOOKUP($A41,'Выгр Кат'!$A:$T,B$1,0)</f>
        <v>13301</v>
      </c>
      <c r="C41" s="58" t="str">
        <f>VLOOKUP($A41,'Выгр Кат'!$A:$T,C$1,0)</f>
        <v>Клемма + евро для ВАЗ 2110-2112</v>
      </c>
      <c r="D41" s="57" t="str">
        <f>VLOOKUP($A41,'Выгр Кат'!$A:$T,D$1,0)</f>
        <v>Y</v>
      </c>
      <c r="E41" s="57" t="str">
        <f>VLOOKUP($A41,'Выгр Кат'!$A:$T,E$1,0)</f>
        <v>1</v>
      </c>
      <c r="F41" s="57">
        <f>VLOOKUP($A41,'Выгр Кат'!$A:$T,F$1,0)</f>
        <v>0</v>
      </c>
      <c r="G41" s="57" t="str">
        <f>VLOOKUP($A41,'Выгр Кат'!$A:$T,G$1,0)</f>
        <v>21103724070</v>
      </c>
      <c r="H41" s="57" t="str">
        <f>VLOOKUP($A41,'Выгр Кат'!$A:$T,H$1,0)</f>
        <v>2110-3724070</v>
      </c>
      <c r="I41" s="39" t="s">
        <v>866</v>
      </c>
      <c r="J41" s="1" t="s">
        <v>526</v>
      </c>
      <c r="K41" s="47">
        <f>VLOOKUP(I41,Прайс!A:E,5,0)</f>
        <v>600</v>
      </c>
      <c r="L41" s="7">
        <f>VLOOKUP(K41,Наценка!$A$1:$B$8,2,1)</f>
        <v>1.63</v>
      </c>
      <c r="M41" s="44">
        <f t="shared" si="0"/>
        <v>977.99999999999989</v>
      </c>
      <c r="N41" s="62">
        <f t="shared" si="9"/>
        <v>979</v>
      </c>
      <c r="O41" s="60">
        <f>VLOOKUP($A41,'Выгр Кат'!$A:$P,O$1,0)</f>
        <v>600</v>
      </c>
      <c r="P41" s="60">
        <f>VLOOKUP($A41,'Выгр Кат'!$A:$P,P$1,0)</f>
        <v>959</v>
      </c>
      <c r="Q41" s="73">
        <f t="shared" si="2"/>
        <v>0</v>
      </c>
      <c r="R41" s="73">
        <f t="shared" si="3"/>
        <v>-20</v>
      </c>
      <c r="S41" s="97">
        <f t="shared" si="4"/>
        <v>979</v>
      </c>
      <c r="T41" s="98">
        <f t="shared" si="5"/>
        <v>0.6316666666666666</v>
      </c>
      <c r="U41" s="98">
        <f t="shared" si="6"/>
        <v>-1.069767441860465</v>
      </c>
      <c r="V41" s="98">
        <f t="shared" si="7"/>
        <v>-0.21166666666666667</v>
      </c>
      <c r="W41" s="106">
        <f t="shared" si="16"/>
        <v>473</v>
      </c>
      <c r="X41" s="102">
        <f>IFERROR(ROUND((VLOOKUP($A41,'Из ГУГЛа'!$B:$Z,X$1,0)+Z41)*Y41,),VLOOKUP($A41,'Из ГУГЛа'!$B:$Z,X$1,0))</f>
        <v>990</v>
      </c>
      <c r="Y41" s="75">
        <v>1</v>
      </c>
      <c r="Z41" s="75">
        <v>0</v>
      </c>
      <c r="AA41" s="63">
        <v>990</v>
      </c>
      <c r="AB41" s="63" t="s">
        <v>1215</v>
      </c>
      <c r="AC41" s="48" t="s">
        <v>1125</v>
      </c>
      <c r="AD41" s="102">
        <f>IFERROR(ROUND((VLOOKUP($A41,'Из ГУГЛа'!$B:$Z,AD$1,0)+AF41)*AE41,),VLOOKUP($A41,'Из ГУГЛа'!$B:$Z,AD$1,0))</f>
        <v>0</v>
      </c>
      <c r="AE41" s="100">
        <v>1</v>
      </c>
      <c r="AF41" s="100"/>
      <c r="AG41" s="103">
        <v>473</v>
      </c>
      <c r="AH41" s="103" t="s">
        <v>1890</v>
      </c>
      <c r="AI41" s="102">
        <f>IFERROR(ROUND((VLOOKUP($A41,'Из ГУГЛа'!$B:$Z,AI$1,0)+AK41)*AJ41,),VLOOKUP($A41,'Из ГУГЛа'!$B:$Z,AI$1,0))</f>
        <v>0</v>
      </c>
      <c r="AJ41" s="100">
        <v>1</v>
      </c>
      <c r="AK41" s="100"/>
      <c r="AL41" s="103"/>
      <c r="AM41" s="103"/>
      <c r="AN41" s="102">
        <f>IFERROR(ROUND((VLOOKUP($A41,'Из ГУГЛа'!$B:$Z,AN$1,0)+AP41)*AO41,),VLOOKUP($A41,'Из ГУГЛа'!$B:$Z,AN$1,0))</f>
        <v>0</v>
      </c>
      <c r="AO41" s="100">
        <v>1</v>
      </c>
      <c r="AP41" s="100"/>
      <c r="AQ41" s="103"/>
      <c r="AR41" s="103"/>
    </row>
    <row r="42" spans="1:44" ht="40.5" thickTop="1" thickBot="1" x14ac:dyDescent="0.3">
      <c r="A42" s="57">
        <v>144958</v>
      </c>
      <c r="B42" s="57">
        <f>VLOOKUP($A42,'Выгр Кат'!$A:$T,B$1,0)</f>
        <v>13297</v>
      </c>
      <c r="C42" s="58" t="str">
        <f>VLOOKUP($A42,'Выгр Кат'!$A:$T,C$1,0)</f>
        <v>Жгут проводов салона и подсветки для ВАЗ 2110-2112</v>
      </c>
      <c r="D42" s="57" t="str">
        <f>VLOOKUP($A42,'Выгр Кат'!$A:$T,D$1,0)</f>
        <v>Y</v>
      </c>
      <c r="E42" s="57" t="str">
        <f>VLOOKUP($A42,'Выгр Кат'!$A:$T,E$1,0)</f>
        <v>1</v>
      </c>
      <c r="F42" s="57">
        <f>VLOOKUP($A42,'Выгр Кат'!$A:$T,F$1,0)</f>
        <v>0</v>
      </c>
      <c r="G42" s="57" t="str">
        <f>VLOOKUP($A42,'Выгр Кат'!$A:$T,G$1,0)</f>
        <v>21103724551</v>
      </c>
      <c r="H42" s="57" t="str">
        <f>VLOOKUP($A42,'Выгр Кат'!$A:$T,H$1,0)</f>
        <v>2110-3724551</v>
      </c>
      <c r="I42" s="39" t="s">
        <v>616</v>
      </c>
      <c r="J42" s="1" t="s">
        <v>526</v>
      </c>
      <c r="K42" s="47">
        <f>VLOOKUP(I42,Прайс!A:E,5,0)</f>
        <v>550</v>
      </c>
      <c r="L42" s="7">
        <f>VLOOKUP(K42,Наценка!$A$1:$B$8,2,1)</f>
        <v>1.63</v>
      </c>
      <c r="M42" s="44">
        <f t="shared" si="0"/>
        <v>896.49999999999989</v>
      </c>
      <c r="N42" s="62">
        <f t="shared" si="9"/>
        <v>899</v>
      </c>
      <c r="O42" s="60">
        <f>VLOOKUP($A42,'Выгр Кат'!$A:$P,O$1,0)</f>
        <v>550</v>
      </c>
      <c r="P42" s="60">
        <f>VLOOKUP($A42,'Выгр Кат'!$A:$P,P$1,0)</f>
        <v>859</v>
      </c>
      <c r="Q42" s="73">
        <f t="shared" si="2"/>
        <v>0</v>
      </c>
      <c r="R42" s="73">
        <f t="shared" si="3"/>
        <v>-40</v>
      </c>
      <c r="S42" s="97">
        <f t="shared" si="4"/>
        <v>899</v>
      </c>
      <c r="T42" s="98">
        <f t="shared" si="5"/>
        <v>0.63454545454545452</v>
      </c>
      <c r="U42" s="98">
        <f t="shared" si="6"/>
        <v>-1.0112359550561797E-2</v>
      </c>
      <c r="V42" s="98">
        <f t="shared" si="7"/>
        <v>0.61818181818181817</v>
      </c>
      <c r="W42" s="106">
        <f t="shared" si="16"/>
        <v>890</v>
      </c>
      <c r="X42" s="102">
        <f>IFERROR(ROUND((VLOOKUP($A42,'Из ГУГЛа'!$B:$Z,X$1,0)+Z42)*Y42,),VLOOKUP($A42,'Из ГУГЛа'!$B:$Z,X$1,0))</f>
        <v>890</v>
      </c>
      <c r="Y42" s="75">
        <v>1</v>
      </c>
      <c r="Z42" s="75">
        <v>0</v>
      </c>
      <c r="AA42" s="85">
        <v>890</v>
      </c>
      <c r="AB42" s="63" t="s">
        <v>1215</v>
      </c>
      <c r="AC42" s="48" t="s">
        <v>908</v>
      </c>
      <c r="AD42" s="102">
        <f>IFERROR(ROUND((VLOOKUP($A42,'Из ГУГЛа'!$B:$Z,AD$1,0)+AF42)*AE42,),VLOOKUP($A42,'Из ГУГЛа'!$B:$Z,AD$1,0))</f>
        <v>0</v>
      </c>
      <c r="AE42" s="100">
        <v>1</v>
      </c>
      <c r="AF42" s="100"/>
      <c r="AG42" s="103">
        <v>1055</v>
      </c>
      <c r="AH42" s="103" t="s">
        <v>1891</v>
      </c>
      <c r="AI42" s="102">
        <f>IFERROR(ROUND((VLOOKUP($A42,'Из ГУГЛа'!$B:$Z,AI$1,0)+AK42)*AJ42,),VLOOKUP($A42,'Из ГУГЛа'!$B:$Z,AI$1,0))</f>
        <v>0</v>
      </c>
      <c r="AJ42" s="100">
        <v>1</v>
      </c>
      <c r="AK42" s="100"/>
      <c r="AL42" s="103"/>
      <c r="AM42" s="103"/>
      <c r="AN42" s="102">
        <f>IFERROR(ROUND((VLOOKUP($A42,'Из ГУГЛа'!$B:$Z,AN$1,0)+AP42)*AO42,),VLOOKUP($A42,'Из ГУГЛа'!$B:$Z,AN$1,0))</f>
        <v>0</v>
      </c>
      <c r="AO42" s="100">
        <v>1</v>
      </c>
      <c r="AP42" s="100"/>
      <c r="AQ42" s="103"/>
      <c r="AR42" s="103"/>
    </row>
    <row r="43" spans="1:44" ht="27.75" thickTop="1" thickBot="1" x14ac:dyDescent="0.3">
      <c r="A43" s="57">
        <v>155902</v>
      </c>
      <c r="B43" s="57">
        <f>VLOOKUP($A43,'Выгр Кат'!$A:$T,B$1,0)</f>
        <v>13421</v>
      </c>
      <c r="C43" s="58" t="str">
        <f>VLOOKUP($A43,'Выгр Кат'!$A:$T,C$1,0)</f>
        <v>Клемма + евро для Лада Нива 4х4</v>
      </c>
      <c r="D43" s="57" t="str">
        <f>VLOOKUP($A43,'Выгр Кат'!$A:$T,D$1,0)</f>
        <v>Y</v>
      </c>
      <c r="E43" s="57" t="str">
        <f>VLOOKUP($A43,'Выгр Кат'!$A:$T,E$1,0)</f>
        <v>1</v>
      </c>
      <c r="F43" s="57">
        <f>VLOOKUP($A43,'Выгр Кат'!$A:$T,F$1,0)</f>
        <v>0</v>
      </c>
      <c r="G43" s="57" t="str">
        <f>VLOOKUP($A43,'Выгр Кат'!$A:$T,G$1,0)</f>
        <v>212133724070</v>
      </c>
      <c r="H43" s="57" t="str">
        <f>VLOOKUP($A43,'Выгр Кат'!$A:$T,H$1,0)</f>
        <v>21213-3724070</v>
      </c>
      <c r="I43" s="39" t="s">
        <v>869</v>
      </c>
      <c r="J43" s="1" t="s">
        <v>526</v>
      </c>
      <c r="K43" s="47">
        <f>VLOOKUP(I43,Прайс!A:E,5,0)</f>
        <v>600</v>
      </c>
      <c r="L43" s="7">
        <f>VLOOKUP(K43,Наценка!$A$1:$B$8,2,1)</f>
        <v>1.63</v>
      </c>
      <c r="M43" s="44">
        <f t="shared" si="0"/>
        <v>977.99999999999989</v>
      </c>
      <c r="N43" s="62">
        <f t="shared" si="9"/>
        <v>979</v>
      </c>
      <c r="O43" s="60">
        <f>VLOOKUP($A43,'Выгр Кат'!$A:$P,O$1,0)</f>
        <v>550</v>
      </c>
      <c r="P43" s="60">
        <f>VLOOKUP($A43,'Выгр Кат'!$A:$P,P$1,0)</f>
        <v>859</v>
      </c>
      <c r="Q43" s="73">
        <f t="shared" si="2"/>
        <v>-50</v>
      </c>
      <c r="R43" s="73">
        <f t="shared" si="3"/>
        <v>-120</v>
      </c>
      <c r="S43" s="97">
        <f t="shared" si="4"/>
        <v>979</v>
      </c>
      <c r="T43" s="98">
        <f t="shared" si="5"/>
        <v>0.6316666666666666</v>
      </c>
      <c r="U43" s="98">
        <f t="shared" si="6"/>
        <v>-0.1</v>
      </c>
      <c r="V43" s="98">
        <f t="shared" si="7"/>
        <v>0.48333333333333339</v>
      </c>
      <c r="W43" s="106">
        <f t="shared" si="16"/>
        <v>890</v>
      </c>
      <c r="X43" s="102">
        <f>IFERROR(ROUND((VLOOKUP($A43,'Из ГУГЛа'!$B:$Z,X$1,0)+Z43)*Y43,),VLOOKUP($A43,'Из ГУГЛа'!$B:$Z,X$1,0))</f>
        <v>890</v>
      </c>
      <c r="Y43" s="75">
        <v>1</v>
      </c>
      <c r="Z43" s="75">
        <v>0</v>
      </c>
      <c r="AA43" s="63">
        <v>890</v>
      </c>
      <c r="AB43" s="63" t="s">
        <v>1215</v>
      </c>
      <c r="AC43" s="48" t="s">
        <v>1124</v>
      </c>
      <c r="AD43" s="102">
        <f>IFERROR(ROUND((VLOOKUP($A43,'Из ГУГЛа'!$B:$Z,AD$1,0)+AF43)*AE43,),VLOOKUP($A43,'Из ГУГЛа'!$B:$Z,AD$1,0))</f>
        <v>0</v>
      </c>
      <c r="AE43" s="100">
        <v>1</v>
      </c>
      <c r="AF43" s="100"/>
      <c r="AG43" s="103">
        <v>974</v>
      </c>
      <c r="AH43" s="103" t="s">
        <v>1892</v>
      </c>
      <c r="AI43" s="102">
        <f>IFERROR(ROUND((VLOOKUP($A43,'Из ГУГЛа'!$B:$Z,AI$1,0)+AK43)*AJ43,),VLOOKUP($A43,'Из ГУГЛа'!$B:$Z,AI$1,0))</f>
        <v>0</v>
      </c>
      <c r="AJ43" s="100">
        <v>1</v>
      </c>
      <c r="AK43" s="100"/>
      <c r="AL43" s="103"/>
      <c r="AM43" s="103"/>
      <c r="AN43" s="102">
        <f>IFERROR(ROUND((VLOOKUP($A43,'Из ГУГЛа'!$B:$Z,AN$1,0)+AP43)*AO43,),VLOOKUP($A43,'Из ГУГЛа'!$B:$Z,AN$1,0))</f>
        <v>0</v>
      </c>
      <c r="AO43" s="100">
        <v>1</v>
      </c>
      <c r="AP43" s="100"/>
      <c r="AQ43" s="103"/>
      <c r="AR43" s="103"/>
    </row>
    <row r="44" spans="1:44" ht="40.5" thickTop="1" thickBot="1" x14ac:dyDescent="0.3">
      <c r="A44" s="57">
        <v>160435</v>
      </c>
      <c r="B44" s="57">
        <f>VLOOKUP($A44,'Выгр Кат'!$A:$T,B$1,0)</f>
        <v>13250</v>
      </c>
      <c r="C44" s="58" t="str">
        <f>VLOOKUP($A44,'Выгр Кат'!$A:$T,C$1,0)</f>
        <v>Жгут панели приборов для ВАЗ 2105</v>
      </c>
      <c r="D44" s="57" t="str">
        <f>VLOOKUP($A44,'Выгр Кат'!$A:$T,D$1,0)</f>
        <v>Y</v>
      </c>
      <c r="E44" s="57" t="str">
        <f>VLOOKUP($A44,'Выгр Кат'!$A:$T,E$1,0)</f>
        <v>1</v>
      </c>
      <c r="F44" s="57">
        <f>VLOOKUP($A44,'Выгр Кат'!$A:$T,F$1,0)</f>
        <v>0</v>
      </c>
      <c r="G44" s="57" t="str">
        <f>VLOOKUP($A44,'Выгр Кат'!$A:$T,G$1,0)</f>
        <v>21053724035</v>
      </c>
      <c r="H44" s="57" t="str">
        <f>VLOOKUP($A44,'Выгр Кат'!$A:$T,H$1,0)</f>
        <v>2105-3724035</v>
      </c>
      <c r="I44" s="39" t="s">
        <v>583</v>
      </c>
      <c r="J44" s="1" t="s">
        <v>526</v>
      </c>
      <c r="K44" s="47">
        <f>VLOOKUP(I44,Прайс!A:E,5,0)</f>
        <v>750</v>
      </c>
      <c r="L44" s="7">
        <f>VLOOKUP(K44,Наценка!$A$1:$B$8,2,1)</f>
        <v>1.63</v>
      </c>
      <c r="M44" s="44">
        <f t="shared" si="0"/>
        <v>1222.5</v>
      </c>
      <c r="N44" s="62">
        <f t="shared" si="9"/>
        <v>1290</v>
      </c>
      <c r="O44" s="60">
        <f>VLOOKUP($A44,'Выгр Кат'!$A:$P,O$1,0)</f>
        <v>700</v>
      </c>
      <c r="P44" s="60">
        <f>VLOOKUP($A44,'Выгр Кат'!$A:$P,P$1,0)</f>
        <v>1090</v>
      </c>
      <c r="Q44" s="73">
        <f t="shared" si="2"/>
        <v>-50</v>
      </c>
      <c r="R44" s="73">
        <f t="shared" si="3"/>
        <v>-200</v>
      </c>
      <c r="S44" s="97">
        <f t="shared" si="4"/>
        <v>1290</v>
      </c>
      <c r="T44" s="98">
        <f t="shared" si="5"/>
        <v>0.72</v>
      </c>
      <c r="U44" s="98">
        <f t="shared" si="6"/>
        <v>-8.4033613445378158E-2</v>
      </c>
      <c r="V44" s="98">
        <f t="shared" si="7"/>
        <v>0.58666666666666667</v>
      </c>
      <c r="W44" s="106">
        <f t="shared" si="16"/>
        <v>1190</v>
      </c>
      <c r="X44" s="102">
        <f>IFERROR(ROUND((VLOOKUP($A44,'Из ГУГЛа'!$B:$Z,X$1,0)+Z44)*Y44,),VLOOKUP($A44,'Из ГУГЛа'!$B:$Z,X$1,0))</f>
        <v>1190</v>
      </c>
      <c r="Y44" s="75">
        <v>1</v>
      </c>
      <c r="Z44" s="75">
        <v>0</v>
      </c>
      <c r="AA44" s="63">
        <v>1190</v>
      </c>
      <c r="AB44" s="63" t="s">
        <v>1215</v>
      </c>
      <c r="AC44" s="48" t="s">
        <v>780</v>
      </c>
      <c r="AD44" s="102">
        <f>IFERROR(ROUND((VLOOKUP($A44,'Из ГУГЛа'!$B:$Z,AD$1,0)+AF44)*AE44,),VLOOKUP($A44,'Из ГУГЛа'!$B:$Z,AD$1,0))</f>
        <v>0</v>
      </c>
      <c r="AE44" s="100">
        <v>1</v>
      </c>
      <c r="AF44" s="100"/>
      <c r="AG44" s="103">
        <v>2271</v>
      </c>
      <c r="AH44" s="103" t="s">
        <v>1893</v>
      </c>
      <c r="AI44" s="102">
        <f>IFERROR(ROUND((VLOOKUP($A44,'Из ГУГЛа'!$B:$Z,AI$1,0)+AK44)*AJ44,),VLOOKUP($A44,'Из ГУГЛа'!$B:$Z,AI$1,0))</f>
        <v>0</v>
      </c>
      <c r="AJ44" s="100">
        <v>1</v>
      </c>
      <c r="AK44" s="100"/>
      <c r="AL44" s="103"/>
      <c r="AM44" s="103"/>
      <c r="AN44" s="102">
        <f>IFERROR(ROUND((VLOOKUP($A44,'Из ГУГЛа'!$B:$Z,AN$1,0)+AP44)*AO44,),VLOOKUP($A44,'Из ГУГЛа'!$B:$Z,AN$1,0))</f>
        <v>0</v>
      </c>
      <c r="AO44" s="100">
        <v>1</v>
      </c>
      <c r="AP44" s="100"/>
      <c r="AQ44" s="103"/>
      <c r="AR44" s="103"/>
    </row>
    <row r="45" spans="1:44" ht="53.25" thickTop="1" thickBot="1" x14ac:dyDescent="0.3">
      <c r="A45" s="57">
        <v>144819</v>
      </c>
      <c r="B45" s="57">
        <f>VLOOKUP($A45,'Выгр Кат'!$A:$T,B$1,0)</f>
        <v>13255</v>
      </c>
      <c r="C45" s="58" t="str">
        <f>VLOOKUP($A45,'Выгр Кат'!$A:$T,C$1,0)</f>
        <v>Жгут подфарников для ВАЗ 2106</v>
      </c>
      <c r="D45" s="57" t="str">
        <f>VLOOKUP($A45,'Выгр Кат'!$A:$T,D$1,0)</f>
        <v>Y</v>
      </c>
      <c r="E45" s="57" t="str">
        <f>VLOOKUP($A45,'Выгр Кат'!$A:$T,E$1,0)</f>
        <v>1</v>
      </c>
      <c r="F45" s="57">
        <f>VLOOKUP($A45,'Выгр Кат'!$A:$T,F$1,0)</f>
        <v>0</v>
      </c>
      <c r="G45" s="57" t="str">
        <f>VLOOKUP($A45,'Выгр Кат'!$A:$T,G$1,0)</f>
        <v>21033724020</v>
      </c>
      <c r="H45" s="57" t="str">
        <f>VLOOKUP($A45,'Выгр Кат'!$A:$T,H$1,0)</f>
        <v>2103-3724020, 2103-3724021</v>
      </c>
      <c r="I45" s="39" t="s">
        <v>589</v>
      </c>
      <c r="J45" s="1" t="s">
        <v>526</v>
      </c>
      <c r="K45" s="47">
        <f>VLOOKUP(I45,Прайс!A:E,5,0)</f>
        <v>1000</v>
      </c>
      <c r="L45" s="7">
        <f>VLOOKUP(K45,Наценка!$A$1:$B$8,2,1)</f>
        <v>1.5</v>
      </c>
      <c r="M45" s="44">
        <f t="shared" si="0"/>
        <v>1500</v>
      </c>
      <c r="N45" s="62">
        <f t="shared" si="9"/>
        <v>1490</v>
      </c>
      <c r="O45" s="60">
        <f>VLOOKUP($A45,'Выгр Кат'!$A:$P,O$1,0)</f>
        <v>700</v>
      </c>
      <c r="P45" s="60">
        <f>VLOOKUP($A45,'Выгр Кат'!$A:$P,P$1,0)</f>
        <v>1090</v>
      </c>
      <c r="Q45" s="73">
        <f t="shared" si="2"/>
        <v>-300</v>
      </c>
      <c r="R45" s="73">
        <f t="shared" si="3"/>
        <v>-400</v>
      </c>
      <c r="S45" s="97">
        <f t="shared" si="4"/>
        <v>1490</v>
      </c>
      <c r="T45" s="98">
        <f t="shared" si="5"/>
        <v>0.49</v>
      </c>
      <c r="U45" s="98">
        <f t="shared" si="6"/>
        <v>-0.88607594936708856</v>
      </c>
      <c r="V45" s="98">
        <f t="shared" si="7"/>
        <v>-0.20999999999999996</v>
      </c>
      <c r="W45" s="106">
        <f t="shared" si="16"/>
        <v>790</v>
      </c>
      <c r="X45" s="102">
        <f>IFERROR(ROUND((VLOOKUP($A45,'Из ГУГЛа'!$B:$Z,X$1,0)+Z45)*Y45,),VLOOKUP($A45,'Из ГУГЛа'!$B:$Z,X$1,0))</f>
        <v>1190</v>
      </c>
      <c r="Y45" s="75">
        <v>1</v>
      </c>
      <c r="Z45" s="75">
        <v>0</v>
      </c>
      <c r="AA45" s="63">
        <v>1190</v>
      </c>
      <c r="AB45" s="63" t="s">
        <v>1215</v>
      </c>
      <c r="AC45" s="48" t="s">
        <v>1123</v>
      </c>
      <c r="AD45" s="102">
        <f>IFERROR(ROUND((VLOOKUP($A45,'Из ГУГЛа'!$B:$Z,AD$1,0)+AF45)*AE45,),VLOOKUP($A45,'Из ГУГЛа'!$B:$Z,AD$1,0))</f>
        <v>0</v>
      </c>
      <c r="AE45" s="100">
        <v>1</v>
      </c>
      <c r="AF45" s="100"/>
      <c r="AG45" s="103">
        <v>790</v>
      </c>
      <c r="AH45" s="103" t="s">
        <v>1894</v>
      </c>
      <c r="AI45" s="102">
        <f>IFERROR(ROUND((VLOOKUP($A45,'Из ГУГЛа'!$B:$Z,AI$1,0)+AK45)*AJ45,),VLOOKUP($A45,'Из ГУГЛа'!$B:$Z,AI$1,0))</f>
        <v>0</v>
      </c>
      <c r="AJ45" s="100">
        <v>1</v>
      </c>
      <c r="AK45" s="100"/>
      <c r="AL45" s="103"/>
      <c r="AM45" s="103"/>
      <c r="AN45" s="102">
        <f>IFERROR(ROUND((VLOOKUP($A45,'Из ГУГЛа'!$B:$Z,AN$1,0)+AP45)*AO45,),VLOOKUP($A45,'Из ГУГЛа'!$B:$Z,AN$1,0))</f>
        <v>0</v>
      </c>
      <c r="AO45" s="100">
        <v>1</v>
      </c>
      <c r="AP45" s="100"/>
      <c r="AQ45" s="103"/>
      <c r="AR45" s="103"/>
    </row>
    <row r="46" spans="1:44" ht="40.5" thickTop="1" thickBot="1" x14ac:dyDescent="0.3">
      <c r="A46" s="57">
        <v>144978</v>
      </c>
      <c r="B46" s="57">
        <f>VLOOKUP($A46,'Выгр Кат'!$A:$T,B$1,0)</f>
        <v>13324</v>
      </c>
      <c r="C46" s="58" t="str">
        <f>VLOOKUP($A46,'Выгр Кат'!$A:$T,C$1,0)</f>
        <v>Жгут проводов стеклоочистителя для Лада Калина</v>
      </c>
      <c r="D46" s="57" t="str">
        <f>VLOOKUP($A46,'Выгр Кат'!$A:$T,D$1,0)</f>
        <v>Y</v>
      </c>
      <c r="E46" s="57" t="str">
        <f>VLOOKUP($A46,'Выгр Кат'!$A:$T,E$1,0)</f>
        <v>1</v>
      </c>
      <c r="F46" s="57">
        <f>VLOOKUP($A46,'Выгр Кат'!$A:$T,F$1,0)</f>
        <v>0</v>
      </c>
      <c r="G46" s="57" t="str">
        <f>VLOOKUP($A46,'Выгр Кат'!$A:$T,G$1,0)</f>
        <v>11183724019</v>
      </c>
      <c r="H46" s="57" t="str">
        <f>VLOOKUP($A46,'Выгр Кат'!$A:$T,H$1,0)</f>
        <v>1118-3724019</v>
      </c>
      <c r="I46" s="39" t="s">
        <v>659</v>
      </c>
      <c r="J46" s="1" t="s">
        <v>526</v>
      </c>
      <c r="K46" s="47">
        <f>VLOOKUP(I46,Прайс!A:E,5,0)</f>
        <v>700</v>
      </c>
      <c r="L46" s="7">
        <f>VLOOKUP(K46,Наценка!$A$1:$B$8,2,1)</f>
        <v>1.63</v>
      </c>
      <c r="M46" s="44">
        <f t="shared" si="0"/>
        <v>1141</v>
      </c>
      <c r="N46" s="62">
        <f t="shared" si="9"/>
        <v>1190</v>
      </c>
      <c r="O46" s="60">
        <f>VLOOKUP($A46,'Выгр Кат'!$A:$P,O$1,0)</f>
        <v>700</v>
      </c>
      <c r="P46" s="60">
        <f>VLOOKUP($A46,'Выгр Кат'!$A:$P,P$1,0)</f>
        <v>1090</v>
      </c>
      <c r="Q46" s="73">
        <f t="shared" si="2"/>
        <v>0</v>
      </c>
      <c r="R46" s="73">
        <f t="shared" si="3"/>
        <v>-100</v>
      </c>
      <c r="S46" s="97">
        <f t="shared" si="4"/>
        <v>1190</v>
      </c>
      <c r="T46" s="98">
        <f t="shared" si="5"/>
        <v>0.7</v>
      </c>
      <c r="U46" s="98" t="str">
        <f t="shared" si="6"/>
        <v/>
      </c>
      <c r="V46" s="98" t="str">
        <f t="shared" si="7"/>
        <v/>
      </c>
      <c r="W46" s="103"/>
      <c r="X46" s="102">
        <f>IFERROR(ROUND((VLOOKUP($A46,'Из ГУГЛа'!$B:$Z,X$1,0)+Z46)*Y46,),VLOOKUP($A46,'Из ГУГЛа'!$B:$Z,X$1,0))</f>
        <v>1190</v>
      </c>
      <c r="Y46" s="75">
        <v>1</v>
      </c>
      <c r="Z46" s="75">
        <v>0</v>
      </c>
      <c r="AA46" s="85">
        <v>1190</v>
      </c>
      <c r="AB46" s="63" t="s">
        <v>1215</v>
      </c>
      <c r="AC46" s="48" t="s">
        <v>907</v>
      </c>
      <c r="AD46" s="102">
        <f>IFERROR(ROUND((VLOOKUP($A46,'Из ГУГЛа'!$B:$Z,AD$1,0)+AF46)*AE46,),VLOOKUP($A46,'Из ГУГЛа'!$B:$Z,AD$1,0))</f>
        <v>0</v>
      </c>
      <c r="AE46" s="100">
        <v>1</v>
      </c>
      <c r="AF46" s="100"/>
      <c r="AG46" s="103" t="s">
        <v>1017</v>
      </c>
      <c r="AH46" s="103"/>
      <c r="AI46" s="102">
        <f>IFERROR(ROUND((VLOOKUP($A46,'Из ГУГЛа'!$B:$Z,AI$1,0)+AK46)*AJ46,),VLOOKUP($A46,'Из ГУГЛа'!$B:$Z,AI$1,0))</f>
        <v>0</v>
      </c>
      <c r="AJ46" s="100">
        <v>1</v>
      </c>
      <c r="AK46" s="100"/>
      <c r="AL46" s="103"/>
      <c r="AM46" s="103"/>
      <c r="AN46" s="102">
        <f>IFERROR(ROUND((VLOOKUP($A46,'Из ГУГЛа'!$B:$Z,AN$1,0)+AP46)*AO46,),VLOOKUP($A46,'Из ГУГЛа'!$B:$Z,AN$1,0))</f>
        <v>0</v>
      </c>
      <c r="AO46" s="100">
        <v>1</v>
      </c>
      <c r="AP46" s="100"/>
      <c r="AQ46" s="103"/>
      <c r="AR46" s="103"/>
    </row>
    <row r="47" spans="1:44" ht="31.5" thickTop="1" thickBot="1" x14ac:dyDescent="0.3">
      <c r="A47" s="57">
        <v>144861</v>
      </c>
      <c r="B47" s="57">
        <f>VLOOKUP($A47,'Выгр Кат'!$A:$T,B$1,0)</f>
        <v>13284</v>
      </c>
      <c r="C47" s="58" t="str">
        <f>VLOOKUP($A47,'Выгр Кат'!$A:$T,C$1,0)</f>
        <v>Жгут проводов задний дополнительный правый для ВАЗ 2115</v>
      </c>
      <c r="D47" s="57" t="str">
        <f>VLOOKUP($A47,'Выгр Кат'!$A:$T,D$1,0)</f>
        <v>Y</v>
      </c>
      <c r="E47" s="57" t="str">
        <f>VLOOKUP($A47,'Выгр Кат'!$A:$T,E$1,0)</f>
        <v>1</v>
      </c>
      <c r="F47" s="57">
        <f>VLOOKUP($A47,'Выгр Кат'!$A:$T,F$1,0)</f>
        <v>0</v>
      </c>
      <c r="G47" s="57" t="str">
        <f>VLOOKUP($A47,'Выгр Кат'!$A:$T,G$1,0)</f>
        <v>21153724550</v>
      </c>
      <c r="H47" s="57" t="str">
        <f>VLOOKUP($A47,'Выгр Кат'!$A:$T,H$1,0)</f>
        <v>2115-3724550</v>
      </c>
      <c r="I47" s="64"/>
      <c r="J47" s="1" t="s">
        <v>526</v>
      </c>
      <c r="K47" s="46">
        <f t="shared" ref="K47:K48" si="17">O47</f>
        <v>700</v>
      </c>
      <c r="L47" s="7">
        <f>VLOOKUP(K47,Наценка!$A$1:$B$8,2,1)</f>
        <v>1.63</v>
      </c>
      <c r="M47" s="44">
        <f t="shared" si="0"/>
        <v>1141</v>
      </c>
      <c r="N47" s="62">
        <f t="shared" si="9"/>
        <v>1190</v>
      </c>
      <c r="O47" s="60">
        <f>VLOOKUP($A47,'Выгр Кат'!$A:$P,O$1,0)</f>
        <v>700</v>
      </c>
      <c r="P47" s="60">
        <f>VLOOKUP($A47,'Выгр Кат'!$A:$P,P$1,0)</f>
        <v>879</v>
      </c>
      <c r="Q47" s="73">
        <f t="shared" si="2"/>
        <v>0</v>
      </c>
      <c r="R47" s="73">
        <f t="shared" si="3"/>
        <v>-311</v>
      </c>
      <c r="S47" s="97">
        <f t="shared" si="4"/>
        <v>1190</v>
      </c>
      <c r="T47" s="98">
        <f t="shared" si="5"/>
        <v>0.7</v>
      </c>
      <c r="U47" s="98" t="str">
        <f t="shared" si="6"/>
        <v/>
      </c>
      <c r="V47" s="98" t="str">
        <f t="shared" si="7"/>
        <v/>
      </c>
      <c r="W47" s="103"/>
      <c r="X47" s="102">
        <f>IFERROR(ROUND((VLOOKUP($A47,'Из ГУГЛа'!$B:$Z,X$1,0)+Z47)*Y47,),VLOOKUP($A47,'Из ГУГЛа'!$B:$Z,X$1,0))</f>
        <v>829</v>
      </c>
      <c r="Y47" s="75">
        <v>1</v>
      </c>
      <c r="Z47" s="75">
        <v>0</v>
      </c>
      <c r="AA47" s="85">
        <v>829</v>
      </c>
      <c r="AB47" s="63" t="s">
        <v>1215</v>
      </c>
      <c r="AC47" s="48" t="s">
        <v>815</v>
      </c>
      <c r="AD47" s="102">
        <f>IFERROR(ROUND((VLOOKUP($A47,'Из ГУГЛа'!$B:$Z,AD$1,0)+AF47)*AE47,),VLOOKUP($A47,'Из ГУГЛа'!$B:$Z,AD$1,0))</f>
        <v>0</v>
      </c>
      <c r="AE47" s="100">
        <v>1</v>
      </c>
      <c r="AF47" s="100"/>
      <c r="AG47" s="103" t="s">
        <v>1017</v>
      </c>
      <c r="AH47" s="103"/>
      <c r="AI47" s="102">
        <f>IFERROR(ROUND((VLOOKUP($A47,'Из ГУГЛа'!$B:$Z,AI$1,0)+AK47)*AJ47,),VLOOKUP($A47,'Из ГУГЛа'!$B:$Z,AI$1,0))</f>
        <v>0</v>
      </c>
      <c r="AJ47" s="100">
        <v>1</v>
      </c>
      <c r="AK47" s="100"/>
      <c r="AL47" s="103"/>
      <c r="AM47" s="103"/>
      <c r="AN47" s="102">
        <f>IFERROR(ROUND((VLOOKUP($A47,'Из ГУГЛа'!$B:$Z,AN$1,0)+AP47)*AO47,),VLOOKUP($A47,'Из ГУГЛа'!$B:$Z,AN$1,0))</f>
        <v>0</v>
      </c>
      <c r="AO47" s="100">
        <v>1</v>
      </c>
      <c r="AP47" s="100"/>
      <c r="AQ47" s="103"/>
      <c r="AR47" s="103"/>
    </row>
    <row r="48" spans="1:44" ht="61.5" thickTop="1" thickBot="1" x14ac:dyDescent="0.3">
      <c r="A48" s="57">
        <v>202567</v>
      </c>
      <c r="B48" s="57">
        <f>VLOOKUP($A48,'Выгр Кат'!$A:$T,B$1,0)</f>
        <v>30238</v>
      </c>
      <c r="C48" s="58" t="str">
        <f>VLOOKUP($A48,'Выгр Кат'!$A:$T,C$1,0)</f>
        <v>Разъём ЭБУ AMP, 55 контактов для ВАЗ 2108-21099, 2110-2112, Лада Нива 4x4, Шевроле Нива с контроллерами ЯНВАРЬ 5.1, VS 5.1, BOSCH MP 7.0, МИКАС 7.1 и 7.2</v>
      </c>
      <c r="D48" s="57" t="str">
        <f>VLOOKUP($A48,'Выгр Кат'!$A:$T,D$1,0)</f>
        <v>Y</v>
      </c>
      <c r="E48" s="57" t="str">
        <f>VLOOKUP($A48,'Выгр Кат'!$A:$T,E$1,0)</f>
        <v>1ск6</v>
      </c>
      <c r="F48" s="57">
        <f>VLOOKUP($A48,'Выгр Кат'!$A:$T,F$1,0)</f>
        <v>0</v>
      </c>
      <c r="G48" s="57">
        <f>VLOOKUP($A48,'Выгр Кат'!$A:$T,G$1,0)</f>
        <v>0</v>
      </c>
      <c r="H48" s="57">
        <f>VLOOKUP($A48,'Выгр Кат'!$A:$T,H$1,0)</f>
        <v>0</v>
      </c>
      <c r="I48" s="39"/>
      <c r="J48" s="1" t="s">
        <v>526</v>
      </c>
      <c r="K48" s="46">
        <f t="shared" si="17"/>
        <v>800</v>
      </c>
      <c r="L48" s="7">
        <f>VLOOKUP(K48,Наценка!$A$1:$B$8,2,1)</f>
        <v>1.63</v>
      </c>
      <c r="M48" s="44">
        <f t="shared" si="0"/>
        <v>1304</v>
      </c>
      <c r="N48" s="62">
        <f t="shared" si="9"/>
        <v>1390</v>
      </c>
      <c r="O48" s="60">
        <f>VLOOKUP($A48,'Выгр Кат'!$A:$P,O$1,0)</f>
        <v>800</v>
      </c>
      <c r="P48" s="60">
        <f>VLOOKUP($A48,'Выгр Кат'!$A:$P,P$1,0)</f>
        <v>1390</v>
      </c>
      <c r="Q48" s="73">
        <f t="shared" si="2"/>
        <v>0</v>
      </c>
      <c r="R48" s="73">
        <f t="shared" si="3"/>
        <v>0</v>
      </c>
      <c r="S48" s="97">
        <f t="shared" si="4"/>
        <v>1390</v>
      </c>
      <c r="T48" s="98">
        <f t="shared" si="5"/>
        <v>0.73750000000000004</v>
      </c>
      <c r="U48" s="98" t="str">
        <f t="shared" si="6"/>
        <v/>
      </c>
      <c r="V48" s="98" t="str">
        <f t="shared" si="7"/>
        <v/>
      </c>
      <c r="W48" s="99"/>
      <c r="X48" s="102" t="str">
        <f>IFERROR(ROUND((VLOOKUP($A48,'Из ГУГЛа'!$B:$Z,X$1,0)+Z48)*Y48,),VLOOKUP($A48,'Из ГУГЛа'!$B:$Z,X$1,0))</f>
        <v/>
      </c>
      <c r="Y48" s="75">
        <v>1</v>
      </c>
      <c r="Z48" s="75">
        <v>0</v>
      </c>
      <c r="AA48" s="63" t="s">
        <v>1017</v>
      </c>
      <c r="AB48" s="80"/>
      <c r="AD48" s="102">
        <f>IFERROR(ROUND((VLOOKUP($A48,'Из ГУГЛа'!$B:$Z,AD$1,0)+AF48)*AE48,),VLOOKUP($A48,'Из ГУГЛа'!$B:$Z,AD$1,0))</f>
        <v>0</v>
      </c>
      <c r="AE48" s="100">
        <v>1</v>
      </c>
      <c r="AF48" s="100"/>
      <c r="AG48" s="103" t="s">
        <v>1017</v>
      </c>
      <c r="AH48" s="103"/>
      <c r="AI48" s="102">
        <f>IFERROR(ROUND((VLOOKUP($A48,'Из ГУГЛа'!$B:$Z,AI$1,0)+AK48)*AJ48,),VLOOKUP($A48,'Из ГУГЛа'!$B:$Z,AI$1,0))</f>
        <v>0</v>
      </c>
      <c r="AJ48" s="100">
        <v>1</v>
      </c>
      <c r="AK48" s="100"/>
      <c r="AL48" s="103"/>
      <c r="AM48" s="103"/>
      <c r="AN48" s="102">
        <f>IFERROR(ROUND((VLOOKUP($A48,'Из ГУГЛа'!$B:$Z,AN$1,0)+AP48)*AO48,),VLOOKUP($A48,'Из ГУГЛа'!$B:$Z,AN$1,0))</f>
        <v>0</v>
      </c>
      <c r="AO48" s="100">
        <v>1</v>
      </c>
      <c r="AP48" s="100"/>
      <c r="AQ48" s="103"/>
      <c r="AR48" s="103"/>
    </row>
    <row r="49" spans="1:44" ht="27.75" thickTop="1" thickBot="1" x14ac:dyDescent="0.3">
      <c r="A49" s="57">
        <v>144840</v>
      </c>
      <c r="B49" s="57">
        <f>VLOOKUP($A49,'Выгр Кат'!$A:$T,B$1,0)</f>
        <v>13231</v>
      </c>
      <c r="C49" s="58" t="str">
        <f>VLOOKUP($A49,'Выгр Кат'!$A:$T,C$1,0)</f>
        <v>Жгут проводов задний для ВАЗ 2101, 2102</v>
      </c>
      <c r="D49" s="57" t="str">
        <f>VLOOKUP($A49,'Выгр Кат'!$A:$T,D$1,0)</f>
        <v>Y</v>
      </c>
      <c r="E49" s="57" t="str">
        <f>VLOOKUP($A49,'Выгр Кат'!$A:$T,E$1,0)</f>
        <v>1</v>
      </c>
      <c r="F49" s="57">
        <f>VLOOKUP($A49,'Выгр Кат'!$A:$T,F$1,0)</f>
        <v>0</v>
      </c>
      <c r="G49" s="57" t="str">
        <f>VLOOKUP($A49,'Выгр Кат'!$A:$T,G$1,0)</f>
        <v>210113724210</v>
      </c>
      <c r="H49" s="57" t="str">
        <f>VLOOKUP($A49,'Выгр Кат'!$A:$T,H$1,0)</f>
        <v>21011-3724210</v>
      </c>
      <c r="I49" s="39" t="s">
        <v>573</v>
      </c>
      <c r="J49" s="1" t="s">
        <v>526</v>
      </c>
      <c r="K49" s="47">
        <f>VLOOKUP(I49,Прайс!A:E,5,0)</f>
        <v>1000</v>
      </c>
      <c r="L49" s="7">
        <f>VLOOKUP(K49,Наценка!$A$1:$B$8,2,1)</f>
        <v>1.5</v>
      </c>
      <c r="M49" s="44">
        <f t="shared" si="0"/>
        <v>1500</v>
      </c>
      <c r="N49" s="62">
        <f t="shared" si="9"/>
        <v>1490</v>
      </c>
      <c r="O49" s="60">
        <f>VLOOKUP($A49,'Выгр Кат'!$A:$P,O$1,0)</f>
        <v>1000</v>
      </c>
      <c r="P49" s="60">
        <f>VLOOKUP($A49,'Выгр Кат'!$A:$P,P$1,0)</f>
        <v>1490</v>
      </c>
      <c r="Q49" s="73">
        <f t="shared" si="2"/>
        <v>0</v>
      </c>
      <c r="R49" s="73">
        <f t="shared" si="3"/>
        <v>0</v>
      </c>
      <c r="S49" s="97">
        <f t="shared" si="4"/>
        <v>1490</v>
      </c>
      <c r="T49" s="98">
        <f t="shared" si="5"/>
        <v>0.49</v>
      </c>
      <c r="U49" s="98">
        <f t="shared" si="6"/>
        <v>-0.1958266452648475</v>
      </c>
      <c r="V49" s="98">
        <f t="shared" si="7"/>
        <v>0.246</v>
      </c>
      <c r="W49" s="106">
        <f t="shared" ref="W49:W54" si="18">MIN(AA49,AG49,AL49,AQ49)</f>
        <v>1246</v>
      </c>
      <c r="X49" s="102">
        <f>IFERROR(ROUND((VLOOKUP($A49,'Из ГУГЛа'!$B:$Z,X$1,0)+Z49)*Y49,),VLOOKUP($A49,'Из ГУГЛа'!$B:$Z,X$1,0))</f>
        <v>1590</v>
      </c>
      <c r="Y49" s="75">
        <v>1</v>
      </c>
      <c r="Z49" s="75">
        <v>0</v>
      </c>
      <c r="AA49" s="63">
        <v>1590</v>
      </c>
      <c r="AB49" s="63" t="s">
        <v>1215</v>
      </c>
      <c r="AC49" s="48" t="s">
        <v>1122</v>
      </c>
      <c r="AD49" s="102">
        <f>IFERROR(ROUND((VLOOKUP($A49,'Из ГУГЛа'!$B:$Z,AD$1,0)+AF49)*AE49,),VLOOKUP($A49,'Из ГУГЛа'!$B:$Z,AD$1,0))</f>
        <v>0</v>
      </c>
      <c r="AE49" s="100">
        <v>1</v>
      </c>
      <c r="AF49" s="100"/>
      <c r="AG49" s="103">
        <v>1246</v>
      </c>
      <c r="AH49" s="103" t="s">
        <v>1895</v>
      </c>
      <c r="AI49" s="102">
        <f>IFERROR(ROUND((VLOOKUP($A49,'Из ГУГЛа'!$B:$Z,AI$1,0)+AK49)*AJ49,),VLOOKUP($A49,'Из ГУГЛа'!$B:$Z,AI$1,0))</f>
        <v>0</v>
      </c>
      <c r="AJ49" s="100">
        <v>1</v>
      </c>
      <c r="AK49" s="100"/>
      <c r="AL49" s="103"/>
      <c r="AM49" s="103"/>
      <c r="AN49" s="102">
        <f>IFERROR(ROUND((VLOOKUP($A49,'Из ГУГЛа'!$B:$Z,AN$1,0)+AP49)*AO49,),VLOOKUP($A49,'Из ГУГЛа'!$B:$Z,AN$1,0))</f>
        <v>0</v>
      </c>
      <c r="AO49" s="100">
        <v>1</v>
      </c>
      <c r="AP49" s="100"/>
      <c r="AQ49" s="103"/>
      <c r="AR49" s="103"/>
    </row>
    <row r="50" spans="1:44" ht="40.5" thickTop="1" thickBot="1" x14ac:dyDescent="0.3">
      <c r="A50" s="57">
        <v>144822</v>
      </c>
      <c r="B50" s="57">
        <f>VLOOKUP($A50,'Выгр Кат'!$A:$T,B$1,0)</f>
        <v>13288</v>
      </c>
      <c r="C50" s="58" t="str">
        <f>VLOOKUP($A50,'Выгр Кат'!$A:$T,C$1,0)</f>
        <v>Жгут проводов багажника для ВАЗ 2110</v>
      </c>
      <c r="D50" s="57" t="str">
        <f>VLOOKUP($A50,'Выгр Кат'!$A:$T,D$1,0)</f>
        <v>Y</v>
      </c>
      <c r="E50" s="57" t="str">
        <f>VLOOKUP($A50,'Выгр Кат'!$A:$T,E$1,0)</f>
        <v>1</v>
      </c>
      <c r="F50" s="57">
        <f>VLOOKUP($A50,'Выгр Кат'!$A:$T,F$1,0)</f>
        <v>0</v>
      </c>
      <c r="G50" s="57" t="str">
        <f>VLOOKUP($A50,'Выгр Кат'!$A:$T,G$1,0)</f>
        <v>21103724558</v>
      </c>
      <c r="H50" s="57" t="str">
        <f>VLOOKUP($A50,'Выгр Кат'!$A:$T,H$1,0)</f>
        <v>2110-3724558</v>
      </c>
      <c r="I50" s="39" t="s">
        <v>605</v>
      </c>
      <c r="J50" s="1" t="s">
        <v>526</v>
      </c>
      <c r="K50" s="47">
        <f>VLOOKUP(I50,Прайс!A:E,5,0)</f>
        <v>1800</v>
      </c>
      <c r="L50" s="7">
        <f>VLOOKUP(K50,Наценка!$A$1:$B$8,2,1)</f>
        <v>1.5</v>
      </c>
      <c r="M50" s="44">
        <f t="shared" si="0"/>
        <v>2700</v>
      </c>
      <c r="N50" s="62">
        <f t="shared" si="9"/>
        <v>2690</v>
      </c>
      <c r="O50" s="60">
        <f>VLOOKUP($A50,'Выгр Кат'!$A:$P,O$1,0)</f>
        <v>1500</v>
      </c>
      <c r="P50" s="60">
        <f>VLOOKUP($A50,'Выгр Кат'!$A:$P,P$1,0)</f>
        <v>2090</v>
      </c>
      <c r="Q50" s="73">
        <f t="shared" si="2"/>
        <v>-300</v>
      </c>
      <c r="R50" s="73">
        <f t="shared" si="3"/>
        <v>-600</v>
      </c>
      <c r="S50" s="97">
        <f t="shared" si="4"/>
        <v>2690</v>
      </c>
      <c r="T50" s="98">
        <f t="shared" si="5"/>
        <v>0.49444444444444446</v>
      </c>
      <c r="U50" s="98">
        <f t="shared" si="6"/>
        <v>-0.26588235294117646</v>
      </c>
      <c r="V50" s="98">
        <f t="shared" si="7"/>
        <v>0.18055555555555558</v>
      </c>
      <c r="W50" s="106">
        <f t="shared" si="18"/>
        <v>2125</v>
      </c>
      <c r="X50" s="102">
        <f>IFERROR(ROUND((VLOOKUP($A50,'Из ГУГЛа'!$B:$Z,X$1,0)+Z50)*Y50,),VLOOKUP($A50,'Из ГУГЛа'!$B:$Z,X$1,0))</f>
        <v>2190</v>
      </c>
      <c r="Y50" s="75">
        <v>1</v>
      </c>
      <c r="Z50" s="75">
        <v>0</v>
      </c>
      <c r="AA50" s="63">
        <v>2190</v>
      </c>
      <c r="AB50" s="63" t="s">
        <v>1215</v>
      </c>
      <c r="AC50" s="48" t="s">
        <v>1121</v>
      </c>
      <c r="AD50" s="102">
        <f>IFERROR(ROUND((VLOOKUP($A50,'Из ГУГЛа'!$B:$Z,AD$1,0)+AF50)*AE50,),VLOOKUP($A50,'Из ГУГЛа'!$B:$Z,AD$1,0))</f>
        <v>0</v>
      </c>
      <c r="AE50" s="100">
        <v>1</v>
      </c>
      <c r="AF50" s="100"/>
      <c r="AG50" s="103">
        <v>2125</v>
      </c>
      <c r="AH50" s="103" t="s">
        <v>1896</v>
      </c>
      <c r="AI50" s="102">
        <f>IFERROR(ROUND((VLOOKUP($A50,'Из ГУГЛа'!$B:$Z,AI$1,0)+AK50)*AJ50,),VLOOKUP($A50,'Из ГУГЛа'!$B:$Z,AI$1,0))</f>
        <v>0</v>
      </c>
      <c r="AJ50" s="100">
        <v>1</v>
      </c>
      <c r="AK50" s="100"/>
      <c r="AL50" s="103"/>
      <c r="AM50" s="103"/>
      <c r="AN50" s="102">
        <f>IFERROR(ROUND((VLOOKUP($A50,'Из ГУГЛа'!$B:$Z,AN$1,0)+AP50)*AO50,),VLOOKUP($A50,'Из ГУГЛа'!$B:$Z,AN$1,0))</f>
        <v>0</v>
      </c>
      <c r="AO50" s="100">
        <v>1</v>
      </c>
      <c r="AP50" s="100"/>
      <c r="AQ50" s="103"/>
      <c r="AR50" s="103"/>
    </row>
    <row r="51" spans="1:44" ht="46.5" thickTop="1" thickBot="1" x14ac:dyDescent="0.3">
      <c r="A51" s="57">
        <v>144949</v>
      </c>
      <c r="B51" s="57">
        <f>VLOOKUP($A51,'Выгр Кат'!$A:$T,B$1,0)</f>
        <v>13311</v>
      </c>
      <c r="C51" s="58" t="str">
        <f>VLOOKUP($A51,'Выгр Кат'!$A:$T,C$1,0)</f>
        <v>Жгут проводов рампы CARGEN для Лада Калина 2, Приора, Гранта 16-ти клапанный двигатель ВАЗ 21127 1.6 л</v>
      </c>
      <c r="D51" s="57" t="str">
        <f>VLOOKUP($A51,'Выгр Кат'!$A:$T,D$1,0)</f>
        <v>Y</v>
      </c>
      <c r="E51" s="57" t="str">
        <f>VLOOKUP($A51,'Выгр Кат'!$A:$T,E$1,0)</f>
        <v>1</v>
      </c>
      <c r="F51" s="57">
        <f>VLOOKUP($A51,'Выгр Кат'!$A:$T,F$1,0)</f>
        <v>0</v>
      </c>
      <c r="G51" s="57" t="str">
        <f>VLOOKUP($A51,'Выгр Кат'!$A:$T,G$1,0)</f>
        <v>21127372403600</v>
      </c>
      <c r="H51" s="57" t="str">
        <f>VLOOKUP($A51,'Выгр Кат'!$A:$T,H$1,0)</f>
        <v>21127-3724036</v>
      </c>
      <c r="I51" s="64"/>
      <c r="J51" s="1" t="s">
        <v>526</v>
      </c>
      <c r="K51" s="46">
        <f>O51</f>
        <v>850</v>
      </c>
      <c r="L51" s="7">
        <f>VLOOKUP(K51,Наценка!$A$1:$B$8,2,1)</f>
        <v>1.63</v>
      </c>
      <c r="M51" s="44">
        <f t="shared" si="0"/>
        <v>1385.5</v>
      </c>
      <c r="N51" s="62">
        <f t="shared" si="9"/>
        <v>1390</v>
      </c>
      <c r="O51" s="60">
        <f>VLOOKUP($A51,'Выгр Кат'!$A:$P,O$1,0)</f>
        <v>850</v>
      </c>
      <c r="P51" s="60">
        <f>VLOOKUP($A51,'Выгр Кат'!$A:$P,P$1,0)</f>
        <v>1490</v>
      </c>
      <c r="Q51" s="73">
        <f t="shared" si="2"/>
        <v>0</v>
      </c>
      <c r="R51" s="73">
        <f t="shared" si="3"/>
        <v>100</v>
      </c>
      <c r="S51" s="97">
        <f t="shared" si="4"/>
        <v>1390</v>
      </c>
      <c r="T51" s="98">
        <f t="shared" si="5"/>
        <v>0.63529411764705879</v>
      </c>
      <c r="U51" s="98">
        <f t="shared" si="6"/>
        <v>-1.4090121317157713</v>
      </c>
      <c r="V51" s="98">
        <f t="shared" si="7"/>
        <v>-0.32117647058823529</v>
      </c>
      <c r="W51" s="106">
        <f t="shared" si="18"/>
        <v>577</v>
      </c>
      <c r="X51" s="102">
        <f>IFERROR(ROUND((VLOOKUP($A51,'Из ГУГЛа'!$B:$Z,X$1,0)+Z51)*Y51,),VLOOKUP($A51,'Из ГУГЛа'!$B:$Z,X$1,0))</f>
        <v>1590</v>
      </c>
      <c r="Y51" s="75">
        <v>1</v>
      </c>
      <c r="Z51" s="75">
        <v>0</v>
      </c>
      <c r="AA51" s="85">
        <v>1590</v>
      </c>
      <c r="AB51" s="63" t="s">
        <v>1215</v>
      </c>
      <c r="AC51" s="48" t="s">
        <v>906</v>
      </c>
      <c r="AD51" s="102">
        <f>IFERROR(ROUND((VLOOKUP($A51,'Из ГУГЛа'!$B:$Z,AD$1,0)+AF51)*AE51,),VLOOKUP($A51,'Из ГУГЛа'!$B:$Z,AD$1,0))</f>
        <v>0</v>
      </c>
      <c r="AE51" s="100">
        <v>1</v>
      </c>
      <c r="AF51" s="100"/>
      <c r="AG51" s="103">
        <v>577</v>
      </c>
      <c r="AH51" s="103" t="s">
        <v>1897</v>
      </c>
      <c r="AI51" s="102">
        <f>IFERROR(ROUND((VLOOKUP($A51,'Из ГУГЛа'!$B:$Z,AI$1,0)+AK51)*AJ51,),VLOOKUP($A51,'Из ГУГЛа'!$B:$Z,AI$1,0))</f>
        <v>0</v>
      </c>
      <c r="AJ51" s="100">
        <v>1</v>
      </c>
      <c r="AK51" s="100"/>
      <c r="AL51" s="103"/>
      <c r="AM51" s="103"/>
      <c r="AN51" s="102">
        <f>IFERROR(ROUND((VLOOKUP($A51,'Из ГУГЛа'!$B:$Z,AN$1,0)+AP51)*AO51,),VLOOKUP($A51,'Из ГУГЛа'!$B:$Z,AN$1,0))</f>
        <v>0</v>
      </c>
      <c r="AO51" s="100">
        <v>1</v>
      </c>
      <c r="AP51" s="100"/>
      <c r="AQ51" s="103"/>
      <c r="AR51" s="103"/>
    </row>
    <row r="52" spans="1:44" ht="53.25" thickTop="1" thickBot="1" x14ac:dyDescent="0.3">
      <c r="A52" s="57">
        <v>144834</v>
      </c>
      <c r="B52" s="57">
        <f>VLOOKUP($A52,'Выгр Кат'!$A:$T,B$1,0)</f>
        <v>11523</v>
      </c>
      <c r="C52" s="58" t="str">
        <f>VLOOKUP($A52,'Выгр Кат'!$A:$T,C$1,0)</f>
        <v>Жгут проводов для подключения электроусилителя MANDO</v>
      </c>
      <c r="D52" s="57" t="str">
        <f>VLOOKUP($A52,'Выгр Кат'!$A:$T,D$1,0)</f>
        <v>Y</v>
      </c>
      <c r="E52" s="57" t="str">
        <f>VLOOKUP($A52,'Выгр Кат'!$A:$T,E$1,0)</f>
        <v>1</v>
      </c>
      <c r="F52" s="57">
        <f>VLOOKUP($A52,'Выгр Кат'!$A:$T,F$1,0)</f>
        <v>0</v>
      </c>
      <c r="G52" s="57">
        <f>VLOOKUP($A52,'Выгр Кат'!$A:$T,G$1,0)</f>
        <v>0</v>
      </c>
      <c r="H52" s="57">
        <f>VLOOKUP($A52,'Выгр Кат'!$A:$T,H$1,0)</f>
        <v>0</v>
      </c>
      <c r="I52" s="64" t="s">
        <v>655</v>
      </c>
      <c r="J52" s="1" t="s">
        <v>526</v>
      </c>
      <c r="K52" s="47">
        <f>VLOOKUP(I52,Прайс!A:E,5,0)</f>
        <v>900</v>
      </c>
      <c r="L52" s="7">
        <f>VLOOKUP(K52,Наценка!$A$1:$B$8,2,1)</f>
        <v>1.63</v>
      </c>
      <c r="M52" s="44">
        <f t="shared" si="0"/>
        <v>1467</v>
      </c>
      <c r="N52" s="62">
        <f t="shared" si="9"/>
        <v>1490</v>
      </c>
      <c r="O52" s="60">
        <f>VLOOKUP($A52,'Выгр Кат'!$A:$P,O$1,0)</f>
        <v>900</v>
      </c>
      <c r="P52" s="60">
        <f>VLOOKUP($A52,'Выгр Кат'!$A:$P,P$1,0)</f>
        <v>1490</v>
      </c>
      <c r="Q52" s="73">
        <f t="shared" si="2"/>
        <v>0</v>
      </c>
      <c r="R52" s="73">
        <f t="shared" si="3"/>
        <v>0</v>
      </c>
      <c r="S52" s="97">
        <f t="shared" si="4"/>
        <v>1490</v>
      </c>
      <c r="T52" s="98">
        <f t="shared" si="5"/>
        <v>0.65555555555555545</v>
      </c>
      <c r="U52" s="98">
        <f t="shared" si="6"/>
        <v>-0.5935828877005348</v>
      </c>
      <c r="V52" s="98">
        <f t="shared" si="7"/>
        <v>3.8888888888888973E-2</v>
      </c>
      <c r="W52" s="106">
        <f t="shared" si="18"/>
        <v>935</v>
      </c>
      <c r="X52" s="102" t="str">
        <f>IFERROR(ROUND((VLOOKUP($A52,'Из ГУГЛа'!$B:$Z,X$1,0)+Z52)*Y52,),VLOOKUP($A52,'Из ГУГЛа'!$B:$Z,X$1,0))</f>
        <v/>
      </c>
      <c r="Y52" s="75">
        <v>1</v>
      </c>
      <c r="Z52" s="75">
        <v>0</v>
      </c>
      <c r="AA52" s="63" t="s">
        <v>1120</v>
      </c>
      <c r="AB52" s="80"/>
      <c r="AD52" s="102">
        <f>IFERROR(ROUND((VLOOKUP($A52,'Из ГУГЛа'!$B:$Z,AD$1,0)+AF52)*AE52,),VLOOKUP($A52,'Из ГУГЛа'!$B:$Z,AD$1,0))</f>
        <v>0</v>
      </c>
      <c r="AE52" s="100">
        <v>1</v>
      </c>
      <c r="AF52" s="100"/>
      <c r="AG52" s="103">
        <v>935</v>
      </c>
      <c r="AH52" s="103" t="s">
        <v>2092</v>
      </c>
      <c r="AI52" s="102">
        <f>IFERROR(ROUND((VLOOKUP($A52,'Из ГУГЛа'!$B:$Z,AI$1,0)+AK52)*AJ52,),VLOOKUP($A52,'Из ГУГЛа'!$B:$Z,AI$1,0))</f>
        <v>0</v>
      </c>
      <c r="AJ52" s="100">
        <v>1</v>
      </c>
      <c r="AK52" s="100"/>
      <c r="AL52" s="103"/>
      <c r="AM52" s="103"/>
      <c r="AN52" s="102">
        <f>IFERROR(ROUND((VLOOKUP($A52,'Из ГУГЛа'!$B:$Z,AN$1,0)+AP52)*AO52,),VLOOKUP($A52,'Из ГУГЛа'!$B:$Z,AN$1,0))</f>
        <v>0</v>
      </c>
      <c r="AO52" s="100">
        <v>1</v>
      </c>
      <c r="AP52" s="100"/>
      <c r="AQ52" s="103"/>
      <c r="AR52" s="103"/>
    </row>
    <row r="53" spans="1:44" ht="53.25" thickTop="1" thickBot="1" x14ac:dyDescent="0.3">
      <c r="A53" s="57">
        <v>144980</v>
      </c>
      <c r="B53" s="57">
        <f>VLOOKUP($A53,'Выгр Кат'!$A:$T,B$1,0)</f>
        <v>13300</v>
      </c>
      <c r="C53" s="58" t="str">
        <f>VLOOKUP($A53,'Выгр Кат'!$A:$T,C$1,0)</f>
        <v>Жгут проводов стеклоподъемников и центрального замка для ВАЗ 2110-2112</v>
      </c>
      <c r="D53" s="57" t="str">
        <f>VLOOKUP($A53,'Выгр Кат'!$A:$T,D$1,0)</f>
        <v>Y</v>
      </c>
      <c r="E53" s="57" t="str">
        <f>VLOOKUP($A53,'Выгр Кат'!$A:$T,E$1,0)</f>
        <v>1</v>
      </c>
      <c r="F53" s="57">
        <f>VLOOKUP($A53,'Выгр Кат'!$A:$T,F$1,0)</f>
        <v>0</v>
      </c>
      <c r="G53" s="57" t="str">
        <f>VLOOKUP($A53,'Выгр Кат'!$A:$T,G$1,0)</f>
        <v>21103724226</v>
      </c>
      <c r="H53" s="57" t="str">
        <f>VLOOKUP($A53,'Выгр Кат'!$A:$T,H$1,0)</f>
        <v>2110-3724226</v>
      </c>
      <c r="I53" s="39" t="s">
        <v>622</v>
      </c>
      <c r="J53" s="1" t="s">
        <v>526</v>
      </c>
      <c r="K53" s="47">
        <f>VLOOKUP(I53,Прайс!A:E,5,0)</f>
        <v>1500</v>
      </c>
      <c r="L53" s="7">
        <f>VLOOKUP(K53,Наценка!$A$1:$B$8,2,1)</f>
        <v>1.5</v>
      </c>
      <c r="M53" s="44">
        <f t="shared" si="0"/>
        <v>2250</v>
      </c>
      <c r="N53" s="62">
        <f t="shared" si="9"/>
        <v>2290</v>
      </c>
      <c r="O53" s="60">
        <f>VLOOKUP($A53,'Выгр Кат'!$A:$P,O$1,0)</f>
        <v>1500</v>
      </c>
      <c r="P53" s="60">
        <f>VLOOKUP($A53,'Выгр Кат'!$A:$P,P$1,0)</f>
        <v>2090</v>
      </c>
      <c r="Q53" s="73">
        <f t="shared" si="2"/>
        <v>0</v>
      </c>
      <c r="R53" s="73">
        <f t="shared" si="3"/>
        <v>-200</v>
      </c>
      <c r="S53" s="97">
        <f t="shared" si="4"/>
        <v>2290</v>
      </c>
      <c r="T53" s="98">
        <f t="shared" si="5"/>
        <v>0.52666666666666662</v>
      </c>
      <c r="U53" s="98">
        <f t="shared" si="6"/>
        <v>-7.7647058823529416E-2</v>
      </c>
      <c r="V53" s="98">
        <f t="shared" si="7"/>
        <v>0.41666666666666674</v>
      </c>
      <c r="W53" s="106">
        <f t="shared" si="18"/>
        <v>2125</v>
      </c>
      <c r="X53" s="102">
        <f>IFERROR(ROUND((VLOOKUP($A53,'Из ГУГЛа'!$B:$Z,X$1,0)+Z53)*Y53,),VLOOKUP($A53,'Из ГУГЛа'!$B:$Z,X$1,0))</f>
        <v>2190</v>
      </c>
      <c r="Y53" s="75">
        <v>1</v>
      </c>
      <c r="Z53" s="75">
        <v>0</v>
      </c>
      <c r="AA53" s="85">
        <v>2190</v>
      </c>
      <c r="AB53" s="63" t="s">
        <v>1215</v>
      </c>
      <c r="AC53" s="48" t="s">
        <v>781</v>
      </c>
      <c r="AD53" s="102">
        <f>IFERROR(ROUND((VLOOKUP($A53,'Из ГУГЛа'!$B:$Z,AD$1,0)+AF53)*AE53,),VLOOKUP($A53,'Из ГУГЛа'!$B:$Z,AD$1,0))</f>
        <v>0</v>
      </c>
      <c r="AE53" s="100">
        <v>1</v>
      </c>
      <c r="AF53" s="100"/>
      <c r="AG53" s="103">
        <v>2125</v>
      </c>
      <c r="AH53" s="103" t="s">
        <v>1898</v>
      </c>
      <c r="AI53" s="102">
        <f>IFERROR(ROUND((VLOOKUP($A53,'Из ГУГЛа'!$B:$Z,AI$1,0)+AK53)*AJ53,),VLOOKUP($A53,'Из ГУГЛа'!$B:$Z,AI$1,0))</f>
        <v>0</v>
      </c>
      <c r="AJ53" s="100">
        <v>1</v>
      </c>
      <c r="AK53" s="100"/>
      <c r="AL53" s="103"/>
      <c r="AM53" s="103"/>
      <c r="AN53" s="102">
        <f>IFERROR(ROUND((VLOOKUP($A53,'Из ГУГЛа'!$B:$Z,AN$1,0)+AP53)*AO53,),VLOOKUP($A53,'Из ГУГЛа'!$B:$Z,AN$1,0))</f>
        <v>0</v>
      </c>
      <c r="AO53" s="100">
        <v>1</v>
      </c>
      <c r="AP53" s="100"/>
      <c r="AQ53" s="103"/>
      <c r="AR53" s="103"/>
    </row>
    <row r="54" spans="1:44" ht="66" thickTop="1" thickBot="1" x14ac:dyDescent="0.3">
      <c r="A54" s="57">
        <v>144835</v>
      </c>
      <c r="B54" s="57">
        <f>VLOOKUP($A54,'Выгр Кат'!$A:$T,B$1,0)</f>
        <v>37999</v>
      </c>
      <c r="C54" s="58" t="str">
        <f>VLOOKUP($A54,'Выгр Кат'!$A:$T,C$1,0)</f>
        <v>Жгут проводов для подключения электроусилителя руля ВАЗ</v>
      </c>
      <c r="D54" s="57" t="str">
        <f>VLOOKUP($A54,'Выгр Кат'!$A:$T,D$1,0)</f>
        <v>Y</v>
      </c>
      <c r="E54" s="57" t="str">
        <f>VLOOKUP($A54,'Выгр Кат'!$A:$T,E$1,0)</f>
        <v>1</v>
      </c>
      <c r="F54" s="57">
        <f>VLOOKUP($A54,'Выгр Кат'!$A:$T,F$1,0)</f>
        <v>0</v>
      </c>
      <c r="G54" s="57">
        <f>VLOOKUP($A54,'Выгр Кат'!$A:$T,G$1,0)</f>
        <v>0</v>
      </c>
      <c r="H54" s="57">
        <f>VLOOKUP($A54,'Выгр Кат'!$A:$T,H$1,0)</f>
        <v>0</v>
      </c>
      <c r="I54" s="39" t="s">
        <v>865</v>
      </c>
      <c r="J54" s="1" t="s">
        <v>526</v>
      </c>
      <c r="K54" s="47">
        <f>VLOOKUP(I54,Прайс!A:E,5,0)</f>
        <v>1350</v>
      </c>
      <c r="L54" s="7">
        <f>VLOOKUP(K54,Наценка!$A$1:$B$8,2,1)</f>
        <v>1.5</v>
      </c>
      <c r="M54" s="44">
        <f t="shared" si="0"/>
        <v>2025</v>
      </c>
      <c r="N54" s="62">
        <f t="shared" si="9"/>
        <v>2090</v>
      </c>
      <c r="O54" s="60">
        <f>VLOOKUP($A54,'Выгр Кат'!$A:$P,O$1,0)</f>
        <v>1350</v>
      </c>
      <c r="P54" s="60">
        <f>VLOOKUP($A54,'Выгр Кат'!$A:$P,P$1,0)</f>
        <v>2090</v>
      </c>
      <c r="Q54" s="73">
        <f t="shared" si="2"/>
        <v>0</v>
      </c>
      <c r="R54" s="73">
        <f t="shared" si="3"/>
        <v>0</v>
      </c>
      <c r="S54" s="97">
        <f t="shared" si="4"/>
        <v>2090</v>
      </c>
      <c r="T54" s="98">
        <f t="shared" si="5"/>
        <v>0.54814814814814805</v>
      </c>
      <c r="U54" s="98">
        <f t="shared" si="6"/>
        <v>-0.18279569892473119</v>
      </c>
      <c r="V54" s="98">
        <f t="shared" si="7"/>
        <v>0.30888888888888899</v>
      </c>
      <c r="W54" s="106">
        <f t="shared" si="18"/>
        <v>1767</v>
      </c>
      <c r="X54" s="102" t="str">
        <f>IFERROR(ROUND((VLOOKUP($A54,'Из ГУГЛа'!$B:$Z,X$1,0)+Z54)*Y54,),VLOOKUP($A54,'Из ГУГЛа'!$B:$Z,X$1,0))</f>
        <v/>
      </c>
      <c r="Y54" s="75">
        <v>1</v>
      </c>
      <c r="Z54" s="75">
        <v>0</v>
      </c>
      <c r="AA54" s="63" t="s">
        <v>1120</v>
      </c>
      <c r="AB54" s="80"/>
      <c r="AD54" s="102">
        <f>IFERROR(ROUND((VLOOKUP($A54,'Из ГУГЛа'!$B:$Z,AD$1,0)+AF54)*AE54,),VLOOKUP($A54,'Из ГУГЛа'!$B:$Z,AD$1,0))</f>
        <v>0</v>
      </c>
      <c r="AE54" s="100">
        <v>1</v>
      </c>
      <c r="AF54" s="100"/>
      <c r="AG54" s="103">
        <v>1767</v>
      </c>
      <c r="AH54" s="103" t="s">
        <v>2093</v>
      </c>
      <c r="AI54" s="102">
        <f>IFERROR(ROUND((VLOOKUP($A54,'Из ГУГЛа'!$B:$Z,AI$1,0)+AK54)*AJ54,),VLOOKUP($A54,'Из ГУГЛа'!$B:$Z,AI$1,0))</f>
        <v>0</v>
      </c>
      <c r="AJ54" s="100">
        <v>1</v>
      </c>
      <c r="AK54" s="100"/>
      <c r="AL54" s="103"/>
      <c r="AM54" s="103"/>
      <c r="AN54" s="102">
        <f>IFERROR(ROUND((VLOOKUP($A54,'Из ГУГЛа'!$B:$Z,AN$1,0)+AP54)*AO54,),VLOOKUP($A54,'Из ГУГЛа'!$B:$Z,AN$1,0))</f>
        <v>0</v>
      </c>
      <c r="AO54" s="100">
        <v>1</v>
      </c>
      <c r="AP54" s="100"/>
      <c r="AQ54" s="103"/>
      <c r="AR54" s="103"/>
    </row>
    <row r="55" spans="1:44" ht="53.25" thickTop="1" thickBot="1" x14ac:dyDescent="0.3">
      <c r="A55" s="57">
        <v>144896</v>
      </c>
      <c r="B55" s="57">
        <f>VLOOKUP($A55,'Выгр Кат'!$A:$T,B$1,0)</f>
        <v>13406</v>
      </c>
      <c r="C55" s="58" t="str">
        <f>VLOOKUP($A55,'Выгр Кат'!$A:$T,C$1,0)</f>
        <v>Жгут проводов крышки багажника для Шевроле Нива</v>
      </c>
      <c r="D55" s="57" t="str">
        <f>VLOOKUP($A55,'Выгр Кат'!$A:$T,D$1,0)</f>
        <v>Y</v>
      </c>
      <c r="E55" s="57" t="str">
        <f>VLOOKUP($A55,'Выгр Кат'!$A:$T,E$1,0)</f>
        <v>1</v>
      </c>
      <c r="F55" s="57">
        <f>VLOOKUP($A55,'Выгр Кат'!$A:$T,F$1,0)</f>
        <v>0</v>
      </c>
      <c r="G55" s="57" t="str">
        <f>VLOOKUP($A55,'Выгр Кат'!$A:$T,G$1,0)</f>
        <v>21233724558</v>
      </c>
      <c r="H55" s="57" t="str">
        <f>VLOOKUP($A55,'Выгр Кат'!$A:$T,H$1,0)</f>
        <v>2123-3724558</v>
      </c>
      <c r="I55" s="39" t="s">
        <v>680</v>
      </c>
      <c r="J55" s="1" t="s">
        <v>526</v>
      </c>
      <c r="K55" s="46">
        <f>O55</f>
        <v>1105</v>
      </c>
      <c r="L55" s="7">
        <f>VLOOKUP(K55,Наценка!$A$1:$B$8,2,1)</f>
        <v>1.5</v>
      </c>
      <c r="M55" s="44">
        <f t="shared" si="0"/>
        <v>1657.5</v>
      </c>
      <c r="N55" s="62">
        <f t="shared" si="9"/>
        <v>1690</v>
      </c>
      <c r="O55" s="60">
        <f>VLOOKUP($A55,'Выгр Кат'!$A:$P,O$1,0)</f>
        <v>1105</v>
      </c>
      <c r="P55" s="60">
        <f>VLOOKUP($A55,'Выгр Кат'!$A:$P,P$1,0)</f>
        <v>1690</v>
      </c>
      <c r="Q55" s="73">
        <f t="shared" si="2"/>
        <v>0</v>
      </c>
      <c r="R55" s="73">
        <f t="shared" si="3"/>
        <v>0</v>
      </c>
      <c r="S55" s="97">
        <f t="shared" si="4"/>
        <v>1690</v>
      </c>
      <c r="T55" s="98">
        <f t="shared" si="5"/>
        <v>0.52941176470588225</v>
      </c>
      <c r="U55" s="98" t="str">
        <f t="shared" si="6"/>
        <v/>
      </c>
      <c r="V55" s="98" t="str">
        <f t="shared" si="7"/>
        <v/>
      </c>
      <c r="W55" s="99"/>
      <c r="X55" s="102">
        <f>IFERROR(ROUND((VLOOKUP($A55,'Из ГУГЛа'!$B:$Z,X$1,0)+Z55)*Y55,),VLOOKUP($A55,'Из ГУГЛа'!$B:$Z,X$1,0))</f>
        <v>990</v>
      </c>
      <c r="Y55" s="75">
        <v>1</v>
      </c>
      <c r="Z55" s="75">
        <v>0</v>
      </c>
      <c r="AA55" s="63" t="s">
        <v>1119</v>
      </c>
      <c r="AB55" s="80"/>
      <c r="AC55" s="48" t="s">
        <v>1118</v>
      </c>
      <c r="AD55" s="102">
        <f>IFERROR(ROUND((VLOOKUP($A55,'Из ГУГЛа'!$B:$Z,AD$1,0)+AF55)*AE55,),VLOOKUP($A55,'Из ГУГЛа'!$B:$Z,AD$1,0))</f>
        <v>0</v>
      </c>
      <c r="AE55" s="100">
        <v>1</v>
      </c>
      <c r="AF55" s="100"/>
      <c r="AG55" s="103" t="s">
        <v>1017</v>
      </c>
      <c r="AH55" s="103"/>
      <c r="AI55" s="102">
        <f>IFERROR(ROUND((VLOOKUP($A55,'Из ГУГЛа'!$B:$Z,AI$1,0)+AK55)*AJ55,),VLOOKUP($A55,'Из ГУГЛа'!$B:$Z,AI$1,0))</f>
        <v>0</v>
      </c>
      <c r="AJ55" s="100">
        <v>1</v>
      </c>
      <c r="AK55" s="100"/>
      <c r="AL55" s="103"/>
      <c r="AM55" s="103"/>
      <c r="AN55" s="102">
        <f>IFERROR(ROUND((VLOOKUP($A55,'Из ГУГЛа'!$B:$Z,AN$1,0)+AP55)*AO55,),VLOOKUP($A55,'Из ГУГЛа'!$B:$Z,AN$1,0))</f>
        <v>0</v>
      </c>
      <c r="AO55" s="100">
        <v>1</v>
      </c>
      <c r="AP55" s="100"/>
      <c r="AQ55" s="103"/>
      <c r="AR55" s="103"/>
    </row>
    <row r="56" spans="1:44" ht="53.25" thickTop="1" thickBot="1" x14ac:dyDescent="0.3">
      <c r="A56" s="57">
        <v>144960</v>
      </c>
      <c r="B56" s="57">
        <f>VLOOKUP($A56,'Выгр Кат'!$A:$T,B$1,0)</f>
        <v>13303</v>
      </c>
      <c r="C56" s="58" t="str">
        <f>VLOOKUP($A56,'Выгр Кат'!$A:$T,C$1,0)</f>
        <v>Жгут проводов системы зажигания коммутаторный пучок для ВАЗ 2110-2112 карбюраторный двигатель</v>
      </c>
      <c r="D56" s="57" t="str">
        <f>VLOOKUP($A56,'Выгр Кат'!$A:$T,D$1,0)</f>
        <v>Y</v>
      </c>
      <c r="E56" s="57" t="str">
        <f>VLOOKUP($A56,'Выгр Кат'!$A:$T,E$1,0)</f>
        <v>1</v>
      </c>
      <c r="F56" s="57">
        <f>VLOOKUP($A56,'Выгр Кат'!$A:$T,F$1,0)</f>
        <v>0</v>
      </c>
      <c r="G56" s="57" t="str">
        <f>VLOOKUP($A56,'Выгр Кат'!$A:$T,G$1,0)</f>
        <v>21103724026</v>
      </c>
      <c r="H56" s="57" t="str">
        <f>VLOOKUP($A56,'Выгр Кат'!$A:$T,H$1,0)</f>
        <v>2110-3724026</v>
      </c>
      <c r="I56" s="39" t="s">
        <v>627</v>
      </c>
      <c r="J56" s="1" t="s">
        <v>526</v>
      </c>
      <c r="K56" s="47">
        <f>VLOOKUP(I56,Прайс!A:E,5,0)</f>
        <v>1500</v>
      </c>
      <c r="L56" s="7">
        <f>VLOOKUP(K56,Наценка!$A$1:$B$8,2,1)</f>
        <v>1.5</v>
      </c>
      <c r="M56" s="44">
        <f t="shared" si="0"/>
        <v>2250</v>
      </c>
      <c r="N56" s="62">
        <f t="shared" si="9"/>
        <v>2290</v>
      </c>
      <c r="O56" s="60">
        <f>VLOOKUP($A56,'Выгр Кат'!$A:$P,O$1,0)</f>
        <v>1500</v>
      </c>
      <c r="P56" s="60">
        <f>VLOOKUP($A56,'Выгр Кат'!$A:$P,P$1,0)</f>
        <v>2090</v>
      </c>
      <c r="Q56" s="73">
        <f t="shared" si="2"/>
        <v>0</v>
      </c>
      <c r="R56" s="73">
        <f t="shared" si="3"/>
        <v>-200</v>
      </c>
      <c r="S56" s="97">
        <f t="shared" si="4"/>
        <v>2290</v>
      </c>
      <c r="T56" s="98">
        <f t="shared" si="5"/>
        <v>0.52666666666666662</v>
      </c>
      <c r="U56" s="98">
        <f t="shared" si="6"/>
        <v>-4.5662100456621002E-2</v>
      </c>
      <c r="V56" s="98">
        <f t="shared" si="7"/>
        <v>0.45999999999999996</v>
      </c>
      <c r="W56" s="106">
        <f t="shared" ref="W56:W60" si="19">MIN(AA56,AG56,AL56,AQ56)</f>
        <v>2190</v>
      </c>
      <c r="X56" s="102">
        <f>IFERROR(ROUND((VLOOKUP($A56,'Из ГУГЛа'!$B:$Z,X$1,0)+Z56)*Y56,),VLOOKUP($A56,'Из ГУГЛа'!$B:$Z,X$1,0))</f>
        <v>2190</v>
      </c>
      <c r="Y56" s="75">
        <v>1</v>
      </c>
      <c r="Z56" s="75">
        <v>0</v>
      </c>
      <c r="AA56" s="63">
        <v>2190</v>
      </c>
      <c r="AB56" s="63" t="s">
        <v>1215</v>
      </c>
      <c r="AC56" s="48" t="s">
        <v>814</v>
      </c>
      <c r="AD56" s="102">
        <f>IFERROR(ROUND((VLOOKUP($A56,'Из ГУГЛа'!$B:$Z,AD$1,0)+AF56)*AE56,),VLOOKUP($A56,'Из ГУГЛа'!$B:$Z,AD$1,0))</f>
        <v>0</v>
      </c>
      <c r="AE56" s="100">
        <v>1</v>
      </c>
      <c r="AF56" s="100"/>
      <c r="AG56" s="103">
        <v>2550</v>
      </c>
      <c r="AH56" s="103" t="s">
        <v>1899</v>
      </c>
      <c r="AI56" s="102">
        <f>IFERROR(ROUND((VLOOKUP($A56,'Из ГУГЛа'!$B:$Z,AI$1,0)+AK56)*AJ56,),VLOOKUP($A56,'Из ГУГЛа'!$B:$Z,AI$1,0))</f>
        <v>0</v>
      </c>
      <c r="AJ56" s="100">
        <v>1</v>
      </c>
      <c r="AK56" s="100"/>
      <c r="AL56" s="103"/>
      <c r="AM56" s="103"/>
      <c r="AN56" s="102">
        <f>IFERROR(ROUND((VLOOKUP($A56,'Из ГУГЛа'!$B:$Z,AN$1,0)+AP56)*AO56,),VLOOKUP($A56,'Из ГУГЛа'!$B:$Z,AN$1,0))</f>
        <v>0</v>
      </c>
      <c r="AO56" s="100">
        <v>1</v>
      </c>
      <c r="AP56" s="100"/>
      <c r="AQ56" s="103"/>
      <c r="AR56" s="103"/>
    </row>
    <row r="57" spans="1:44" ht="40.5" thickTop="1" thickBot="1" x14ac:dyDescent="0.3">
      <c r="A57" s="57">
        <v>144824</v>
      </c>
      <c r="B57" s="57">
        <f>VLOOKUP($A57,'Выгр Кат'!$A:$T,B$1,0)</f>
        <v>13290</v>
      </c>
      <c r="C57" s="58" t="str">
        <f>VLOOKUP($A57,'Выгр Кат'!$A:$T,C$1,0)</f>
        <v>Жгут проводов багажника для ВАЗ 2112</v>
      </c>
      <c r="D57" s="57" t="str">
        <f>VLOOKUP($A57,'Выгр Кат'!$A:$T,D$1,0)</f>
        <v>Y</v>
      </c>
      <c r="E57" s="57" t="str">
        <f>VLOOKUP($A57,'Выгр Кат'!$A:$T,E$1,0)</f>
        <v>1</v>
      </c>
      <c r="F57" s="57">
        <f>VLOOKUP($A57,'Выгр Кат'!$A:$T,F$1,0)</f>
        <v>0</v>
      </c>
      <c r="G57" s="57" t="str">
        <f>VLOOKUP($A57,'Выгр Кат'!$A:$T,G$1,0)</f>
        <v>21123724558</v>
      </c>
      <c r="H57" s="57" t="str">
        <f>VLOOKUP($A57,'Выгр Кат'!$A:$T,H$1,0)</f>
        <v>2112-3724558</v>
      </c>
      <c r="I57" s="39" t="s">
        <v>607</v>
      </c>
      <c r="J57" s="1" t="s">
        <v>526</v>
      </c>
      <c r="K57" s="47">
        <f>VLOOKUP(I57,Прайс!A:E,5,0)</f>
        <v>2000</v>
      </c>
      <c r="L57" s="7">
        <f>VLOOKUP(K57,Наценка!$A$1:$B$8,2,1)</f>
        <v>1.4</v>
      </c>
      <c r="M57" s="44">
        <f t="shared" si="0"/>
        <v>2800</v>
      </c>
      <c r="N57" s="62">
        <f t="shared" si="9"/>
        <v>2790</v>
      </c>
      <c r="O57" s="60">
        <f>VLOOKUP($A57,'Выгр Кат'!$A:$P,O$1,0)</f>
        <v>1800</v>
      </c>
      <c r="P57" s="60">
        <f>VLOOKUP($A57,'Выгр Кат'!$A:$P,P$1,0)</f>
        <v>2590</v>
      </c>
      <c r="Q57" s="73">
        <f t="shared" si="2"/>
        <v>-200</v>
      </c>
      <c r="R57" s="73">
        <f t="shared" si="3"/>
        <v>-200</v>
      </c>
      <c r="S57" s="97">
        <f t="shared" si="4"/>
        <v>2790</v>
      </c>
      <c r="T57" s="98">
        <f t="shared" si="5"/>
        <v>0.39500000000000002</v>
      </c>
      <c r="U57" s="98">
        <f t="shared" si="6"/>
        <v>-0.14344262295081966</v>
      </c>
      <c r="V57" s="98">
        <f t="shared" si="7"/>
        <v>0.21999999999999997</v>
      </c>
      <c r="W57" s="106">
        <f t="shared" si="19"/>
        <v>2440</v>
      </c>
      <c r="X57" s="102">
        <f>IFERROR(ROUND((VLOOKUP($A57,'Из ГУГЛа'!$B:$Z,X$1,0)+Z57)*Y57,),VLOOKUP($A57,'Из ГУГЛа'!$B:$Z,X$1,0))</f>
        <v>2690</v>
      </c>
      <c r="Y57" s="75">
        <v>1</v>
      </c>
      <c r="Z57" s="75">
        <v>0</v>
      </c>
      <c r="AA57" s="63">
        <v>2690</v>
      </c>
      <c r="AB57" s="63" t="s">
        <v>1215</v>
      </c>
      <c r="AC57" s="48" t="s">
        <v>1117</v>
      </c>
      <c r="AD57" s="102">
        <f>IFERROR(ROUND((VLOOKUP($A57,'Из ГУГЛа'!$B:$Z,AD$1,0)+AF57)*AE57,),VLOOKUP($A57,'Из ГУГЛа'!$B:$Z,AD$1,0))</f>
        <v>0</v>
      </c>
      <c r="AE57" s="100">
        <v>1</v>
      </c>
      <c r="AF57" s="100"/>
      <c r="AG57" s="103">
        <v>2440</v>
      </c>
      <c r="AH57" s="103" t="s">
        <v>1900</v>
      </c>
      <c r="AI57" s="102">
        <f>IFERROR(ROUND((VLOOKUP($A57,'Из ГУГЛа'!$B:$Z,AI$1,0)+AK57)*AJ57,),VLOOKUP($A57,'Из ГУГЛа'!$B:$Z,AI$1,0))</f>
        <v>0</v>
      </c>
      <c r="AJ57" s="100">
        <v>1</v>
      </c>
      <c r="AK57" s="100"/>
      <c r="AL57" s="103"/>
      <c r="AM57" s="103"/>
      <c r="AN57" s="102">
        <f>IFERROR(ROUND((VLOOKUP($A57,'Из ГУГЛа'!$B:$Z,AN$1,0)+AP57)*AO57,),VLOOKUP($A57,'Из ГУГЛа'!$B:$Z,AN$1,0))</f>
        <v>0</v>
      </c>
      <c r="AO57" s="100">
        <v>1</v>
      </c>
      <c r="AP57" s="100"/>
      <c r="AQ57" s="103"/>
      <c r="AR57" s="103"/>
    </row>
    <row r="58" spans="1:44" ht="53.25" thickTop="1" thickBot="1" x14ac:dyDescent="0.3">
      <c r="A58" s="57">
        <v>144940</v>
      </c>
      <c r="B58" s="57">
        <f>VLOOKUP($A58,'Выгр Кат'!$A:$T,B$1,0)</f>
        <v>13296</v>
      </c>
      <c r="C58" s="58" t="str">
        <f>VLOOKUP($A58,'Выгр Кат'!$A:$T,C$1,0)</f>
        <v>Жгут проводов печки-стеклоочистителя для ВАЗ 2110</v>
      </c>
      <c r="D58" s="57" t="str">
        <f>VLOOKUP($A58,'Выгр Кат'!$A:$T,D$1,0)</f>
        <v>Y</v>
      </c>
      <c r="E58" s="57" t="str">
        <f>VLOOKUP($A58,'Выгр Кат'!$A:$T,E$1,0)</f>
        <v>1</v>
      </c>
      <c r="F58" s="57">
        <f>VLOOKUP($A58,'Выгр Кат'!$A:$T,F$1,0)</f>
        <v>0</v>
      </c>
      <c r="G58" s="57" t="str">
        <f>VLOOKUP($A58,'Выгр Кат'!$A:$T,G$1,0)</f>
        <v>21103724019</v>
      </c>
      <c r="H58" s="57" t="str">
        <f>VLOOKUP($A58,'Выгр Кат'!$A:$T,H$1,0)</f>
        <v>2110-3724019</v>
      </c>
      <c r="I58" s="39" t="s">
        <v>614</v>
      </c>
      <c r="J58" s="1" t="s">
        <v>526</v>
      </c>
      <c r="K58" s="47">
        <f>VLOOKUP(I58,Прайс!A:E,5,0)</f>
        <v>1500</v>
      </c>
      <c r="L58" s="7">
        <f>VLOOKUP(K58,Наценка!$A$1:$B$8,2,1)</f>
        <v>1.5</v>
      </c>
      <c r="M58" s="44">
        <f t="shared" si="0"/>
        <v>2250</v>
      </c>
      <c r="N58" s="62">
        <f t="shared" si="9"/>
        <v>2290</v>
      </c>
      <c r="O58" s="60">
        <f>VLOOKUP($A58,'Выгр Кат'!$A:$P,O$1,0)</f>
        <v>1500</v>
      </c>
      <c r="P58" s="60">
        <f>VLOOKUP($A58,'Выгр Кат'!$A:$P,P$1,0)</f>
        <v>2090</v>
      </c>
      <c r="Q58" s="73">
        <f t="shared" si="2"/>
        <v>0</v>
      </c>
      <c r="R58" s="73">
        <f t="shared" si="3"/>
        <v>-200</v>
      </c>
      <c r="S58" s="97">
        <f t="shared" si="4"/>
        <v>2290</v>
      </c>
      <c r="T58" s="98">
        <f t="shared" si="5"/>
        <v>0.52666666666666662</v>
      </c>
      <c r="U58" s="98">
        <f t="shared" si="6"/>
        <v>-0.27576601671309192</v>
      </c>
      <c r="V58" s="98">
        <f t="shared" si="7"/>
        <v>0.19666666666666677</v>
      </c>
      <c r="W58" s="106">
        <f t="shared" si="19"/>
        <v>1795</v>
      </c>
      <c r="X58" s="102">
        <f>IFERROR(ROUND((VLOOKUP($A58,'Из ГУГЛа'!$B:$Z,X$1,0)+Z58)*Y58,),VLOOKUP($A58,'Из ГУГЛа'!$B:$Z,X$1,0))</f>
        <v>2190</v>
      </c>
      <c r="Y58" s="75">
        <v>1</v>
      </c>
      <c r="Z58" s="75">
        <v>0</v>
      </c>
      <c r="AA58" s="63">
        <v>2190</v>
      </c>
      <c r="AB58" s="63" t="s">
        <v>1215</v>
      </c>
      <c r="AC58" s="48" t="s">
        <v>905</v>
      </c>
      <c r="AD58" s="102">
        <f>IFERROR(ROUND((VLOOKUP($A58,'Из ГУГЛа'!$B:$Z,AD$1,0)+AF58)*AE58,),VLOOKUP($A58,'Из ГУГЛа'!$B:$Z,AD$1,0))</f>
        <v>0</v>
      </c>
      <c r="AE58" s="100">
        <v>1</v>
      </c>
      <c r="AF58" s="100"/>
      <c r="AG58" s="103">
        <v>1795</v>
      </c>
      <c r="AH58" s="103" t="s">
        <v>1902</v>
      </c>
      <c r="AI58" s="102">
        <f>IFERROR(ROUND((VLOOKUP($A58,'Из ГУГЛа'!$B:$Z,AI$1,0)+AK58)*AJ58,),VLOOKUP($A58,'Из ГУГЛа'!$B:$Z,AI$1,0))</f>
        <v>0</v>
      </c>
      <c r="AJ58" s="100">
        <v>1</v>
      </c>
      <c r="AK58" s="100"/>
      <c r="AL58" s="103"/>
      <c r="AM58" s="103"/>
      <c r="AN58" s="102">
        <f>IFERROR(ROUND((VLOOKUP($A58,'Из ГУГЛа'!$B:$Z,AN$1,0)+AP58)*AO58,),VLOOKUP($A58,'Из ГУГЛа'!$B:$Z,AN$1,0))</f>
        <v>0</v>
      </c>
      <c r="AO58" s="100">
        <v>1</v>
      </c>
      <c r="AP58" s="100"/>
      <c r="AQ58" s="103"/>
      <c r="AR58" s="103"/>
    </row>
    <row r="59" spans="1:44" ht="53.25" thickTop="1" thickBot="1" x14ac:dyDescent="0.3">
      <c r="A59" s="57">
        <v>144941</v>
      </c>
      <c r="B59" s="57">
        <f>VLOOKUP($A59,'Выгр Кат'!$A:$T,B$1,0)</f>
        <v>13298</v>
      </c>
      <c r="C59" s="58" t="str">
        <f>VLOOKUP($A59,'Выгр Кат'!$A:$T,C$1,0)</f>
        <v>Жгут проводов печки-стеклоочистителя для ВАЗ 2111</v>
      </c>
      <c r="D59" s="57" t="str">
        <f>VLOOKUP($A59,'Выгр Кат'!$A:$T,D$1,0)</f>
        <v>Y</v>
      </c>
      <c r="E59" s="57" t="str">
        <f>VLOOKUP($A59,'Выгр Кат'!$A:$T,E$1,0)</f>
        <v>1</v>
      </c>
      <c r="F59" s="57">
        <f>VLOOKUP($A59,'Выгр Кат'!$A:$T,F$1,0)</f>
        <v>0</v>
      </c>
      <c r="G59" s="57" t="str">
        <f>VLOOKUP($A59,'Выгр Кат'!$A:$T,G$1,0)</f>
        <v>21113724019</v>
      </c>
      <c r="H59" s="57" t="str">
        <f>VLOOKUP($A59,'Выгр Кат'!$A:$T,H$1,0)</f>
        <v>2111-3724019</v>
      </c>
      <c r="I59" s="39" t="s">
        <v>615</v>
      </c>
      <c r="J59" s="1" t="s">
        <v>526</v>
      </c>
      <c r="K59" s="47">
        <f>VLOOKUP(I59,Прайс!A:E,5,0)</f>
        <v>1500</v>
      </c>
      <c r="L59" s="7">
        <f>VLOOKUP(K59,Наценка!$A$1:$B$8,2,1)</f>
        <v>1.5</v>
      </c>
      <c r="M59" s="44">
        <f t="shared" si="0"/>
        <v>2250</v>
      </c>
      <c r="N59" s="62">
        <f t="shared" si="9"/>
        <v>2290</v>
      </c>
      <c r="O59" s="60">
        <f>VLOOKUP($A59,'Выгр Кат'!$A:$P,O$1,0)</f>
        <v>1500</v>
      </c>
      <c r="P59" s="60">
        <f>VLOOKUP($A59,'Выгр Кат'!$A:$P,P$1,0)</f>
        <v>2090</v>
      </c>
      <c r="Q59" s="73">
        <f t="shared" si="2"/>
        <v>0</v>
      </c>
      <c r="R59" s="73">
        <f t="shared" si="3"/>
        <v>-200</v>
      </c>
      <c r="S59" s="97">
        <f t="shared" si="4"/>
        <v>2290</v>
      </c>
      <c r="T59" s="98">
        <f t="shared" si="5"/>
        <v>0.52666666666666662</v>
      </c>
      <c r="U59" s="98">
        <f t="shared" si="6"/>
        <v>-0.27576601671309192</v>
      </c>
      <c r="V59" s="98">
        <f t="shared" si="7"/>
        <v>0.19666666666666677</v>
      </c>
      <c r="W59" s="106">
        <f t="shared" si="19"/>
        <v>1795</v>
      </c>
      <c r="X59" s="102">
        <f>IFERROR(ROUND((VLOOKUP($A59,'Из ГУГЛа'!$B:$Z,X$1,0)+Z59)*Y59,),VLOOKUP($A59,'Из ГУГЛа'!$B:$Z,X$1,0))</f>
        <v>2190</v>
      </c>
      <c r="Y59" s="75">
        <v>1</v>
      </c>
      <c r="Z59" s="75">
        <v>0</v>
      </c>
      <c r="AA59" s="63">
        <v>2190</v>
      </c>
      <c r="AB59" s="63" t="s">
        <v>1215</v>
      </c>
      <c r="AC59" s="48" t="s">
        <v>905</v>
      </c>
      <c r="AD59" s="102">
        <f>IFERROR(ROUND((VLOOKUP($A59,'Из ГУГЛа'!$B:$Z,AD$1,0)+AF59)*AE59,),VLOOKUP($A59,'Из ГУГЛа'!$B:$Z,AD$1,0))</f>
        <v>0</v>
      </c>
      <c r="AE59" s="100">
        <v>1</v>
      </c>
      <c r="AF59" s="100"/>
      <c r="AG59" s="103">
        <v>1795</v>
      </c>
      <c r="AH59" s="103" t="s">
        <v>1901</v>
      </c>
      <c r="AI59" s="102">
        <f>IFERROR(ROUND((VLOOKUP($A59,'Из ГУГЛа'!$B:$Z,AI$1,0)+AK59)*AJ59,),VLOOKUP($A59,'Из ГУГЛа'!$B:$Z,AI$1,0))</f>
        <v>0</v>
      </c>
      <c r="AJ59" s="100">
        <v>1</v>
      </c>
      <c r="AK59" s="100"/>
      <c r="AL59" s="103"/>
      <c r="AM59" s="103"/>
      <c r="AN59" s="102">
        <f>IFERROR(ROUND((VLOOKUP($A59,'Из ГУГЛа'!$B:$Z,AN$1,0)+AP59)*AO59,),VLOOKUP($A59,'Из ГУГЛа'!$B:$Z,AN$1,0))</f>
        <v>0</v>
      </c>
      <c r="AO59" s="100">
        <v>1</v>
      </c>
      <c r="AP59" s="100"/>
      <c r="AQ59" s="103"/>
      <c r="AR59" s="103"/>
    </row>
    <row r="60" spans="1:44" ht="40.5" thickTop="1" thickBot="1" x14ac:dyDescent="0.3">
      <c r="A60" s="57">
        <v>144823</v>
      </c>
      <c r="B60" s="57">
        <f>VLOOKUP($A60,'Выгр Кат'!$A:$T,B$1,0)</f>
        <v>13289</v>
      </c>
      <c r="C60" s="58" t="str">
        <f>VLOOKUP($A60,'Выгр Кат'!$A:$T,C$1,0)</f>
        <v>Жгут проводов багажника для ВАЗ 2111</v>
      </c>
      <c r="D60" s="57" t="str">
        <f>VLOOKUP($A60,'Выгр Кат'!$A:$T,D$1,0)</f>
        <v>Y</v>
      </c>
      <c r="E60" s="57" t="str">
        <f>VLOOKUP($A60,'Выгр Кат'!$A:$T,E$1,0)</f>
        <v>1</v>
      </c>
      <c r="F60" s="57">
        <f>VLOOKUP($A60,'Выгр Кат'!$A:$T,F$1,0)</f>
        <v>0</v>
      </c>
      <c r="G60" s="57" t="str">
        <f>VLOOKUP($A60,'Выгр Кат'!$A:$T,G$1,0)</f>
        <v>21113724558</v>
      </c>
      <c r="H60" s="57" t="str">
        <f>VLOOKUP($A60,'Выгр Кат'!$A:$T,H$1,0)</f>
        <v>2111-3724558</v>
      </c>
      <c r="I60" s="39" t="s">
        <v>606</v>
      </c>
      <c r="J60" s="1" t="s">
        <v>526</v>
      </c>
      <c r="K60" s="47">
        <f>VLOOKUP(I60,Прайс!A:E,5,0)</f>
        <v>2000</v>
      </c>
      <c r="L60" s="7">
        <f>VLOOKUP(K60,Наценка!$A$1:$B$8,2,1)</f>
        <v>1.4</v>
      </c>
      <c r="M60" s="44">
        <f t="shared" si="0"/>
        <v>2800</v>
      </c>
      <c r="N60" s="62">
        <f t="shared" si="9"/>
        <v>2790</v>
      </c>
      <c r="O60" s="60">
        <f>VLOOKUP($A60,'Выгр Кат'!$A:$P,O$1,0)</f>
        <v>1800</v>
      </c>
      <c r="P60" s="60">
        <f>VLOOKUP($A60,'Выгр Кат'!$A:$P,P$1,0)</f>
        <v>2590</v>
      </c>
      <c r="Q60" s="73">
        <f t="shared" si="2"/>
        <v>-200</v>
      </c>
      <c r="R60" s="73">
        <f t="shared" si="3"/>
        <v>-200</v>
      </c>
      <c r="S60" s="97">
        <f t="shared" si="4"/>
        <v>2790</v>
      </c>
      <c r="T60" s="98">
        <f t="shared" si="5"/>
        <v>0.39500000000000002</v>
      </c>
      <c r="U60" s="98">
        <f t="shared" si="6"/>
        <v>-0.41051567239635994</v>
      </c>
      <c r="V60" s="98">
        <f t="shared" si="7"/>
        <v>-1.100000000000001E-2</v>
      </c>
      <c r="W60" s="106">
        <f t="shared" si="19"/>
        <v>1978</v>
      </c>
      <c r="X60" s="102">
        <f>IFERROR(ROUND((VLOOKUP($A60,'Из ГУГЛа'!$B:$Z,X$1,0)+Z60)*Y60,),VLOOKUP($A60,'Из ГУГЛа'!$B:$Z,X$1,0))</f>
        <v>2690</v>
      </c>
      <c r="Y60" s="75">
        <v>1</v>
      </c>
      <c r="Z60" s="75">
        <v>0</v>
      </c>
      <c r="AA60" s="63">
        <v>2690</v>
      </c>
      <c r="AB60" s="63" t="s">
        <v>1215</v>
      </c>
      <c r="AC60" s="48" t="s">
        <v>1116</v>
      </c>
      <c r="AD60" s="102">
        <f>IFERROR(ROUND((VLOOKUP($A60,'Из ГУГЛа'!$B:$Z,AD$1,0)+AF60)*AE60,),VLOOKUP($A60,'Из ГУГЛа'!$B:$Z,AD$1,0))</f>
        <v>0</v>
      </c>
      <c r="AE60" s="100">
        <v>1</v>
      </c>
      <c r="AF60" s="100"/>
      <c r="AG60" s="103">
        <v>1978</v>
      </c>
      <c r="AH60" s="103" t="s">
        <v>1903</v>
      </c>
      <c r="AI60" s="102">
        <f>IFERROR(ROUND((VLOOKUP($A60,'Из ГУГЛа'!$B:$Z,AI$1,0)+AK60)*AJ60,),VLOOKUP($A60,'Из ГУГЛа'!$B:$Z,AI$1,0))</f>
        <v>0</v>
      </c>
      <c r="AJ60" s="100">
        <v>1</v>
      </c>
      <c r="AK60" s="100"/>
      <c r="AL60" s="103"/>
      <c r="AM60" s="103"/>
      <c r="AN60" s="102">
        <f>IFERROR(ROUND((VLOOKUP($A60,'Из ГУГЛа'!$B:$Z,AN$1,0)+AP60)*AO60,),VLOOKUP($A60,'Из ГУГЛа'!$B:$Z,AN$1,0))</f>
        <v>0</v>
      </c>
      <c r="AO60" s="100">
        <v>1</v>
      </c>
      <c r="AP60" s="100"/>
      <c r="AQ60" s="103"/>
      <c r="AR60" s="103"/>
    </row>
    <row r="61" spans="1:44" ht="46.5" thickTop="1" thickBot="1" x14ac:dyDescent="0.3">
      <c r="A61" s="57">
        <v>201273</v>
      </c>
      <c r="B61" s="57">
        <f>VLOOKUP($A61,'Выгр Кат'!$A:$T,B$1,0)</f>
        <v>15198</v>
      </c>
      <c r="C61" s="58" t="str">
        <f>VLOOKUP($A61,'Выгр Кат'!$A:$T,C$1,0)</f>
        <v>Проводка мультимедийной системы руля для подключения мультируля к медиасистеме для Лада Веста</v>
      </c>
      <c r="D61" s="57" t="str">
        <f>VLOOKUP($A61,'Выгр Кат'!$A:$T,D$1,0)</f>
        <v>Y</v>
      </c>
      <c r="E61" s="57" t="str">
        <f>VLOOKUP($A61,'Выгр Кат'!$A:$T,E$1,0)</f>
        <v>1</v>
      </c>
      <c r="F61" s="57">
        <f>VLOOKUP($A61,'Выгр Кат'!$A:$T,F$1,0)</f>
        <v>0</v>
      </c>
      <c r="G61" s="57">
        <f>VLOOKUP($A61,'Выгр Кат'!$A:$T,G$1,0)</f>
        <v>0</v>
      </c>
      <c r="H61" s="57">
        <f>VLOOKUP($A61,'Выгр Кат'!$A:$T,H$1,0)</f>
        <v>0</v>
      </c>
      <c r="I61" s="64"/>
      <c r="J61" s="1" t="s">
        <v>526</v>
      </c>
      <c r="K61" s="46">
        <f t="shared" ref="K61:K64" si="20">O61</f>
        <v>1200</v>
      </c>
      <c r="L61" s="7">
        <f>VLOOKUP(K61,Наценка!$A$1:$B$8,2,1)</f>
        <v>1.5</v>
      </c>
      <c r="M61" s="44">
        <f t="shared" si="0"/>
        <v>1800</v>
      </c>
      <c r="N61" s="62">
        <f t="shared" si="9"/>
        <v>1790</v>
      </c>
      <c r="O61" s="60">
        <f>VLOOKUP($A61,'Выгр Кат'!$A:$P,O$1,0)</f>
        <v>1200</v>
      </c>
      <c r="P61" s="60">
        <f>VLOOKUP($A61,'Выгр Кат'!$A:$P,P$1,0)</f>
        <v>1790</v>
      </c>
      <c r="Q61" s="73">
        <f t="shared" si="2"/>
        <v>0</v>
      </c>
      <c r="R61" s="73">
        <f t="shared" si="3"/>
        <v>0</v>
      </c>
      <c r="S61" s="97">
        <f t="shared" si="4"/>
        <v>1790</v>
      </c>
      <c r="T61" s="98">
        <f t="shared" si="5"/>
        <v>0.4916666666666667</v>
      </c>
      <c r="U61" s="98" t="str">
        <f t="shared" si="6"/>
        <v/>
      </c>
      <c r="V61" s="98" t="str">
        <f t="shared" si="7"/>
        <v/>
      </c>
      <c r="W61" s="99"/>
      <c r="X61" s="102" t="str">
        <f>IFERROR(ROUND((VLOOKUP($A61,'Из ГУГЛа'!$B:$Z,X$1,0)+Z61)*Y61,),VLOOKUP($A61,'Из ГУГЛа'!$B:$Z,X$1,0))</f>
        <v/>
      </c>
      <c r="Y61" s="75">
        <v>1</v>
      </c>
      <c r="Z61" s="75">
        <v>0</v>
      </c>
      <c r="AA61" s="63" t="s">
        <v>1017</v>
      </c>
      <c r="AB61" s="80"/>
      <c r="AD61" s="102">
        <f>IFERROR(ROUND((VLOOKUP($A61,'Из ГУГЛа'!$B:$Z,AD$1,0)+AF61)*AE61,),VLOOKUP($A61,'Из ГУГЛа'!$B:$Z,AD$1,0))</f>
        <v>0</v>
      </c>
      <c r="AE61" s="100">
        <v>1</v>
      </c>
      <c r="AF61" s="100"/>
      <c r="AG61" s="103" t="s">
        <v>1017</v>
      </c>
      <c r="AH61" s="103"/>
      <c r="AI61" s="102">
        <f>IFERROR(ROUND((VLOOKUP($A61,'Из ГУГЛа'!$B:$Z,AI$1,0)+AK61)*AJ61,),VLOOKUP($A61,'Из ГУГЛа'!$B:$Z,AI$1,0))</f>
        <v>0</v>
      </c>
      <c r="AJ61" s="100">
        <v>1</v>
      </c>
      <c r="AK61" s="100"/>
      <c r="AL61" s="103"/>
      <c r="AM61" s="103"/>
      <c r="AN61" s="102">
        <f>IFERROR(ROUND((VLOOKUP($A61,'Из ГУГЛа'!$B:$Z,AN$1,0)+AP61)*AO61,),VLOOKUP($A61,'Из ГУГЛа'!$B:$Z,AN$1,0))</f>
        <v>0</v>
      </c>
      <c r="AO61" s="100">
        <v>1</v>
      </c>
      <c r="AP61" s="100"/>
      <c r="AQ61" s="103"/>
      <c r="AR61" s="103"/>
    </row>
    <row r="62" spans="1:44" ht="31.5" thickTop="1" thickBot="1" x14ac:dyDescent="0.3">
      <c r="A62" s="57">
        <v>144951</v>
      </c>
      <c r="B62" s="57">
        <f>VLOOKUP($A62,'Выгр Кат'!$A:$T,B$1,0)</f>
        <v>13417</v>
      </c>
      <c r="C62" s="58" t="str">
        <f>VLOOKUP($A62,'Выгр Кат'!$A:$T,C$1,0)</f>
        <v>Жгут проводов рампы CARGEN 21179 для Лада Веста, XRAY</v>
      </c>
      <c r="D62" s="57" t="str">
        <f>VLOOKUP($A62,'Выгр Кат'!$A:$T,D$1,0)</f>
        <v>Y</v>
      </c>
      <c r="E62" s="57" t="str">
        <f>VLOOKUP($A62,'Выгр Кат'!$A:$T,E$1,0)</f>
        <v>1</v>
      </c>
      <c r="F62" s="57">
        <f>VLOOKUP($A62,'Выгр Кат'!$A:$T,F$1,0)</f>
        <v>0</v>
      </c>
      <c r="G62" s="57" t="str">
        <f>VLOOKUP($A62,'Выгр Кат'!$A:$T,G$1,0)</f>
        <v>21179372403600</v>
      </c>
      <c r="H62" s="57" t="str">
        <f>VLOOKUP($A62,'Выгр Кат'!$A:$T,H$1,0)</f>
        <v>21179-3724036</v>
      </c>
      <c r="I62" s="64"/>
      <c r="J62" s="1" t="s">
        <v>526</v>
      </c>
      <c r="K62" s="46">
        <f t="shared" si="20"/>
        <v>1300</v>
      </c>
      <c r="L62" s="7">
        <f>VLOOKUP(K62,Наценка!$A$1:$B$8,2,1)</f>
        <v>1.5</v>
      </c>
      <c r="M62" s="44">
        <f t="shared" si="0"/>
        <v>1950</v>
      </c>
      <c r="N62" s="62">
        <f t="shared" si="9"/>
        <v>1990</v>
      </c>
      <c r="O62" s="60">
        <f>VLOOKUP($A62,'Выгр Кат'!$A:$P,O$1,0)</f>
        <v>1300</v>
      </c>
      <c r="P62" s="60">
        <f>VLOOKUP($A62,'Выгр Кат'!$A:$P,P$1,0)</f>
        <v>2090</v>
      </c>
      <c r="Q62" s="73">
        <f t="shared" si="2"/>
        <v>0</v>
      </c>
      <c r="R62" s="73">
        <f t="shared" si="3"/>
        <v>100</v>
      </c>
      <c r="S62" s="97">
        <f t="shared" si="4"/>
        <v>1990</v>
      </c>
      <c r="T62" s="98">
        <f t="shared" si="5"/>
        <v>0.53076923076923066</v>
      </c>
      <c r="U62" s="98">
        <f t="shared" si="6"/>
        <v>9.1324200913242004E-2</v>
      </c>
      <c r="V62" s="98">
        <f t="shared" si="7"/>
        <v>0.68461538461538463</v>
      </c>
      <c r="W62" s="106">
        <f t="shared" ref="W62:W63" si="21">MIN(AA62,AG62,AL62,AQ62)</f>
        <v>2190</v>
      </c>
      <c r="X62" s="102">
        <f>IFERROR(ROUND((VLOOKUP($A62,'Из ГУГЛа'!$B:$Z,X$1,0)+Z62)*Y62,),VLOOKUP($A62,'Из ГУГЛа'!$B:$Z,X$1,0))</f>
        <v>2190</v>
      </c>
      <c r="Y62" s="75">
        <v>1</v>
      </c>
      <c r="Z62" s="75">
        <v>0</v>
      </c>
      <c r="AA62" s="85">
        <v>2190</v>
      </c>
      <c r="AB62" s="63" t="s">
        <v>1215</v>
      </c>
      <c r="AC62" s="48" t="s">
        <v>903</v>
      </c>
      <c r="AD62" s="102">
        <f>IFERROR(ROUND((VLOOKUP($A62,'Из ГУГЛа'!$B:$Z,AD$1,0)+AF62)*AE62,),VLOOKUP($A62,'Из ГУГЛа'!$B:$Z,AD$1,0))</f>
        <v>0</v>
      </c>
      <c r="AE62" s="100">
        <v>1</v>
      </c>
      <c r="AF62" s="100"/>
      <c r="AG62" s="103">
        <v>3433</v>
      </c>
      <c r="AH62" s="103" t="s">
        <v>1904</v>
      </c>
      <c r="AI62" s="102">
        <f>IFERROR(ROUND((VLOOKUP($A62,'Из ГУГЛа'!$B:$Z,AI$1,0)+AK62)*AJ62,),VLOOKUP($A62,'Из ГУГЛа'!$B:$Z,AI$1,0))</f>
        <v>0</v>
      </c>
      <c r="AJ62" s="100">
        <v>1</v>
      </c>
      <c r="AK62" s="100"/>
      <c r="AL62" s="103"/>
      <c r="AM62" s="103"/>
      <c r="AN62" s="102">
        <f>IFERROR(ROUND((VLOOKUP($A62,'Из ГУГЛа'!$B:$Z,AN$1,0)+AP62)*AO62,),VLOOKUP($A62,'Из ГУГЛа'!$B:$Z,AN$1,0))</f>
        <v>0</v>
      </c>
      <c r="AO62" s="100">
        <v>1</v>
      </c>
      <c r="AP62" s="100"/>
      <c r="AQ62" s="103"/>
      <c r="AR62" s="103"/>
    </row>
    <row r="63" spans="1:44" ht="31.5" thickTop="1" thickBot="1" x14ac:dyDescent="0.3">
      <c r="A63" s="57">
        <v>144820</v>
      </c>
      <c r="B63" s="57">
        <f>VLOOKUP($A63,'Выгр Кат'!$A:$T,B$1,0)</f>
        <v>876</v>
      </c>
      <c r="C63" s="58" t="str">
        <f>VLOOKUP($A63,'Выгр Кат'!$A:$T,C$1,0)</f>
        <v>Жгут проводов Cargen для подключения электроусилителя руля ВАЗ</v>
      </c>
      <c r="D63" s="57" t="str">
        <f>VLOOKUP($A63,'Выгр Кат'!$A:$T,D$1,0)</f>
        <v>Y</v>
      </c>
      <c r="E63" s="57" t="str">
        <f>VLOOKUP($A63,'Выгр Кат'!$A:$T,E$1,0)</f>
        <v>1</v>
      </c>
      <c r="F63" s="57">
        <f>VLOOKUP($A63,'Выгр Кат'!$A:$T,F$1,0)</f>
        <v>0</v>
      </c>
      <c r="G63" s="57">
        <f>VLOOKUP($A63,'Выгр Кат'!$A:$T,G$1,0)</f>
        <v>0</v>
      </c>
      <c r="H63" s="57">
        <f>VLOOKUP($A63,'Выгр Кат'!$A:$T,H$1,0)</f>
        <v>0</v>
      </c>
      <c r="I63" s="39"/>
      <c r="J63" s="1" t="s">
        <v>526</v>
      </c>
      <c r="K63" s="46">
        <f t="shared" si="20"/>
        <v>1650</v>
      </c>
      <c r="L63" s="7">
        <f>VLOOKUP(K63,Наценка!$A$1:$B$8,2,1)</f>
        <v>1.5</v>
      </c>
      <c r="M63" s="44">
        <f t="shared" si="0"/>
        <v>2475</v>
      </c>
      <c r="N63" s="62">
        <f t="shared" si="9"/>
        <v>2490</v>
      </c>
      <c r="O63" s="60">
        <f>VLOOKUP($A63,'Выгр Кат'!$A:$P,O$1,0)</f>
        <v>1650</v>
      </c>
      <c r="P63" s="60">
        <f>VLOOKUP($A63,'Выгр Кат'!$A:$P,P$1,0)</f>
        <v>2390</v>
      </c>
      <c r="Q63" s="73">
        <f t="shared" si="2"/>
        <v>0</v>
      </c>
      <c r="R63" s="73">
        <f t="shared" si="3"/>
        <v>-100</v>
      </c>
      <c r="S63" s="97">
        <f t="shared" si="4"/>
        <v>2490</v>
      </c>
      <c r="T63" s="98">
        <f t="shared" si="5"/>
        <v>0.50909090909090904</v>
      </c>
      <c r="U63" s="98">
        <f t="shared" si="6"/>
        <v>-0.43598615916955019</v>
      </c>
      <c r="V63" s="98">
        <f t="shared" si="7"/>
        <v>5.0909090909091015E-2</v>
      </c>
      <c r="W63" s="106">
        <f t="shared" si="21"/>
        <v>1734</v>
      </c>
      <c r="X63" s="102">
        <f>IFERROR(ROUND((VLOOKUP($A63,'Из ГУГЛа'!$B:$Z,X$1,0)+Z63)*Y63,),VLOOKUP($A63,'Из ГУГЛа'!$B:$Z,X$1,0))</f>
        <v>2490</v>
      </c>
      <c r="Y63" s="75">
        <v>1</v>
      </c>
      <c r="Z63" s="75">
        <v>0</v>
      </c>
      <c r="AA63" s="63">
        <v>2490</v>
      </c>
      <c r="AB63" s="63" t="s">
        <v>1215</v>
      </c>
      <c r="AC63" s="48" t="s">
        <v>1115</v>
      </c>
      <c r="AD63" s="102">
        <f>IFERROR(ROUND((VLOOKUP($A63,'Из ГУГЛа'!$B:$Z,AD$1,0)+AF63)*AE63,),VLOOKUP($A63,'Из ГУГЛа'!$B:$Z,AD$1,0))</f>
        <v>0</v>
      </c>
      <c r="AE63" s="100">
        <v>1</v>
      </c>
      <c r="AF63" s="100"/>
      <c r="AG63" s="103">
        <v>1734</v>
      </c>
      <c r="AH63" s="103" t="s">
        <v>2094</v>
      </c>
      <c r="AI63" s="102">
        <f>IFERROR(ROUND((VLOOKUP($A63,'Из ГУГЛа'!$B:$Z,AI$1,0)+AK63)*AJ63,),VLOOKUP($A63,'Из ГУГЛа'!$B:$Z,AI$1,0))</f>
        <v>0</v>
      </c>
      <c r="AJ63" s="100">
        <v>1</v>
      </c>
      <c r="AK63" s="100"/>
      <c r="AL63" s="103"/>
      <c r="AM63" s="103"/>
      <c r="AN63" s="102">
        <f>IFERROR(ROUND((VLOOKUP($A63,'Из ГУГЛа'!$B:$Z,AN$1,0)+AP63)*AO63,),VLOOKUP($A63,'Из ГУГЛа'!$B:$Z,AN$1,0))</f>
        <v>0</v>
      </c>
      <c r="AO63" s="100">
        <v>1</v>
      </c>
      <c r="AP63" s="100"/>
      <c r="AQ63" s="103"/>
      <c r="AR63" s="103"/>
    </row>
    <row r="64" spans="1:44" ht="31.5" thickTop="1" thickBot="1" x14ac:dyDescent="0.3">
      <c r="A64" s="57">
        <v>144895</v>
      </c>
      <c r="B64" s="57">
        <f>VLOOKUP($A64,'Выгр Кат'!$A:$T,B$1,0)</f>
        <v>26296</v>
      </c>
      <c r="C64" s="58" t="str">
        <f>VLOOKUP($A64,'Выгр Кат'!$A:$T,C$1,0)</f>
        <v>Жгут проводов крышки багажника АвтоВАЗ для Лада Гранта лифтбек</v>
      </c>
      <c r="D64" s="57" t="str">
        <f>VLOOKUP($A64,'Выгр Кат'!$A:$T,D$1,0)</f>
        <v>Y</v>
      </c>
      <c r="E64" s="57" t="str">
        <f>VLOOKUP($A64,'Выгр Кат'!$A:$T,E$1,0)</f>
        <v>0</v>
      </c>
      <c r="F64" s="57">
        <f>VLOOKUP($A64,'Выгр Кат'!$A:$T,F$1,0)</f>
        <v>0</v>
      </c>
      <c r="G64" s="57" t="str">
        <f>VLOOKUP($A64,'Выгр Кат'!$A:$T,G$1,0)</f>
        <v>219103724558</v>
      </c>
      <c r="H64" s="57" t="str">
        <f>VLOOKUP($A64,'Выгр Кат'!$A:$T,H$1,0)</f>
        <v>2191-3724558</v>
      </c>
      <c r="I64" s="39"/>
      <c r="J64" s="1" t="s">
        <v>526</v>
      </c>
      <c r="K64" s="46">
        <f t="shared" si="20"/>
        <v>1300</v>
      </c>
      <c r="L64" s="7">
        <f>VLOOKUP(K64,Наценка!$A$1:$B$8,2,1)</f>
        <v>1.5</v>
      </c>
      <c r="M64" s="44">
        <f t="shared" si="0"/>
        <v>1950</v>
      </c>
      <c r="N64" s="62">
        <f t="shared" si="9"/>
        <v>1990</v>
      </c>
      <c r="O64" s="60">
        <f>VLOOKUP($A64,'Выгр Кат'!$A:$P,O$1,0)</f>
        <v>1300</v>
      </c>
      <c r="P64" s="60">
        <f>VLOOKUP($A64,'Выгр Кат'!$A:$P,P$1,0)</f>
        <v>1990</v>
      </c>
      <c r="Q64" s="73">
        <f t="shared" si="2"/>
        <v>0</v>
      </c>
      <c r="R64" s="73">
        <f t="shared" si="3"/>
        <v>0</v>
      </c>
      <c r="S64" s="97">
        <f t="shared" si="4"/>
        <v>1990</v>
      </c>
      <c r="T64" s="98">
        <f t="shared" si="5"/>
        <v>0.53076923076923066</v>
      </c>
      <c r="U64" s="98" t="str">
        <f t="shared" si="6"/>
        <v/>
      </c>
      <c r="V64" s="98" t="str">
        <f t="shared" si="7"/>
        <v/>
      </c>
      <c r="W64" s="99"/>
      <c r="X64" s="102" t="str">
        <f>IFERROR(ROUND((VLOOKUP($A64,'Из ГУГЛа'!$B:$Z,X$1,0)+Z64)*Y64,),VLOOKUP($A64,'Из ГУГЛа'!$B:$Z,X$1,0))</f>
        <v/>
      </c>
      <c r="Y64" s="75">
        <v>1</v>
      </c>
      <c r="Z64" s="75">
        <v>0</v>
      </c>
      <c r="AA64" s="63" t="s">
        <v>1017</v>
      </c>
      <c r="AB64" s="80"/>
      <c r="AD64" s="102">
        <f>IFERROR(ROUND((VLOOKUP($A64,'Из ГУГЛа'!$B:$Z,AD$1,0)+AF64)*AE64,),VLOOKUP($A64,'Из ГУГЛа'!$B:$Z,AD$1,0))</f>
        <v>0</v>
      </c>
      <c r="AE64" s="100">
        <v>1</v>
      </c>
      <c r="AF64" s="100"/>
      <c r="AG64" s="103" t="s">
        <v>1017</v>
      </c>
      <c r="AH64" s="103"/>
      <c r="AI64" s="102">
        <f>IFERROR(ROUND((VLOOKUP($A64,'Из ГУГЛа'!$B:$Z,AI$1,0)+AK64)*AJ64,),VLOOKUP($A64,'Из ГУГЛа'!$B:$Z,AI$1,0))</f>
        <v>0</v>
      </c>
      <c r="AJ64" s="100">
        <v>1</v>
      </c>
      <c r="AK64" s="100"/>
      <c r="AL64" s="103"/>
      <c r="AM64" s="103"/>
      <c r="AN64" s="102">
        <f>IFERROR(ROUND((VLOOKUP($A64,'Из ГУГЛа'!$B:$Z,AN$1,0)+AP64)*AO64,),VLOOKUP($A64,'Из ГУГЛа'!$B:$Z,AN$1,0))</f>
        <v>0</v>
      </c>
      <c r="AO64" s="100">
        <v>1</v>
      </c>
      <c r="AP64" s="100"/>
      <c r="AQ64" s="103"/>
      <c r="AR64" s="103"/>
    </row>
    <row r="65" spans="1:44" ht="53.25" thickTop="1" thickBot="1" x14ac:dyDescent="0.3">
      <c r="A65" s="57">
        <v>144932</v>
      </c>
      <c r="B65" s="57">
        <f>VLOOKUP($A65,'Выгр Кат'!$A:$T,B$1,0)</f>
        <v>13327</v>
      </c>
      <c r="C65" s="58" t="str">
        <f>VLOOKUP($A65,'Выгр Кат'!$A:$T,C$1,0)</f>
        <v>Жгут проводов передней левой двери для Лада Калина, Гранта</v>
      </c>
      <c r="D65" s="57" t="str">
        <f>VLOOKUP($A65,'Выгр Кат'!$A:$T,D$1,0)</f>
        <v>Y</v>
      </c>
      <c r="E65" s="57" t="str">
        <f>VLOOKUP($A65,'Выгр Кат'!$A:$T,E$1,0)</f>
        <v>1</v>
      </c>
      <c r="F65" s="57">
        <f>VLOOKUP($A65,'Выгр Кат'!$A:$T,F$1,0)</f>
        <v>0</v>
      </c>
      <c r="G65" s="57" t="str">
        <f>VLOOKUP($A65,'Выгр Кат'!$A:$T,G$1,0)</f>
        <v>111863724551</v>
      </c>
      <c r="H65" s="57" t="str">
        <f>VLOOKUP($A65,'Выгр Кат'!$A:$T,H$1,0)</f>
        <v>11186-3724551, 8450002158</v>
      </c>
      <c r="I65" s="39" t="s">
        <v>721</v>
      </c>
      <c r="J65" s="1" t="s">
        <v>526</v>
      </c>
      <c r="K65" s="47">
        <f>VLOOKUP(I65,Прайс!A:E,5,0)</f>
        <v>2000</v>
      </c>
      <c r="L65" s="7">
        <f>VLOOKUP(K65,Наценка!$A$1:$B$8,2,1)</f>
        <v>1.4</v>
      </c>
      <c r="M65" s="44">
        <f t="shared" si="0"/>
        <v>2800</v>
      </c>
      <c r="N65" s="62">
        <f t="shared" si="9"/>
        <v>2790</v>
      </c>
      <c r="O65" s="60">
        <f>VLOOKUP($A65,'Выгр Кат'!$A:$P,O$1,0)</f>
        <v>2500</v>
      </c>
      <c r="P65" s="60">
        <f>VLOOKUP($A65,'Выгр Кат'!$A:$P,P$1,0)</f>
        <v>2990</v>
      </c>
      <c r="Q65" s="73">
        <f t="shared" si="2"/>
        <v>500</v>
      </c>
      <c r="R65" s="73">
        <f t="shared" si="3"/>
        <v>200</v>
      </c>
      <c r="S65" s="97">
        <f t="shared" si="4"/>
        <v>2790</v>
      </c>
      <c r="T65" s="98">
        <f t="shared" si="5"/>
        <v>0.39500000000000002</v>
      </c>
      <c r="U65" s="98" t="str">
        <f t="shared" si="6"/>
        <v/>
      </c>
      <c r="V65" s="98" t="str">
        <f t="shared" si="7"/>
        <v/>
      </c>
      <c r="W65" s="103"/>
      <c r="X65" s="102">
        <f>IFERROR(ROUND((VLOOKUP($A65,'Из ГУГЛа'!$B:$Z,X$1,0)+Z65)*Y65,),VLOOKUP($A65,'Из ГУГЛа'!$B:$Z,X$1,0))</f>
        <v>2890</v>
      </c>
      <c r="Y65" s="75">
        <v>1</v>
      </c>
      <c r="Z65" s="75">
        <v>0</v>
      </c>
      <c r="AA65" s="85">
        <v>2890</v>
      </c>
      <c r="AB65" s="63" t="s">
        <v>1215</v>
      </c>
      <c r="AC65" s="48" t="s">
        <v>904</v>
      </c>
      <c r="AD65" s="102">
        <f>IFERROR(ROUND((VLOOKUP($A65,'Из ГУГЛа'!$B:$Z,AD$1,0)+AF65)*AE65,),VLOOKUP($A65,'Из ГУГЛа'!$B:$Z,AD$1,0))</f>
        <v>0</v>
      </c>
      <c r="AE65" s="100">
        <v>1</v>
      </c>
      <c r="AF65" s="100"/>
      <c r="AG65" s="103" t="s">
        <v>1907</v>
      </c>
      <c r="AH65" s="103" t="s">
        <v>1905</v>
      </c>
      <c r="AI65" s="102">
        <f>IFERROR(ROUND((VLOOKUP($A65,'Из ГУГЛа'!$B:$Z,AI$1,0)+AK65)*AJ65,),VLOOKUP($A65,'Из ГУГЛа'!$B:$Z,AI$1,0))</f>
        <v>0</v>
      </c>
      <c r="AJ65" s="100">
        <v>1</v>
      </c>
      <c r="AK65" s="100"/>
      <c r="AL65" s="103"/>
      <c r="AM65" s="103"/>
      <c r="AN65" s="102">
        <f>IFERROR(ROUND((VLOOKUP($A65,'Из ГУГЛа'!$B:$Z,AN$1,0)+AP65)*AO65,),VLOOKUP($A65,'Из ГУГЛа'!$B:$Z,AN$1,0))</f>
        <v>0</v>
      </c>
      <c r="AO65" s="100">
        <v>1</v>
      </c>
      <c r="AP65" s="100"/>
      <c r="AQ65" s="103"/>
      <c r="AR65" s="103"/>
    </row>
    <row r="66" spans="1:44" ht="53.25" thickTop="1" thickBot="1" x14ac:dyDescent="0.3">
      <c r="A66" s="57">
        <v>144933</v>
      </c>
      <c r="B66" s="57">
        <f>VLOOKUP($A66,'Выгр Кат'!$A:$T,B$1,0)</f>
        <v>13368</v>
      </c>
      <c r="C66" s="58" t="str">
        <f>VLOOKUP($A66,'Выгр Кат'!$A:$T,C$1,0)</f>
        <v>Жгут проводов передней левой двери для Лада Гранта</v>
      </c>
      <c r="D66" s="57" t="str">
        <f>VLOOKUP($A66,'Выгр Кат'!$A:$T,D$1,0)</f>
        <v>Y</v>
      </c>
      <c r="E66" s="57" t="str">
        <f>VLOOKUP($A66,'Выгр Кат'!$A:$T,E$1,0)</f>
        <v>1</v>
      </c>
      <c r="F66" s="57">
        <f>VLOOKUP($A66,'Выгр Кат'!$A:$T,F$1,0)</f>
        <v>0</v>
      </c>
      <c r="G66" s="57" t="str">
        <f>VLOOKUP($A66,'Выгр Кат'!$A:$T,G$1,0)</f>
        <v>2190372454510</v>
      </c>
      <c r="H66" s="57" t="str">
        <f>VLOOKUP($A66,'Выгр Кат'!$A:$T,H$1,0)</f>
        <v>2190-3724545</v>
      </c>
      <c r="I66" s="39" t="s">
        <v>721</v>
      </c>
      <c r="J66" s="1" t="s">
        <v>526</v>
      </c>
      <c r="K66" s="47">
        <f>VLOOKUP(I66,Прайс!A:E,5,0)</f>
        <v>2000</v>
      </c>
      <c r="L66" s="7">
        <f>VLOOKUP(K66,Наценка!$A$1:$B$8,2,1)</f>
        <v>1.4</v>
      </c>
      <c r="M66" s="44">
        <f t="shared" si="0"/>
        <v>2800</v>
      </c>
      <c r="N66" s="62">
        <f t="shared" si="9"/>
        <v>2790</v>
      </c>
      <c r="O66" s="60">
        <f>VLOOKUP($A66,'Выгр Кат'!$A:$P,O$1,0)</f>
        <v>2000</v>
      </c>
      <c r="P66" s="60">
        <f>VLOOKUP($A66,'Выгр Кат'!$A:$P,P$1,0)</f>
        <v>2790</v>
      </c>
      <c r="Q66" s="73">
        <f t="shared" si="2"/>
        <v>0</v>
      </c>
      <c r="R66" s="73">
        <f t="shared" si="3"/>
        <v>0</v>
      </c>
      <c r="S66" s="97">
        <f t="shared" si="4"/>
        <v>2790</v>
      </c>
      <c r="T66" s="98">
        <f t="shared" si="5"/>
        <v>0.39500000000000002</v>
      </c>
      <c r="U66" s="98">
        <f t="shared" si="6"/>
        <v>2.1459227467811159E-3</v>
      </c>
      <c r="V66" s="98">
        <f t="shared" si="7"/>
        <v>0.39799999999999991</v>
      </c>
      <c r="W66" s="106">
        <f>MIN(AA66,AG66,AL66,AQ66)</f>
        <v>2796</v>
      </c>
      <c r="X66" s="102">
        <f>IFERROR(ROUND((VLOOKUP($A66,'Из ГУГЛа'!$B:$Z,X$1,0)+Z66)*Y66,),VLOOKUP($A66,'Из ГУГЛа'!$B:$Z,X$1,0))</f>
        <v>2890</v>
      </c>
      <c r="Y66" s="75">
        <v>1</v>
      </c>
      <c r="Z66" s="75">
        <v>0</v>
      </c>
      <c r="AA66" s="63">
        <v>2890</v>
      </c>
      <c r="AB66" s="63" t="s">
        <v>1215</v>
      </c>
      <c r="AC66" s="48" t="s">
        <v>1114</v>
      </c>
      <c r="AD66" s="102">
        <f>IFERROR(ROUND((VLOOKUP($A66,'Из ГУГЛа'!$B:$Z,AD$1,0)+AF66)*AE66,),VLOOKUP($A66,'Из ГУГЛа'!$B:$Z,AD$1,0))</f>
        <v>0</v>
      </c>
      <c r="AE66" s="100">
        <v>1</v>
      </c>
      <c r="AF66" s="100"/>
      <c r="AG66" s="103">
        <v>2796</v>
      </c>
      <c r="AH66" s="103" t="s">
        <v>1906</v>
      </c>
      <c r="AI66" s="102">
        <f>IFERROR(ROUND((VLOOKUP($A66,'Из ГУГЛа'!$B:$Z,AI$1,0)+AK66)*AJ66,),VLOOKUP($A66,'Из ГУГЛа'!$B:$Z,AI$1,0))</f>
        <v>0</v>
      </c>
      <c r="AJ66" s="100">
        <v>1</v>
      </c>
      <c r="AK66" s="100"/>
      <c r="AL66" s="103"/>
      <c r="AM66" s="103"/>
      <c r="AN66" s="102">
        <f>IFERROR(ROUND((VLOOKUP($A66,'Из ГУГЛа'!$B:$Z,AN$1,0)+AP66)*AO66,),VLOOKUP($A66,'Из ГУГЛа'!$B:$Z,AN$1,0))</f>
        <v>0</v>
      </c>
      <c r="AO66" s="100">
        <v>1</v>
      </c>
      <c r="AP66" s="100"/>
      <c r="AQ66" s="103"/>
      <c r="AR66" s="103"/>
    </row>
    <row r="67" spans="1:44" ht="53.25" thickTop="1" thickBot="1" x14ac:dyDescent="0.3">
      <c r="A67" s="57">
        <v>144936</v>
      </c>
      <c r="B67" s="57">
        <f>VLOOKUP($A67,'Выгр Кат'!$A:$T,B$1,0)</f>
        <v>13328</v>
      </c>
      <c r="C67" s="58" t="str">
        <f>VLOOKUP($A67,'Выгр Кат'!$A:$T,C$1,0)</f>
        <v>Жгут проводов передней правой двери для Лада Калина</v>
      </c>
      <c r="D67" s="57" t="str">
        <f>VLOOKUP($A67,'Выгр Кат'!$A:$T,D$1,0)</f>
        <v>Y</v>
      </c>
      <c r="E67" s="57" t="str">
        <f>VLOOKUP($A67,'Выгр Кат'!$A:$T,E$1,0)</f>
        <v>1</v>
      </c>
      <c r="F67" s="57">
        <f>VLOOKUP($A67,'Выгр Кат'!$A:$T,F$1,0)</f>
        <v>0</v>
      </c>
      <c r="G67" s="57" t="str">
        <f>VLOOKUP($A67,'Выгр Кат'!$A:$T,G$1,0)</f>
        <v>111863724550</v>
      </c>
      <c r="H67" s="57" t="str">
        <f>VLOOKUP($A67,'Выгр Кат'!$A:$T,H$1,0)</f>
        <v>11186-3724550</v>
      </c>
      <c r="I67" s="39" t="s">
        <v>722</v>
      </c>
      <c r="J67" s="1" t="s">
        <v>526</v>
      </c>
      <c r="K67" s="47">
        <f>VLOOKUP(I67,Прайс!A:E,5,0)</f>
        <v>2000</v>
      </c>
      <c r="L67" s="7">
        <f>VLOOKUP(K67,Наценка!$A$1:$B$8,2,1)</f>
        <v>1.4</v>
      </c>
      <c r="M67" s="44">
        <f t="shared" ref="M67:M130" si="22">K67*L67</f>
        <v>2800</v>
      </c>
      <c r="N67" s="62">
        <f t="shared" ref="N67:N128" si="23">IF(M67&lt;=1000,(ROUNDUP(M67,-1)-1),(ROUNDUP(M67,-2)-10))</f>
        <v>2790</v>
      </c>
      <c r="O67" s="60">
        <f>VLOOKUP($A67,'Выгр Кат'!$A:$P,O$1,0)</f>
        <v>2000</v>
      </c>
      <c r="P67" s="60">
        <f>VLOOKUP($A67,'Выгр Кат'!$A:$P,P$1,0)</f>
        <v>2490</v>
      </c>
      <c r="Q67" s="73">
        <f t="shared" ref="Q67:Q128" si="24">O67-K67</f>
        <v>0</v>
      </c>
      <c r="R67" s="73">
        <f t="shared" ref="R67:R128" si="25">P67-N67</f>
        <v>-300</v>
      </c>
      <c r="S67" s="97">
        <f t="shared" si="4"/>
        <v>2790</v>
      </c>
      <c r="T67" s="98">
        <f t="shared" si="5"/>
        <v>0.39500000000000002</v>
      </c>
      <c r="U67" s="98" t="str">
        <f t="shared" si="6"/>
        <v/>
      </c>
      <c r="V67" s="98" t="str">
        <f t="shared" si="7"/>
        <v/>
      </c>
      <c r="W67" s="103"/>
      <c r="X67" s="102">
        <f>IFERROR(ROUND((VLOOKUP($A67,'Из ГУГЛа'!$B:$Z,X$1,0)+Z67)*Y67,),VLOOKUP($A67,'Из ГУГЛа'!$B:$Z,X$1,0))</f>
        <v>2190</v>
      </c>
      <c r="Y67" s="75">
        <v>1</v>
      </c>
      <c r="Z67" s="75">
        <v>0</v>
      </c>
      <c r="AA67" s="85">
        <v>2190</v>
      </c>
      <c r="AB67" s="63" t="s">
        <v>1215</v>
      </c>
      <c r="AC67" s="48" t="s">
        <v>782</v>
      </c>
      <c r="AD67" s="102">
        <f>IFERROR(ROUND((VLOOKUP($A67,'Из ГУГЛа'!$B:$Z,AD$1,0)+AF67)*AE67,),VLOOKUP($A67,'Из ГУГЛа'!$B:$Z,AD$1,0))</f>
        <v>0</v>
      </c>
      <c r="AE67" s="100">
        <v>1</v>
      </c>
      <c r="AF67" s="100"/>
      <c r="AG67" s="103" t="s">
        <v>1017</v>
      </c>
      <c r="AH67" s="103"/>
      <c r="AI67" s="102">
        <f>IFERROR(ROUND((VLOOKUP($A67,'Из ГУГЛа'!$B:$Z,AI$1,0)+AK67)*AJ67,),VLOOKUP($A67,'Из ГУГЛа'!$B:$Z,AI$1,0))</f>
        <v>0</v>
      </c>
      <c r="AJ67" s="100">
        <v>1</v>
      </c>
      <c r="AK67" s="100"/>
      <c r="AL67" s="103"/>
      <c r="AM67" s="103"/>
      <c r="AN67" s="102">
        <f>IFERROR(ROUND((VLOOKUP($A67,'Из ГУГЛа'!$B:$Z,AN$1,0)+AP67)*AO67,),VLOOKUP($A67,'Из ГУГЛа'!$B:$Z,AN$1,0))</f>
        <v>0</v>
      </c>
      <c r="AO67" s="100">
        <v>1</v>
      </c>
      <c r="AP67" s="100"/>
      <c r="AQ67" s="103"/>
      <c r="AR67" s="103"/>
    </row>
    <row r="68" spans="1:44" ht="53.25" thickTop="1" thickBot="1" x14ac:dyDescent="0.3">
      <c r="A68" s="57">
        <v>144937</v>
      </c>
      <c r="B68" s="57">
        <f>VLOOKUP($A68,'Выгр Кат'!$A:$T,B$1,0)</f>
        <v>13369</v>
      </c>
      <c r="C68" s="58" t="str">
        <f>VLOOKUP($A68,'Выгр Кат'!$A:$T,C$1,0)</f>
        <v>Жгут проводов передней правой двери для Лада Гранта</v>
      </c>
      <c r="D68" s="57" t="str">
        <f>VLOOKUP($A68,'Выгр Кат'!$A:$T,D$1,0)</f>
        <v>Y</v>
      </c>
      <c r="E68" s="57" t="str">
        <f>VLOOKUP($A68,'Выгр Кат'!$A:$T,E$1,0)</f>
        <v>1</v>
      </c>
      <c r="F68" s="57">
        <f>VLOOKUP($A68,'Выгр Кат'!$A:$T,F$1,0)</f>
        <v>0</v>
      </c>
      <c r="G68" s="57" t="str">
        <f>VLOOKUP($A68,'Выгр Кат'!$A:$T,G$1,0)</f>
        <v>2190372454410</v>
      </c>
      <c r="H68" s="57" t="str">
        <f>VLOOKUP($A68,'Выгр Кат'!$A:$T,H$1,0)</f>
        <v>2190-3724544</v>
      </c>
      <c r="I68" s="39" t="s">
        <v>722</v>
      </c>
      <c r="J68" s="1" t="s">
        <v>526</v>
      </c>
      <c r="K68" s="47">
        <f>VLOOKUP(I68,Прайс!A:E,5,0)</f>
        <v>2000</v>
      </c>
      <c r="L68" s="7">
        <f>VLOOKUP(K68,Наценка!$A$1:$B$8,2,1)</f>
        <v>1.4</v>
      </c>
      <c r="M68" s="44">
        <f t="shared" si="22"/>
        <v>2800</v>
      </c>
      <c r="N68" s="62">
        <f t="shared" si="23"/>
        <v>2790</v>
      </c>
      <c r="O68" s="60">
        <f>VLOOKUP($A68,'Выгр Кат'!$A:$P,O$1,0)</f>
        <v>2000</v>
      </c>
      <c r="P68" s="60">
        <f>VLOOKUP($A68,'Выгр Кат'!$A:$P,P$1,0)</f>
        <v>2790</v>
      </c>
      <c r="Q68" s="73">
        <f t="shared" si="24"/>
        <v>0</v>
      </c>
      <c r="R68" s="73">
        <f t="shared" si="25"/>
        <v>0</v>
      </c>
      <c r="S68" s="97">
        <f t="shared" ref="S68:S131" si="26">IFERROR(ROUND(N68*(1-$S$2),),"")</f>
        <v>2790</v>
      </c>
      <c r="T68" s="98">
        <f t="shared" ref="T68:T131" si="27">IFERROR(S68/K68-1,"")</f>
        <v>0.39500000000000002</v>
      </c>
      <c r="U68" s="98">
        <f t="shared" ref="U68:U131" si="28">IFERROR((W68-S68)/W68,"")</f>
        <v>-0.26933575978161967</v>
      </c>
      <c r="V68" s="98">
        <f t="shared" ref="V68:V131" si="29">IFERROR(IF(W68="","",W68/K68-1),"")</f>
        <v>9.8999999999999977E-2</v>
      </c>
      <c r="W68" s="106">
        <f t="shared" ref="W68:W69" si="30">MIN(AA68,AG68,AL68,AQ68)</f>
        <v>2198</v>
      </c>
      <c r="X68" s="102">
        <f>IFERROR(ROUND((VLOOKUP($A68,'Из ГУГЛа'!$B:$Z,X$1,0)+Z68)*Y68,),VLOOKUP($A68,'Из ГУГЛа'!$B:$Z,X$1,0))</f>
        <v>2890</v>
      </c>
      <c r="Y68" s="75">
        <v>1</v>
      </c>
      <c r="Z68" s="75">
        <v>0</v>
      </c>
      <c r="AA68" s="63">
        <v>2890</v>
      </c>
      <c r="AB68" s="63" t="s">
        <v>1215</v>
      </c>
      <c r="AC68" s="48" t="s">
        <v>1113</v>
      </c>
      <c r="AD68" s="102">
        <f>IFERROR(ROUND((VLOOKUP($A68,'Из ГУГЛа'!$B:$Z,AD$1,0)+AF68)*AE68,),VLOOKUP($A68,'Из ГУГЛа'!$B:$Z,AD$1,0))</f>
        <v>0</v>
      </c>
      <c r="AE68" s="100">
        <v>1</v>
      </c>
      <c r="AF68" s="100"/>
      <c r="AG68" s="103">
        <v>2198</v>
      </c>
      <c r="AH68" s="103" t="s">
        <v>1908</v>
      </c>
      <c r="AI68" s="102">
        <f>IFERROR(ROUND((VLOOKUP($A68,'Из ГУГЛа'!$B:$Z,AI$1,0)+AK68)*AJ68,),VLOOKUP($A68,'Из ГУГЛа'!$B:$Z,AI$1,0))</f>
        <v>0</v>
      </c>
      <c r="AJ68" s="100">
        <v>1</v>
      </c>
      <c r="AK68" s="100"/>
      <c r="AL68" s="103"/>
      <c r="AM68" s="103"/>
      <c r="AN68" s="102">
        <f>IFERROR(ROUND((VLOOKUP($A68,'Из ГУГЛа'!$B:$Z,AN$1,0)+AP68)*AO68,),VLOOKUP($A68,'Из ГУГЛа'!$B:$Z,AN$1,0))</f>
        <v>0</v>
      </c>
      <c r="AO68" s="100">
        <v>1</v>
      </c>
      <c r="AP68" s="100"/>
      <c r="AQ68" s="103"/>
      <c r="AR68" s="103"/>
    </row>
    <row r="69" spans="1:44" ht="31.5" thickTop="1" thickBot="1" x14ac:dyDescent="0.3">
      <c r="A69" s="57">
        <v>144955</v>
      </c>
      <c r="B69" s="57">
        <f>VLOOKUP($A69,'Выгр Кат'!$A:$T,B$1,0)</f>
        <v>13282</v>
      </c>
      <c r="C69" s="58" t="str">
        <f>VLOOKUP($A69,'Выгр Кат'!$A:$T,C$1,0)</f>
        <v>Жгут проводов салона и задних фонарей для ВАЗ 2108, 2109</v>
      </c>
      <c r="D69" s="57" t="str">
        <f>VLOOKUP($A69,'Выгр Кат'!$A:$T,D$1,0)</f>
        <v>Y</v>
      </c>
      <c r="E69" s="57" t="str">
        <f>VLOOKUP($A69,'Выгр Кат'!$A:$T,E$1,0)</f>
        <v>1</v>
      </c>
      <c r="F69" s="57">
        <f>VLOOKUP($A69,'Выгр Кат'!$A:$T,F$1,0)</f>
        <v>0</v>
      </c>
      <c r="G69" s="57" t="str">
        <f>VLOOKUP($A69,'Выгр Кат'!$A:$T,G$1,0)</f>
        <v>2109372421001</v>
      </c>
      <c r="H69" s="57" t="str">
        <f>VLOOKUP($A69,'Выгр Кат'!$A:$T,H$1,0)</f>
        <v>2109-3724210</v>
      </c>
      <c r="I69" s="39" t="s">
        <v>600</v>
      </c>
      <c r="J69" s="1" t="s">
        <v>526</v>
      </c>
      <c r="K69" s="47">
        <f>VLOOKUP(I69,Прайс!A:E,5,0)</f>
        <v>2500</v>
      </c>
      <c r="L69" s="7">
        <f>VLOOKUP(K69,Наценка!$A$1:$B$8,2,1)</f>
        <v>1.4</v>
      </c>
      <c r="M69" s="44">
        <f t="shared" si="22"/>
        <v>3500</v>
      </c>
      <c r="N69" s="62">
        <f t="shared" si="23"/>
        <v>3490</v>
      </c>
      <c r="O69" s="60">
        <f>VLOOKUP($A69,'Выгр Кат'!$A:$P,O$1,0)</f>
        <v>2500</v>
      </c>
      <c r="P69" s="60">
        <f>VLOOKUP($A69,'Выгр Кат'!$A:$P,P$1,0)</f>
        <v>3490</v>
      </c>
      <c r="Q69" s="73">
        <f t="shared" si="24"/>
        <v>0</v>
      </c>
      <c r="R69" s="73">
        <f t="shared" si="25"/>
        <v>0</v>
      </c>
      <c r="S69" s="97">
        <f t="shared" si="26"/>
        <v>3490</v>
      </c>
      <c r="T69" s="98">
        <f t="shared" si="27"/>
        <v>0.39599999999999991</v>
      </c>
      <c r="U69" s="98">
        <f t="shared" si="28"/>
        <v>-3.5608308605341248E-2</v>
      </c>
      <c r="V69" s="98">
        <f t="shared" si="29"/>
        <v>0.34800000000000009</v>
      </c>
      <c r="W69" s="106">
        <f t="shared" si="30"/>
        <v>3370</v>
      </c>
      <c r="X69" s="102">
        <f>IFERROR(ROUND((VLOOKUP($A69,'Из ГУГЛа'!$B:$Z,X$1,0)+Z69)*Y69,),VLOOKUP($A69,'Из ГУГЛа'!$B:$Z,X$1,0))</f>
        <v>3590</v>
      </c>
      <c r="Y69" s="75">
        <v>1</v>
      </c>
      <c r="Z69" s="75">
        <v>0</v>
      </c>
      <c r="AA69" s="85">
        <v>3590</v>
      </c>
      <c r="AB69" s="63" t="s">
        <v>1215</v>
      </c>
      <c r="AC69" s="48" t="s">
        <v>914</v>
      </c>
      <c r="AD69" s="102">
        <f>IFERROR(ROUND((VLOOKUP($A69,'Из ГУГЛа'!$B:$Z,AD$1,0)+AF69)*AE69,),VLOOKUP($A69,'Из ГУГЛа'!$B:$Z,AD$1,0))</f>
        <v>0</v>
      </c>
      <c r="AE69" s="100">
        <v>1</v>
      </c>
      <c r="AF69" s="100"/>
      <c r="AG69" s="103">
        <v>3370</v>
      </c>
      <c r="AH69" s="103" t="s">
        <v>1909</v>
      </c>
      <c r="AI69" s="102">
        <f>IFERROR(ROUND((VLOOKUP($A69,'Из ГУГЛа'!$B:$Z,AI$1,0)+AK69)*AJ69,),VLOOKUP($A69,'Из ГУГЛа'!$B:$Z,AI$1,0))</f>
        <v>0</v>
      </c>
      <c r="AJ69" s="100">
        <v>1</v>
      </c>
      <c r="AK69" s="100"/>
      <c r="AL69" s="103"/>
      <c r="AM69" s="103"/>
      <c r="AN69" s="102">
        <f>IFERROR(ROUND((VLOOKUP($A69,'Из ГУГЛа'!$B:$Z,AN$1,0)+AP69)*AO69,),VLOOKUP($A69,'Из ГУГЛа'!$B:$Z,AN$1,0))</f>
        <v>0</v>
      </c>
      <c r="AO69" s="100">
        <v>1</v>
      </c>
      <c r="AP69" s="100"/>
      <c r="AQ69" s="103"/>
      <c r="AR69" s="103"/>
    </row>
    <row r="70" spans="1:44" ht="66" thickTop="1" thickBot="1" x14ac:dyDescent="0.3">
      <c r="A70" s="57">
        <v>144934</v>
      </c>
      <c r="B70" s="57">
        <f>VLOOKUP($A70,'Выгр Кат'!$A:$T,B$1,0)</f>
        <v>13354</v>
      </c>
      <c r="C70" s="58" t="str">
        <f>VLOOKUP($A70,'Выгр Кат'!$A:$T,C$1,0)</f>
        <v>Жгут проводов передней правой двери для Лада Приора, Приора 2 зеркало без повторителя</v>
      </c>
      <c r="D70" s="57" t="str">
        <f>VLOOKUP($A70,'Выгр Кат'!$A:$T,D$1,0)</f>
        <v>Y</v>
      </c>
      <c r="E70" s="57" t="str">
        <f>VLOOKUP($A70,'Выгр Кат'!$A:$T,E$1,0)</f>
        <v>1</v>
      </c>
      <c r="F70" s="57">
        <f>VLOOKUP($A70,'Выгр Кат'!$A:$T,F$1,0)</f>
        <v>0</v>
      </c>
      <c r="G70" s="57" t="str">
        <f>VLOOKUP($A70,'Выгр Кат'!$A:$T,G$1,0)</f>
        <v>21703372455090</v>
      </c>
      <c r="H70" s="57" t="str">
        <f>VLOOKUP($A70,'Выгр Кат'!$A:$T,H$1,0)</f>
        <v>21703-3724550</v>
      </c>
      <c r="I70" s="39" t="s">
        <v>707</v>
      </c>
      <c r="J70" s="1" t="s">
        <v>526</v>
      </c>
      <c r="K70" s="47">
        <f>VLOOKUP(I70,Прайс!A:E,5,0)</f>
        <v>2500</v>
      </c>
      <c r="L70" s="7">
        <f>VLOOKUP(K70,Наценка!$A$1:$B$8,2,1)</f>
        <v>1.4</v>
      </c>
      <c r="M70" s="44">
        <f t="shared" si="22"/>
        <v>3500</v>
      </c>
      <c r="N70" s="62">
        <f t="shared" si="23"/>
        <v>3490</v>
      </c>
      <c r="O70" s="60">
        <f>VLOOKUP($A70,'Выгр Кат'!$A:$P,O$1,0)</f>
        <v>2000</v>
      </c>
      <c r="P70" s="60">
        <f>VLOOKUP($A70,'Выгр Кат'!$A:$P,P$1,0)</f>
        <v>2790</v>
      </c>
      <c r="Q70" s="73">
        <f t="shared" si="24"/>
        <v>-500</v>
      </c>
      <c r="R70" s="73">
        <f t="shared" si="25"/>
        <v>-700</v>
      </c>
      <c r="S70" s="97">
        <f t="shared" si="26"/>
        <v>3490</v>
      </c>
      <c r="T70" s="98">
        <f t="shared" si="27"/>
        <v>0.39599999999999991</v>
      </c>
      <c r="U70" s="98" t="str">
        <f t="shared" si="28"/>
        <v/>
      </c>
      <c r="V70" s="98" t="str">
        <f t="shared" si="29"/>
        <v/>
      </c>
      <c r="W70" s="103"/>
      <c r="X70" s="102">
        <f>IFERROR(ROUND((VLOOKUP($A70,'Из ГУГЛа'!$B:$Z,X$1,0)+Z70)*Y70,),VLOOKUP($A70,'Из ГУГЛа'!$B:$Z,X$1,0))</f>
        <v>2890</v>
      </c>
      <c r="Y70" s="75">
        <v>1</v>
      </c>
      <c r="Z70" s="75">
        <v>0</v>
      </c>
      <c r="AA70" s="63">
        <v>2890</v>
      </c>
      <c r="AB70" s="63" t="s">
        <v>1215</v>
      </c>
      <c r="AC70" s="48" t="s">
        <v>1112</v>
      </c>
      <c r="AD70" s="102">
        <f>IFERROR(ROUND((VLOOKUP($A70,'Из ГУГЛа'!$B:$Z,AD$1,0)+AF70)*AE70,),VLOOKUP($A70,'Из ГУГЛа'!$B:$Z,AD$1,0))</f>
        <v>0</v>
      </c>
      <c r="AE70" s="100">
        <v>1</v>
      </c>
      <c r="AF70" s="100"/>
      <c r="AG70" s="103" t="s">
        <v>1017</v>
      </c>
      <c r="AH70" s="103"/>
      <c r="AI70" s="102">
        <f>IFERROR(ROUND((VLOOKUP($A70,'Из ГУГЛа'!$B:$Z,AI$1,0)+AK70)*AJ70,),VLOOKUP($A70,'Из ГУГЛа'!$B:$Z,AI$1,0))</f>
        <v>0</v>
      </c>
      <c r="AJ70" s="100">
        <v>1</v>
      </c>
      <c r="AK70" s="100"/>
      <c r="AL70" s="103"/>
      <c r="AM70" s="103"/>
      <c r="AN70" s="102">
        <f>IFERROR(ROUND((VLOOKUP($A70,'Из ГУГЛа'!$B:$Z,AN$1,0)+AP70)*AO70,),VLOOKUP($A70,'Из ГУГЛа'!$B:$Z,AN$1,0))</f>
        <v>0</v>
      </c>
      <c r="AO70" s="100">
        <v>1</v>
      </c>
      <c r="AP70" s="100"/>
      <c r="AQ70" s="103"/>
      <c r="AR70" s="103"/>
    </row>
    <row r="71" spans="1:44" ht="31.5" thickTop="1" thickBot="1" x14ac:dyDescent="0.3">
      <c r="A71" s="57">
        <v>144950</v>
      </c>
      <c r="B71" s="57">
        <f>VLOOKUP($A71,'Выгр Кат'!$A:$T,B$1,0)</f>
        <v>13334</v>
      </c>
      <c r="C71" s="58" t="str">
        <f>VLOOKUP($A71,'Выгр Кат'!$A:$T,C$1,0)</f>
        <v>Жгут проводов рампы 21129-3724036 на Лада Калина 2, Гранта, Приора, Vesta, XRAY</v>
      </c>
      <c r="D71" s="57" t="str">
        <f>VLOOKUP($A71,'Выгр Кат'!$A:$T,D$1,0)</f>
        <v>Y</v>
      </c>
      <c r="E71" s="57" t="str">
        <f>VLOOKUP($A71,'Выгр Кат'!$A:$T,E$1,0)</f>
        <v>1</v>
      </c>
      <c r="F71" s="57">
        <f>VLOOKUP($A71,'Выгр Кат'!$A:$T,F$1,0)</f>
        <v>0</v>
      </c>
      <c r="G71" s="57" t="str">
        <f>VLOOKUP($A71,'Выгр Кат'!$A:$T,G$1,0)</f>
        <v>211293724036</v>
      </c>
      <c r="H71" s="57" t="str">
        <f>VLOOKUP($A71,'Выгр Кат'!$A:$T,H$1,0)</f>
        <v>21129-3724036</v>
      </c>
      <c r="I71" s="64"/>
      <c r="J71" s="1" t="s">
        <v>526</v>
      </c>
      <c r="K71" s="46">
        <f>O71</f>
        <v>1800</v>
      </c>
      <c r="L71" s="7">
        <f>VLOOKUP(K71,Наценка!$A$1:$B$8,2,1)</f>
        <v>1.5</v>
      </c>
      <c r="M71" s="44">
        <f t="shared" si="22"/>
        <v>2700</v>
      </c>
      <c r="N71" s="62">
        <f t="shared" si="23"/>
        <v>2690</v>
      </c>
      <c r="O71" s="60">
        <f>VLOOKUP($A71,'Выгр Кат'!$A:$P,O$1,0)</f>
        <v>1800</v>
      </c>
      <c r="P71" s="60">
        <f>VLOOKUP($A71,'Выгр Кат'!$A:$P,P$1,0)</f>
        <v>2690</v>
      </c>
      <c r="Q71" s="73">
        <f t="shared" si="24"/>
        <v>0</v>
      </c>
      <c r="R71" s="73">
        <f t="shared" si="25"/>
        <v>0</v>
      </c>
      <c r="S71" s="97">
        <f t="shared" si="26"/>
        <v>2690</v>
      </c>
      <c r="T71" s="98">
        <f t="shared" si="27"/>
        <v>0.49444444444444446</v>
      </c>
      <c r="U71" s="98">
        <f t="shared" si="28"/>
        <v>-0.42328042328042326</v>
      </c>
      <c r="V71" s="98">
        <f t="shared" si="29"/>
        <v>5.0000000000000044E-2</v>
      </c>
      <c r="W71" s="106">
        <f t="shared" ref="W71:W73" si="31">MIN(AA71,AG71,AL71,AQ71)</f>
        <v>1890</v>
      </c>
      <c r="X71" s="102">
        <f>IFERROR(ROUND((VLOOKUP($A71,'Из ГУГЛа'!$B:$Z,X$1,0)+Z71)*Y71,),VLOOKUP($A71,'Из ГУГЛа'!$B:$Z,X$1,0))</f>
        <v>1890</v>
      </c>
      <c r="Y71" s="75">
        <v>1</v>
      </c>
      <c r="Z71" s="75">
        <v>0</v>
      </c>
      <c r="AA71" s="63">
        <v>1890</v>
      </c>
      <c r="AB71" s="63" t="s">
        <v>1215</v>
      </c>
      <c r="AC71" s="48" t="s">
        <v>1110</v>
      </c>
      <c r="AD71" s="102">
        <f>IFERROR(ROUND((VLOOKUP($A71,'Из ГУГЛа'!$B:$Z,AD$1,0)+AF71)*AE71,),VLOOKUP($A71,'Из ГУГЛа'!$B:$Z,AD$1,0))</f>
        <v>0</v>
      </c>
      <c r="AE71" s="100">
        <v>1</v>
      </c>
      <c r="AF71" s="100"/>
      <c r="AG71" s="103">
        <v>1981</v>
      </c>
      <c r="AH71" s="103" t="s">
        <v>1910</v>
      </c>
      <c r="AI71" s="102">
        <f>IFERROR(ROUND((VLOOKUP($A71,'Из ГУГЛа'!$B:$Z,AI$1,0)+AK71)*AJ71,),VLOOKUP($A71,'Из ГУГЛа'!$B:$Z,AI$1,0))</f>
        <v>0</v>
      </c>
      <c r="AJ71" s="100">
        <v>1</v>
      </c>
      <c r="AK71" s="100"/>
      <c r="AL71" s="103"/>
      <c r="AM71" s="103"/>
      <c r="AN71" s="102">
        <f>IFERROR(ROUND((VLOOKUP($A71,'Из ГУГЛа'!$B:$Z,AN$1,0)+AP71)*AO71,),VLOOKUP($A71,'Из ГУГЛа'!$B:$Z,AN$1,0))</f>
        <v>0</v>
      </c>
      <c r="AO71" s="100">
        <v>1</v>
      </c>
      <c r="AP71" s="100"/>
      <c r="AQ71" s="103"/>
      <c r="AR71" s="103"/>
    </row>
    <row r="72" spans="1:44" ht="27.75" thickTop="1" thickBot="1" x14ac:dyDescent="0.3">
      <c r="A72" s="57">
        <v>144842</v>
      </c>
      <c r="B72" s="57">
        <f>VLOOKUP($A72,'Выгр Кат'!$A:$T,B$1,0)</f>
        <v>13264</v>
      </c>
      <c r="C72" s="58" t="str">
        <f>VLOOKUP($A72,'Выгр Кат'!$A:$T,C$1,0)</f>
        <v>Жгут проводов задний для ВАЗ 2106</v>
      </c>
      <c r="D72" s="57" t="str">
        <f>VLOOKUP($A72,'Выгр Кат'!$A:$T,D$1,0)</f>
        <v>Y</v>
      </c>
      <c r="E72" s="57" t="str">
        <f>VLOOKUP($A72,'Выгр Кат'!$A:$T,E$1,0)</f>
        <v>1</v>
      </c>
      <c r="F72" s="57">
        <f>VLOOKUP($A72,'Выгр Кат'!$A:$T,F$1,0)</f>
        <v>0</v>
      </c>
      <c r="G72" s="57" t="str">
        <f>VLOOKUP($A72,'Выгр Кат'!$A:$T,G$1,0)</f>
        <v>21063724210</v>
      </c>
      <c r="H72" s="57" t="str">
        <f>VLOOKUP($A72,'Выгр Кат'!$A:$T,H$1,0)</f>
        <v>2106-3724210</v>
      </c>
      <c r="I72" s="39" t="s">
        <v>588</v>
      </c>
      <c r="J72" s="1" t="s">
        <v>526</v>
      </c>
      <c r="K72" s="47">
        <f>VLOOKUP(I72,Прайс!A:E,5,0)</f>
        <v>2500</v>
      </c>
      <c r="L72" s="7">
        <f>VLOOKUP(K72,Наценка!$A$1:$B$8,2,1)</f>
        <v>1.4</v>
      </c>
      <c r="M72" s="44">
        <f t="shared" si="22"/>
        <v>3500</v>
      </c>
      <c r="N72" s="62">
        <f t="shared" si="23"/>
        <v>3490</v>
      </c>
      <c r="O72" s="60">
        <f>VLOOKUP($A72,'Выгр Кат'!$A:$P,O$1,0)</f>
        <v>2500</v>
      </c>
      <c r="P72" s="60">
        <f>VLOOKUP($A72,'Выгр Кат'!$A:$P,P$1,0)</f>
        <v>3490</v>
      </c>
      <c r="Q72" s="73">
        <f t="shared" si="24"/>
        <v>0</v>
      </c>
      <c r="R72" s="73">
        <f t="shared" si="25"/>
        <v>0</v>
      </c>
      <c r="S72" s="97">
        <f t="shared" si="26"/>
        <v>3490</v>
      </c>
      <c r="T72" s="98">
        <f t="shared" si="27"/>
        <v>0.39599999999999991</v>
      </c>
      <c r="U72" s="98">
        <f t="shared" si="28"/>
        <v>-8.2506203473945411E-2</v>
      </c>
      <c r="V72" s="98">
        <f t="shared" si="29"/>
        <v>0.28960000000000008</v>
      </c>
      <c r="W72" s="106">
        <f t="shared" si="31"/>
        <v>3224</v>
      </c>
      <c r="X72" s="102">
        <f>IFERROR(ROUND((VLOOKUP($A72,'Из ГУГЛа'!$B:$Z,X$1,0)+Z72)*Y72,),VLOOKUP($A72,'Из ГУГЛа'!$B:$Z,X$1,0))</f>
        <v>3690</v>
      </c>
      <c r="Y72" s="75">
        <v>1</v>
      </c>
      <c r="Z72" s="75">
        <v>0</v>
      </c>
      <c r="AA72" s="63">
        <v>3690</v>
      </c>
      <c r="AB72" s="63" t="s">
        <v>1215</v>
      </c>
      <c r="AC72" s="48" t="s">
        <v>1049</v>
      </c>
      <c r="AD72" s="102">
        <f>IFERROR(ROUND((VLOOKUP($A72,'Из ГУГЛа'!$B:$Z,AD$1,0)+AF72)*AE72,),VLOOKUP($A72,'Из ГУГЛа'!$B:$Z,AD$1,0))</f>
        <v>0</v>
      </c>
      <c r="AE72" s="100">
        <v>1</v>
      </c>
      <c r="AF72" s="100"/>
      <c r="AG72" s="103">
        <v>3224</v>
      </c>
      <c r="AH72" s="103" t="s">
        <v>1911</v>
      </c>
      <c r="AI72" s="102">
        <f>IFERROR(ROUND((VLOOKUP($A72,'Из ГУГЛа'!$B:$Z,AI$1,0)+AK72)*AJ72,),VLOOKUP($A72,'Из ГУГЛа'!$B:$Z,AI$1,0))</f>
        <v>0</v>
      </c>
      <c r="AJ72" s="100">
        <v>1</v>
      </c>
      <c r="AK72" s="100"/>
      <c r="AL72" s="103"/>
      <c r="AM72" s="103"/>
      <c r="AN72" s="102">
        <f>IFERROR(ROUND((VLOOKUP($A72,'Из ГУГЛа'!$B:$Z,AN$1,0)+AP72)*AO72,),VLOOKUP($A72,'Из ГУГЛа'!$B:$Z,AN$1,0))</f>
        <v>0</v>
      </c>
      <c r="AO72" s="100">
        <v>1</v>
      </c>
      <c r="AP72" s="100"/>
      <c r="AQ72" s="103"/>
      <c r="AR72" s="103"/>
    </row>
    <row r="73" spans="1:44" ht="40.5" thickTop="1" thickBot="1" x14ac:dyDescent="0.3">
      <c r="A73" s="57">
        <v>144817</v>
      </c>
      <c r="B73" s="57">
        <f>VLOOKUP($A73,'Выгр Кат'!$A:$T,B$1,0)</f>
        <v>46484</v>
      </c>
      <c r="C73" s="58" t="str">
        <f>VLOOKUP($A73,'Выгр Кат'!$A:$T,C$1,0)</f>
        <v>Жгут панели приборов для ВАЗ 2104 карбюраторный двигатель, с панелью 2105</v>
      </c>
      <c r="D73" s="57" t="str">
        <f>VLOOKUP($A73,'Выгр Кат'!$A:$T,D$1,0)</f>
        <v>Y</v>
      </c>
      <c r="E73" s="57" t="str">
        <f>VLOOKUP($A73,'Выгр Кат'!$A:$T,E$1,0)</f>
        <v>1</v>
      </c>
      <c r="F73" s="57">
        <f>VLOOKUP($A73,'Выгр Кат'!$A:$T,F$1,0)</f>
        <v>0</v>
      </c>
      <c r="G73" s="57" t="str">
        <f>VLOOKUP($A73,'Выгр Кат'!$A:$T,G$1,0)</f>
        <v>21043724030</v>
      </c>
      <c r="H73" s="57" t="str">
        <f>VLOOKUP($A73,'Выгр Кат'!$A:$T,H$1,0)</f>
        <v>2104-3724030</v>
      </c>
      <c r="I73" s="39" t="s">
        <v>577</v>
      </c>
      <c r="J73" s="1" t="s">
        <v>526</v>
      </c>
      <c r="K73" s="47">
        <f>VLOOKUP(I73,Прайс!A:E,5,0)</f>
        <v>4500</v>
      </c>
      <c r="L73" s="7">
        <f>VLOOKUP(K73,Наценка!$A$1:$B$8,2,1)</f>
        <v>1.4</v>
      </c>
      <c r="M73" s="44">
        <f t="shared" si="22"/>
        <v>6300</v>
      </c>
      <c r="N73" s="62">
        <f t="shared" si="23"/>
        <v>6290</v>
      </c>
      <c r="O73" s="60">
        <f>VLOOKUP($A73,'Выгр Кат'!$A:$P,O$1,0)</f>
        <v>4000</v>
      </c>
      <c r="P73" s="60">
        <f>VLOOKUP($A73,'Выгр Кат'!$A:$P,P$1,0)</f>
        <v>5590</v>
      </c>
      <c r="Q73" s="73">
        <f t="shared" si="24"/>
        <v>-500</v>
      </c>
      <c r="R73" s="73">
        <f t="shared" si="25"/>
        <v>-700</v>
      </c>
      <c r="S73" s="97">
        <f t="shared" si="26"/>
        <v>6290</v>
      </c>
      <c r="T73" s="98">
        <f t="shared" si="27"/>
        <v>0.39777777777777779</v>
      </c>
      <c r="U73" s="98">
        <f t="shared" si="28"/>
        <v>-0.32087358252834941</v>
      </c>
      <c r="V73" s="98">
        <f t="shared" si="29"/>
        <v>5.8222222222222175E-2</v>
      </c>
      <c r="W73" s="106">
        <f t="shared" si="31"/>
        <v>4762</v>
      </c>
      <c r="X73" s="102" t="str">
        <f>IFERROR(ROUND((VLOOKUP($A73,'Из ГУГЛа'!$B:$Z,X$1,0)+Z73)*Y73,),VLOOKUP($A73,'Из ГУГЛа'!$B:$Z,X$1,0))</f>
        <v/>
      </c>
      <c r="Y73" s="75">
        <v>1</v>
      </c>
      <c r="Z73" s="75">
        <v>0</v>
      </c>
      <c r="AA73" s="63" t="s">
        <v>1017</v>
      </c>
      <c r="AB73" s="80"/>
      <c r="AD73" s="102">
        <f>IFERROR(ROUND((VLOOKUP($A73,'Из ГУГЛа'!$B:$Z,AD$1,0)+AF73)*AE73,),VLOOKUP($A73,'Из ГУГЛа'!$B:$Z,AD$1,0))</f>
        <v>0</v>
      </c>
      <c r="AE73" s="100">
        <v>1</v>
      </c>
      <c r="AF73" s="100"/>
      <c r="AG73" s="103">
        <v>4762</v>
      </c>
      <c r="AH73" s="103" t="s">
        <v>1912</v>
      </c>
      <c r="AI73" s="102">
        <f>IFERROR(ROUND((VLOOKUP($A73,'Из ГУГЛа'!$B:$Z,AI$1,0)+AK73)*AJ73,),VLOOKUP($A73,'Из ГУГЛа'!$B:$Z,AI$1,0))</f>
        <v>0</v>
      </c>
      <c r="AJ73" s="100">
        <v>1</v>
      </c>
      <c r="AK73" s="100"/>
      <c r="AL73" s="103"/>
      <c r="AM73" s="103"/>
      <c r="AN73" s="102">
        <f>IFERROR(ROUND((VLOOKUP($A73,'Из ГУГЛа'!$B:$Z,AN$1,0)+AP73)*AO73,),VLOOKUP($A73,'Из ГУГЛа'!$B:$Z,AN$1,0))</f>
        <v>0</v>
      </c>
      <c r="AO73" s="100">
        <v>1</v>
      </c>
      <c r="AP73" s="100"/>
      <c r="AQ73" s="103"/>
      <c r="AR73" s="103"/>
    </row>
    <row r="74" spans="1:44" ht="40.5" thickTop="1" thickBot="1" x14ac:dyDescent="0.3">
      <c r="A74" s="57">
        <v>144897</v>
      </c>
      <c r="B74" s="57">
        <f>VLOOKUP($A74,'Выгр Кат'!$A:$T,B$1,0)</f>
        <v>13258</v>
      </c>
      <c r="C74" s="58" t="str">
        <f>VLOOKUP($A74,'Выгр Кат'!$A:$T,C$1,0)</f>
        <v>Жгут проводов моторного отсека для ВАЗ 2104, 2105, 2107 карбюраторный двигатель</v>
      </c>
      <c r="D74" s="57" t="str">
        <f>VLOOKUP($A74,'Выгр Кат'!$A:$T,D$1,0)</f>
        <v>Y</v>
      </c>
      <c r="E74" s="57" t="str">
        <f>VLOOKUP($A74,'Выгр Кат'!$A:$T,E$1,0)</f>
        <v>1</v>
      </c>
      <c r="F74" s="57">
        <f>VLOOKUP($A74,'Выгр Кат'!$A:$T,F$1,0)</f>
        <v>0</v>
      </c>
      <c r="G74" s="57" t="str">
        <f>VLOOKUP($A74,'Выгр Кат'!$A:$T,G$1,0)</f>
        <v>210503724010</v>
      </c>
      <c r="H74" s="57" t="str">
        <f>VLOOKUP($A74,'Выгр Кат'!$A:$T,H$1,0)</f>
        <v>2105-3724010</v>
      </c>
      <c r="I74" s="39" t="s">
        <v>581</v>
      </c>
      <c r="J74" s="1" t="s">
        <v>526</v>
      </c>
      <c r="K74" s="47">
        <f>VLOOKUP(I74,Прайс!A:E,5,0)</f>
        <v>2500</v>
      </c>
      <c r="L74" s="7">
        <f>VLOOKUP(K74,Наценка!$A$1:$B$8,2,1)</f>
        <v>1.4</v>
      </c>
      <c r="M74" s="44">
        <f t="shared" si="22"/>
        <v>3500</v>
      </c>
      <c r="N74" s="62">
        <f t="shared" si="23"/>
        <v>3490</v>
      </c>
      <c r="O74" s="60">
        <f>VLOOKUP($A74,'Выгр Кат'!$A:$P,O$1,0)</f>
        <v>2500</v>
      </c>
      <c r="P74" s="60">
        <f>VLOOKUP($A74,'Выгр Кат'!$A:$P,P$1,0)</f>
        <v>3190</v>
      </c>
      <c r="Q74" s="73">
        <f t="shared" si="24"/>
        <v>0</v>
      </c>
      <c r="R74" s="73">
        <f t="shared" si="25"/>
        <v>-300</v>
      </c>
      <c r="S74" s="97">
        <f t="shared" si="26"/>
        <v>3490</v>
      </c>
      <c r="T74" s="98">
        <f t="shared" si="27"/>
        <v>0.39599999999999991</v>
      </c>
      <c r="U74" s="98" t="str">
        <f t="shared" si="28"/>
        <v/>
      </c>
      <c r="V74" s="98" t="str">
        <f t="shared" si="29"/>
        <v/>
      </c>
      <c r="W74" s="103"/>
      <c r="X74" s="102">
        <f>IFERROR(ROUND((VLOOKUP($A74,'Из ГУГЛа'!$B:$Z,X$1,0)+Z74)*Y74,),VLOOKUP($A74,'Из ГУГЛа'!$B:$Z,X$1,0))</f>
        <v>2890</v>
      </c>
      <c r="Y74" s="75">
        <v>1</v>
      </c>
      <c r="Z74" s="75">
        <v>0</v>
      </c>
      <c r="AA74" s="63">
        <v>2890</v>
      </c>
      <c r="AB74" s="63" t="s">
        <v>1215</v>
      </c>
      <c r="AC74" s="48" t="s">
        <v>1050</v>
      </c>
      <c r="AD74" s="102">
        <f>IFERROR(ROUND((VLOOKUP($A74,'Из ГУГЛа'!$B:$Z,AD$1,0)+AF74)*AE74,),VLOOKUP($A74,'Из ГУГЛа'!$B:$Z,AD$1,0))</f>
        <v>0</v>
      </c>
      <c r="AE74" s="100">
        <v>1</v>
      </c>
      <c r="AF74" s="100"/>
      <c r="AG74" s="103" t="s">
        <v>1017</v>
      </c>
      <c r="AH74" s="103"/>
      <c r="AI74" s="102">
        <f>IFERROR(ROUND((VLOOKUP($A74,'Из ГУГЛа'!$B:$Z,AI$1,0)+AK74)*AJ74,),VLOOKUP($A74,'Из ГУГЛа'!$B:$Z,AI$1,0))</f>
        <v>0</v>
      </c>
      <c r="AJ74" s="100">
        <v>1</v>
      </c>
      <c r="AK74" s="100"/>
      <c r="AL74" s="103"/>
      <c r="AM74" s="103"/>
      <c r="AN74" s="102">
        <f>IFERROR(ROUND((VLOOKUP($A74,'Из ГУГЛа'!$B:$Z,AN$1,0)+AP74)*AO74,),VLOOKUP($A74,'Из ГУГЛа'!$B:$Z,AN$1,0))</f>
        <v>0</v>
      </c>
      <c r="AO74" s="100">
        <v>1</v>
      </c>
      <c r="AP74" s="100"/>
      <c r="AQ74" s="103"/>
      <c r="AR74" s="103"/>
    </row>
    <row r="75" spans="1:44" ht="40.5" thickTop="1" thickBot="1" x14ac:dyDescent="0.3">
      <c r="A75" s="57">
        <v>144804</v>
      </c>
      <c r="B75" s="57">
        <f>VLOOKUP($A75,'Выгр Кат'!$A:$T,B$1,0)</f>
        <v>13236</v>
      </c>
      <c r="C75" s="58" t="str">
        <f>VLOOKUP($A75,'Выгр Кат'!$A:$T,C$1,0)</f>
        <v>Жгут панели приборов для ВАЗ 2105 карбюраторный двигатель</v>
      </c>
      <c r="D75" s="57" t="str">
        <f>VLOOKUP($A75,'Выгр Кат'!$A:$T,D$1,0)</f>
        <v>Y</v>
      </c>
      <c r="E75" s="57" t="str">
        <f>VLOOKUP($A75,'Выгр Кат'!$A:$T,E$1,0)</f>
        <v>1</v>
      </c>
      <c r="F75" s="57">
        <f>VLOOKUP($A75,'Выгр Кат'!$A:$T,F$1,0)</f>
        <v>0</v>
      </c>
      <c r="G75" s="57" t="str">
        <f>VLOOKUP($A75,'Выгр Кат'!$A:$T,G$1,0)</f>
        <v>21053724030</v>
      </c>
      <c r="H75" s="57" t="str">
        <f>VLOOKUP($A75,'Выгр Кат'!$A:$T,H$1,0)</f>
        <v>2105-3724030</v>
      </c>
      <c r="I75" s="39" t="s">
        <v>580</v>
      </c>
      <c r="J75" s="1" t="s">
        <v>526</v>
      </c>
      <c r="K75" s="47">
        <f>VLOOKUP(I75,Прайс!A:E,5,0)</f>
        <v>4000</v>
      </c>
      <c r="L75" s="7">
        <f>VLOOKUP(K75,Наценка!$A$1:$B$8,2,1)</f>
        <v>1.4</v>
      </c>
      <c r="M75" s="44">
        <f t="shared" si="22"/>
        <v>5600</v>
      </c>
      <c r="N75" s="62">
        <f t="shared" si="23"/>
        <v>5590</v>
      </c>
      <c r="O75" s="60">
        <f>VLOOKUP($A75,'Выгр Кат'!$A:$P,O$1,0)</f>
        <v>4000</v>
      </c>
      <c r="P75" s="60">
        <f>VLOOKUP($A75,'Выгр Кат'!$A:$P,P$1,0)</f>
        <v>5590</v>
      </c>
      <c r="Q75" s="73">
        <f t="shared" si="24"/>
        <v>0</v>
      </c>
      <c r="R75" s="73">
        <f t="shared" si="25"/>
        <v>0</v>
      </c>
      <c r="S75" s="97">
        <f t="shared" si="26"/>
        <v>5590</v>
      </c>
      <c r="T75" s="98">
        <f t="shared" si="27"/>
        <v>0.39749999999999996</v>
      </c>
      <c r="U75" s="98">
        <f t="shared" si="28"/>
        <v>9.0409501861372105E-3</v>
      </c>
      <c r="V75" s="98">
        <f t="shared" si="29"/>
        <v>0.41025</v>
      </c>
      <c r="W75" s="106">
        <f t="shared" ref="W75:W85" si="32">MIN(AA75,AG75,AL75,AQ75)</f>
        <v>5641</v>
      </c>
      <c r="X75" s="102">
        <f>IFERROR(ROUND((VLOOKUP($A75,'Из ГУГЛа'!$B:$Z,X$1,0)+Z75)*Y75,),VLOOKUP($A75,'Из ГУГЛа'!$B:$Z,X$1,0))</f>
        <v>5690</v>
      </c>
      <c r="Y75" s="75">
        <v>1</v>
      </c>
      <c r="Z75" s="75">
        <v>0</v>
      </c>
      <c r="AA75" s="63">
        <v>5690</v>
      </c>
      <c r="AB75" s="63" t="s">
        <v>1215</v>
      </c>
      <c r="AC75" s="48" t="s">
        <v>902</v>
      </c>
      <c r="AD75" s="102">
        <f>IFERROR(ROUND((VLOOKUP($A75,'Из ГУГЛа'!$B:$Z,AD$1,0)+AF75)*AE75,),VLOOKUP($A75,'Из ГУГЛа'!$B:$Z,AD$1,0))</f>
        <v>0</v>
      </c>
      <c r="AE75" s="100">
        <v>1</v>
      </c>
      <c r="AF75" s="100"/>
      <c r="AG75" s="103">
        <v>5641</v>
      </c>
      <c r="AH75" s="103" t="s">
        <v>1913</v>
      </c>
      <c r="AI75" s="102">
        <f>IFERROR(ROUND((VLOOKUP($A75,'Из ГУГЛа'!$B:$Z,AI$1,0)+AK75)*AJ75,),VLOOKUP($A75,'Из ГУГЛа'!$B:$Z,AI$1,0))</f>
        <v>0</v>
      </c>
      <c r="AJ75" s="100">
        <v>1</v>
      </c>
      <c r="AK75" s="100"/>
      <c r="AL75" s="103"/>
      <c r="AM75" s="103"/>
      <c r="AN75" s="102">
        <f>IFERROR(ROUND((VLOOKUP($A75,'Из ГУГЛа'!$B:$Z,AN$1,0)+AP75)*AO75,),VLOOKUP($A75,'Из ГУГЛа'!$B:$Z,AN$1,0))</f>
        <v>0</v>
      </c>
      <c r="AO75" s="100">
        <v>1</v>
      </c>
      <c r="AP75" s="100"/>
      <c r="AQ75" s="103"/>
      <c r="AR75" s="103"/>
    </row>
    <row r="76" spans="1:44" ht="27.75" thickTop="1" thickBot="1" x14ac:dyDescent="0.3">
      <c r="A76" s="57">
        <v>144841</v>
      </c>
      <c r="B76" s="57">
        <f>VLOOKUP($A76,'Выгр Кат'!$A:$T,B$1,0)</f>
        <v>13252</v>
      </c>
      <c r="C76" s="58" t="str">
        <f>VLOOKUP($A76,'Выгр Кат'!$A:$T,C$1,0)</f>
        <v>Жгут проводов задний для ВАЗ 2105, 2107</v>
      </c>
      <c r="D76" s="57" t="str">
        <f>VLOOKUP($A76,'Выгр Кат'!$A:$T,D$1,0)</f>
        <v>Y</v>
      </c>
      <c r="E76" s="57" t="str">
        <f>VLOOKUP($A76,'Выгр Кат'!$A:$T,E$1,0)</f>
        <v>1</v>
      </c>
      <c r="F76" s="57">
        <f>VLOOKUP($A76,'Выгр Кат'!$A:$T,F$1,0)</f>
        <v>0</v>
      </c>
      <c r="G76" s="57" t="str">
        <f>VLOOKUP($A76,'Выгр Кат'!$A:$T,G$1,0)</f>
        <v>21053724210</v>
      </c>
      <c r="H76" s="57" t="str">
        <f>VLOOKUP($A76,'Выгр Кат'!$A:$T,H$1,0)</f>
        <v>2105-3724210</v>
      </c>
      <c r="I76" s="39" t="s">
        <v>766</v>
      </c>
      <c r="J76" s="1" t="s">
        <v>526</v>
      </c>
      <c r="K76" s="47">
        <f>VLOOKUP(I76,Прайс!A:E,5,0)</f>
        <v>2500</v>
      </c>
      <c r="L76" s="7">
        <f>VLOOKUP(K76,Наценка!$A$1:$B$8,2,1)</f>
        <v>1.4</v>
      </c>
      <c r="M76" s="44">
        <f t="shared" si="22"/>
        <v>3500</v>
      </c>
      <c r="N76" s="62">
        <f t="shared" si="23"/>
        <v>3490</v>
      </c>
      <c r="O76" s="60">
        <f>VLOOKUP($A76,'Выгр Кат'!$A:$P,O$1,0)</f>
        <v>2000</v>
      </c>
      <c r="P76" s="60">
        <f>VLOOKUP($A76,'Выгр Кат'!$A:$P,P$1,0)</f>
        <v>3490</v>
      </c>
      <c r="Q76" s="73">
        <f t="shared" si="24"/>
        <v>-500</v>
      </c>
      <c r="R76" s="73">
        <f t="shared" si="25"/>
        <v>0</v>
      </c>
      <c r="S76" s="97">
        <f t="shared" si="26"/>
        <v>3490</v>
      </c>
      <c r="T76" s="98">
        <f t="shared" si="27"/>
        <v>0.39599999999999991</v>
      </c>
      <c r="U76" s="98">
        <f t="shared" si="28"/>
        <v>-8.2506203473945411E-2</v>
      </c>
      <c r="V76" s="98">
        <f t="shared" si="29"/>
        <v>0.28960000000000008</v>
      </c>
      <c r="W76" s="106">
        <f t="shared" si="32"/>
        <v>3224</v>
      </c>
      <c r="X76" s="102">
        <f>IFERROR(ROUND((VLOOKUP($A76,'Из ГУГЛа'!$B:$Z,X$1,0)+Z76)*Y76,),VLOOKUP($A76,'Из ГУГЛа'!$B:$Z,X$1,0))</f>
        <v>3590</v>
      </c>
      <c r="Y76" s="75">
        <v>1</v>
      </c>
      <c r="Z76" s="75">
        <v>0</v>
      </c>
      <c r="AA76" s="63">
        <v>3590</v>
      </c>
      <c r="AB76" s="63" t="s">
        <v>1215</v>
      </c>
      <c r="AC76" s="48" t="s">
        <v>901</v>
      </c>
      <c r="AD76" s="102">
        <f>IFERROR(ROUND((VLOOKUP($A76,'Из ГУГЛа'!$B:$Z,AD$1,0)+AF76)*AE76,),VLOOKUP($A76,'Из ГУГЛа'!$B:$Z,AD$1,0))</f>
        <v>0</v>
      </c>
      <c r="AE76" s="100">
        <v>1</v>
      </c>
      <c r="AF76" s="100"/>
      <c r="AG76" s="103">
        <v>3224</v>
      </c>
      <c r="AH76" s="103" t="s">
        <v>1914</v>
      </c>
      <c r="AI76" s="102">
        <f>IFERROR(ROUND((VLOOKUP($A76,'Из ГУГЛа'!$B:$Z,AI$1,0)+AK76)*AJ76,),VLOOKUP($A76,'Из ГУГЛа'!$B:$Z,AI$1,0))</f>
        <v>0</v>
      </c>
      <c r="AJ76" s="100">
        <v>1</v>
      </c>
      <c r="AK76" s="100"/>
      <c r="AL76" s="103"/>
      <c r="AM76" s="103"/>
      <c r="AN76" s="102">
        <f>IFERROR(ROUND((VLOOKUP($A76,'Из ГУГЛа'!$B:$Z,AN$1,0)+AP76)*AO76,),VLOOKUP($A76,'Из ГУГЛа'!$B:$Z,AN$1,0))</f>
        <v>0</v>
      </c>
      <c r="AO76" s="100">
        <v>1</v>
      </c>
      <c r="AP76" s="100"/>
      <c r="AQ76" s="103"/>
      <c r="AR76" s="103"/>
    </row>
    <row r="77" spans="1:44" ht="40.5" thickTop="1" thickBot="1" x14ac:dyDescent="0.3">
      <c r="A77" s="57">
        <v>144944</v>
      </c>
      <c r="B77" s="57">
        <f>VLOOKUP($A77,'Выгр Кат'!$A:$T,B$1,0)</f>
        <v>13237</v>
      </c>
      <c r="C77" s="58" t="str">
        <f>VLOOKUP($A77,'Выгр Кат'!$A:$T,C$1,0)</f>
        <v>Жгут проводов под капот 2104 в сборе для ВАЗ 2104, 2105, 2107 карбюраторный двигатель</v>
      </c>
      <c r="D77" s="57" t="str">
        <f>VLOOKUP($A77,'Выгр Кат'!$A:$T,D$1,0)</f>
        <v>Y</v>
      </c>
      <c r="E77" s="57" t="str">
        <f>VLOOKUP($A77,'Выгр Кат'!$A:$T,E$1,0)</f>
        <v>1</v>
      </c>
      <c r="F77" s="57">
        <f>VLOOKUP($A77,'Выгр Кат'!$A:$T,F$1,0)</f>
        <v>0</v>
      </c>
      <c r="G77" s="57" t="str">
        <f>VLOOKUP($A77,'Выгр Кат'!$A:$T,G$1,0)</f>
        <v>21073724016</v>
      </c>
      <c r="H77" s="57" t="str">
        <f>VLOOKUP($A77,'Выгр Кат'!$A:$T,H$1,0)</f>
        <v>2107-3724016</v>
      </c>
      <c r="I77" s="39" t="s">
        <v>581</v>
      </c>
      <c r="J77" s="1" t="s">
        <v>526</v>
      </c>
      <c r="K77" s="47">
        <f>VLOOKUP(I77,Прайс!A:E,5,0)</f>
        <v>2500</v>
      </c>
      <c r="L77" s="7">
        <f>VLOOKUP(K77,Наценка!$A$1:$B$8,2,1)</f>
        <v>1.4</v>
      </c>
      <c r="M77" s="44">
        <f t="shared" si="22"/>
        <v>3500</v>
      </c>
      <c r="N77" s="62">
        <f t="shared" si="23"/>
        <v>3490</v>
      </c>
      <c r="O77" s="60">
        <f>VLOOKUP($A77,'Выгр Кат'!$A:$P,O$1,0)</f>
        <v>2500</v>
      </c>
      <c r="P77" s="60">
        <f>VLOOKUP($A77,'Выгр Кат'!$A:$P,P$1,0)</f>
        <v>3190</v>
      </c>
      <c r="Q77" s="73">
        <f t="shared" si="24"/>
        <v>0</v>
      </c>
      <c r="R77" s="73">
        <f t="shared" si="25"/>
        <v>-300</v>
      </c>
      <c r="S77" s="97">
        <f t="shared" si="26"/>
        <v>3490</v>
      </c>
      <c r="T77" s="98">
        <f t="shared" si="27"/>
        <v>0.39599999999999991</v>
      </c>
      <c r="U77" s="98">
        <f t="shared" si="28"/>
        <v>-0.20761245674740483</v>
      </c>
      <c r="V77" s="98">
        <f t="shared" si="29"/>
        <v>0.15599999999999992</v>
      </c>
      <c r="W77" s="106">
        <f t="shared" si="32"/>
        <v>2890</v>
      </c>
      <c r="X77" s="102">
        <f>IFERROR(ROUND((VLOOKUP($A77,'Из ГУГЛа'!$B:$Z,X$1,0)+Z77)*Y77,),VLOOKUP($A77,'Из ГУГЛа'!$B:$Z,X$1,0))</f>
        <v>2890</v>
      </c>
      <c r="Y77" s="75">
        <v>1</v>
      </c>
      <c r="Z77" s="75">
        <v>0</v>
      </c>
      <c r="AA77" s="85">
        <v>2890</v>
      </c>
      <c r="AB77" s="63" t="s">
        <v>1215</v>
      </c>
      <c r="AC77" s="48" t="s">
        <v>783</v>
      </c>
      <c r="AD77" s="102">
        <f>IFERROR(ROUND((VLOOKUP($A77,'Из ГУГЛа'!$B:$Z,AD$1,0)+AF77)*AE77,),VLOOKUP($A77,'Из ГУГЛа'!$B:$Z,AD$1,0))</f>
        <v>0</v>
      </c>
      <c r="AE77" s="100">
        <v>1</v>
      </c>
      <c r="AF77" s="100"/>
      <c r="AG77" s="103">
        <v>4579</v>
      </c>
      <c r="AH77" s="103" t="s">
        <v>1916</v>
      </c>
      <c r="AI77" s="102">
        <f>IFERROR(ROUND((VLOOKUP($A77,'Из ГУГЛа'!$B:$Z,AI$1,0)+AK77)*AJ77,),VLOOKUP($A77,'Из ГУГЛа'!$B:$Z,AI$1,0))</f>
        <v>0</v>
      </c>
      <c r="AJ77" s="100">
        <v>1</v>
      </c>
      <c r="AK77" s="100"/>
      <c r="AL77" s="103"/>
      <c r="AM77" s="103"/>
      <c r="AN77" s="102">
        <f>IFERROR(ROUND((VLOOKUP($A77,'Из ГУГЛа'!$B:$Z,AN$1,0)+AP77)*AO77,),VLOOKUP($A77,'Из ГУГЛа'!$B:$Z,AN$1,0))</f>
        <v>0</v>
      </c>
      <c r="AO77" s="100">
        <v>1</v>
      </c>
      <c r="AP77" s="100"/>
      <c r="AQ77" s="103"/>
      <c r="AR77" s="103"/>
    </row>
    <row r="78" spans="1:44" ht="40.5" thickTop="1" thickBot="1" x14ac:dyDescent="0.3">
      <c r="A78" s="57">
        <v>144945</v>
      </c>
      <c r="B78" s="57">
        <f>VLOOKUP($A78,'Выгр Кат'!$A:$T,B$1,0)</f>
        <v>13249</v>
      </c>
      <c r="C78" s="58" t="str">
        <f>VLOOKUP($A78,'Выгр Кат'!$A:$T,C$1,0)</f>
        <v>Жгут проводов под капот 2105 в сборе для ВАЗ 2104, 2105, 2107 карбюраторный двигатель</v>
      </c>
      <c r="D78" s="57" t="str">
        <f>VLOOKUP($A78,'Выгр Кат'!$A:$T,D$1,0)</f>
        <v>Y</v>
      </c>
      <c r="E78" s="57" t="str">
        <f>VLOOKUP($A78,'Выгр Кат'!$A:$T,E$1,0)</f>
        <v>1</v>
      </c>
      <c r="F78" s="57">
        <f>VLOOKUP($A78,'Выгр Кат'!$A:$T,F$1,0)</f>
        <v>0</v>
      </c>
      <c r="G78" s="57" t="str">
        <f>VLOOKUP($A78,'Выгр Кат'!$A:$T,G$1,0)</f>
        <v>21053724016</v>
      </c>
      <c r="H78" s="57" t="str">
        <f>VLOOKUP($A78,'Выгр Кат'!$A:$T,H$1,0)</f>
        <v>2105-3724016, 2107-3724017</v>
      </c>
      <c r="I78" s="39" t="s">
        <v>581</v>
      </c>
      <c r="J78" s="1" t="s">
        <v>526</v>
      </c>
      <c r="K78" s="47">
        <f>VLOOKUP(I78,Прайс!A:E,5,0)</f>
        <v>2500</v>
      </c>
      <c r="L78" s="7">
        <f>VLOOKUP(K78,Наценка!$A$1:$B$8,2,1)</f>
        <v>1.4</v>
      </c>
      <c r="M78" s="44">
        <f t="shared" si="22"/>
        <v>3500</v>
      </c>
      <c r="N78" s="62">
        <f t="shared" si="23"/>
        <v>3490</v>
      </c>
      <c r="O78" s="60">
        <f>VLOOKUP($A78,'Выгр Кат'!$A:$P,O$1,0)</f>
        <v>2500</v>
      </c>
      <c r="P78" s="60">
        <f>VLOOKUP($A78,'Выгр Кат'!$A:$P,P$1,0)</f>
        <v>3490</v>
      </c>
      <c r="Q78" s="73">
        <f t="shared" si="24"/>
        <v>0</v>
      </c>
      <c r="R78" s="73">
        <f t="shared" si="25"/>
        <v>0</v>
      </c>
      <c r="S78" s="97">
        <f t="shared" si="26"/>
        <v>3490</v>
      </c>
      <c r="T78" s="98">
        <f t="shared" si="27"/>
        <v>0.39599999999999991</v>
      </c>
      <c r="U78" s="98">
        <f t="shared" si="28"/>
        <v>-0.20803046036690898</v>
      </c>
      <c r="V78" s="98">
        <f t="shared" si="29"/>
        <v>0.15559999999999996</v>
      </c>
      <c r="W78" s="106">
        <f t="shared" si="32"/>
        <v>2889</v>
      </c>
      <c r="X78" s="102">
        <f>IFERROR(ROUND((VLOOKUP($A78,'Из ГУГЛа'!$B:$Z,X$1,0)+Z78)*Y78,),VLOOKUP($A78,'Из ГУГЛа'!$B:$Z,X$1,0))</f>
        <v>3590</v>
      </c>
      <c r="Y78" s="75">
        <v>1</v>
      </c>
      <c r="Z78" s="75">
        <v>0</v>
      </c>
      <c r="AA78" s="85">
        <v>3590</v>
      </c>
      <c r="AB78" s="63" t="s">
        <v>1215</v>
      </c>
      <c r="AC78" s="48" t="s">
        <v>1217</v>
      </c>
      <c r="AD78" s="102">
        <f>IFERROR(ROUND((VLOOKUP($A78,'Из ГУГЛа'!$B:$Z,AD$1,0)+AF78)*AE78,),VLOOKUP($A78,'Из ГУГЛа'!$B:$Z,AD$1,0))</f>
        <v>0</v>
      </c>
      <c r="AE78" s="100">
        <v>1</v>
      </c>
      <c r="AF78" s="100"/>
      <c r="AG78" s="103">
        <v>2889</v>
      </c>
      <c r="AH78" s="103" t="s">
        <v>1915</v>
      </c>
      <c r="AI78" s="102">
        <f>IFERROR(ROUND((VLOOKUP($A78,'Из ГУГЛа'!$B:$Z,AI$1,0)+AK78)*AJ78,),VLOOKUP($A78,'Из ГУГЛа'!$B:$Z,AI$1,0))</f>
        <v>0</v>
      </c>
      <c r="AJ78" s="100">
        <v>1</v>
      </c>
      <c r="AK78" s="100"/>
      <c r="AL78" s="103"/>
      <c r="AM78" s="103"/>
      <c r="AN78" s="102">
        <f>IFERROR(ROUND((VLOOKUP($A78,'Из ГУГЛа'!$B:$Z,AN$1,0)+AP78)*AO78,),VLOOKUP($A78,'Из ГУГЛа'!$B:$Z,AN$1,0))</f>
        <v>0</v>
      </c>
      <c r="AO78" s="100">
        <v>1</v>
      </c>
      <c r="AP78" s="100"/>
      <c r="AQ78" s="103"/>
      <c r="AR78" s="103"/>
    </row>
    <row r="79" spans="1:44" ht="40.5" thickTop="1" thickBot="1" x14ac:dyDescent="0.3">
      <c r="A79" s="57">
        <v>144946</v>
      </c>
      <c r="B79" s="57">
        <f>VLOOKUP($A79,'Выгр Кат'!$A:$T,B$1,0)</f>
        <v>13256</v>
      </c>
      <c r="C79" s="58" t="str">
        <f>VLOOKUP($A79,'Выгр Кат'!$A:$T,C$1,0)</f>
        <v>Жгут проводов под капот 2107 в сборе для ВАЗ 2104, 2105, 2107 карбюраторный двигатель</v>
      </c>
      <c r="D79" s="57" t="str">
        <f>VLOOKUP($A79,'Выгр Кат'!$A:$T,D$1,0)</f>
        <v>Y</v>
      </c>
      <c r="E79" s="57" t="str">
        <f>VLOOKUP($A79,'Выгр Кат'!$A:$T,E$1,0)</f>
        <v>1</v>
      </c>
      <c r="F79" s="57">
        <f>VLOOKUP($A79,'Выгр Кат'!$A:$T,F$1,0)</f>
        <v>0</v>
      </c>
      <c r="G79" s="57" t="str">
        <f>VLOOKUP($A79,'Выгр Кат'!$A:$T,G$1,0)</f>
        <v>21073724016</v>
      </c>
      <c r="H79" s="57" t="str">
        <f>VLOOKUP($A79,'Выгр Кат'!$A:$T,H$1,0)</f>
        <v>2107-3724016</v>
      </c>
      <c r="I79" s="39" t="s">
        <v>1216</v>
      </c>
      <c r="J79" s="1" t="s">
        <v>526</v>
      </c>
      <c r="K79" s="47">
        <f>VLOOKUP(I79,Прайс!A:E,5,0)</f>
        <v>2500</v>
      </c>
      <c r="L79" s="7">
        <f>VLOOKUP(K79,Наценка!$A$1:$B$8,2,1)</f>
        <v>1.4</v>
      </c>
      <c r="M79" s="44">
        <f t="shared" si="22"/>
        <v>3500</v>
      </c>
      <c r="N79" s="62">
        <f t="shared" si="23"/>
        <v>3490</v>
      </c>
      <c r="O79" s="60">
        <f>VLOOKUP($A79,'Выгр Кат'!$A:$P,O$1,0)</f>
        <v>2500</v>
      </c>
      <c r="P79" s="60">
        <f>VLOOKUP($A79,'Выгр Кат'!$A:$P,P$1,0)</f>
        <v>3190</v>
      </c>
      <c r="Q79" s="73">
        <f t="shared" si="24"/>
        <v>0</v>
      </c>
      <c r="R79" s="73">
        <f t="shared" si="25"/>
        <v>-300</v>
      </c>
      <c r="S79" s="97">
        <f t="shared" si="26"/>
        <v>3490</v>
      </c>
      <c r="T79" s="98">
        <f t="shared" si="27"/>
        <v>0.39599999999999991</v>
      </c>
      <c r="U79" s="98">
        <f t="shared" si="28"/>
        <v>-0.20761245674740483</v>
      </c>
      <c r="V79" s="98">
        <f t="shared" si="29"/>
        <v>0.15599999999999992</v>
      </c>
      <c r="W79" s="106">
        <f t="shared" si="32"/>
        <v>2890</v>
      </c>
      <c r="X79" s="102">
        <f>IFERROR(ROUND((VLOOKUP($A79,'Из ГУГЛа'!$B:$Z,X$1,0)+Z79)*Y79,),VLOOKUP($A79,'Из ГУГЛа'!$B:$Z,X$1,0))</f>
        <v>2890</v>
      </c>
      <c r="Y79" s="75">
        <v>1</v>
      </c>
      <c r="Z79" s="75">
        <v>0</v>
      </c>
      <c r="AA79" s="85">
        <v>2890</v>
      </c>
      <c r="AB79" s="63" t="s">
        <v>1215</v>
      </c>
      <c r="AC79" s="48" t="s">
        <v>783</v>
      </c>
      <c r="AD79" s="102">
        <f>IFERROR(ROUND((VLOOKUP($A79,'Из ГУГЛа'!$B:$Z,AD$1,0)+AF79)*AE79,),VLOOKUP($A79,'Из ГУГЛа'!$B:$Z,AD$1,0))</f>
        <v>0</v>
      </c>
      <c r="AE79" s="100">
        <v>1</v>
      </c>
      <c r="AF79" s="100"/>
      <c r="AG79" s="103">
        <v>4911</v>
      </c>
      <c r="AH79" s="103" t="s">
        <v>1926</v>
      </c>
      <c r="AI79" s="102">
        <f>IFERROR(ROUND((VLOOKUP($A79,'Из ГУГЛа'!$B:$Z,AI$1,0)+AK79)*AJ79,),VLOOKUP($A79,'Из ГУГЛа'!$B:$Z,AI$1,0))</f>
        <v>0</v>
      </c>
      <c r="AJ79" s="100">
        <v>1</v>
      </c>
      <c r="AK79" s="100"/>
      <c r="AL79" s="103"/>
      <c r="AM79" s="103"/>
      <c r="AN79" s="102">
        <f>IFERROR(ROUND((VLOOKUP($A79,'Из ГУГЛа'!$B:$Z,AN$1,0)+AP79)*AO79,),VLOOKUP($A79,'Из ГУГЛа'!$B:$Z,AN$1,0))</f>
        <v>0</v>
      </c>
      <c r="AO79" s="100">
        <v>1</v>
      </c>
      <c r="AP79" s="100"/>
      <c r="AQ79" s="103"/>
      <c r="AR79" s="103"/>
    </row>
    <row r="80" spans="1:44" ht="40.5" thickTop="1" thickBot="1" x14ac:dyDescent="0.3">
      <c r="A80" s="57">
        <v>144843</v>
      </c>
      <c r="B80" s="57">
        <f>VLOOKUP($A80,'Выгр Кат'!$A:$T,B$1,0)</f>
        <v>13263</v>
      </c>
      <c r="C80" s="58" t="str">
        <f>VLOOKUP($A80,'Выгр Кат'!$A:$T,C$1,0)</f>
        <v>Жгут проводов задний для ВАЗ 2105, 2107 инжекторный двигатель</v>
      </c>
      <c r="D80" s="57" t="str">
        <f>VLOOKUP($A80,'Выгр Кат'!$A:$T,D$1,0)</f>
        <v>Y</v>
      </c>
      <c r="E80" s="57" t="str">
        <f>VLOOKUP($A80,'Выгр Кат'!$A:$T,E$1,0)</f>
        <v>1</v>
      </c>
      <c r="F80" s="57">
        <f>VLOOKUP($A80,'Выгр Кат'!$A:$T,F$1,0)</f>
        <v>0</v>
      </c>
      <c r="G80" s="57" t="str">
        <f>VLOOKUP($A80,'Выгр Кат'!$A:$T,G$1,0)</f>
        <v>2107372421020</v>
      </c>
      <c r="H80" s="57" t="str">
        <f>VLOOKUP($A80,'Выгр Кат'!$A:$T,H$1,0)</f>
        <v>2107-3724210</v>
      </c>
      <c r="I80" s="39" t="s">
        <v>585</v>
      </c>
      <c r="J80" s="1" t="s">
        <v>526</v>
      </c>
      <c r="K80" s="47">
        <f>VLOOKUP(I80,Прайс!A:E,5,0)</f>
        <v>2500</v>
      </c>
      <c r="L80" s="7">
        <f>VLOOKUP(K80,Наценка!$A$1:$B$8,2,1)</f>
        <v>1.4</v>
      </c>
      <c r="M80" s="44">
        <f t="shared" si="22"/>
        <v>3500</v>
      </c>
      <c r="N80" s="62">
        <f t="shared" si="23"/>
        <v>3490</v>
      </c>
      <c r="O80" s="60">
        <f>VLOOKUP($A80,'Выгр Кат'!$A:$P,O$1,0)</f>
        <v>2500</v>
      </c>
      <c r="P80" s="60">
        <f>VLOOKUP($A80,'Выгр Кат'!$A:$P,P$1,0)</f>
        <v>3490</v>
      </c>
      <c r="Q80" s="73">
        <f t="shared" si="24"/>
        <v>0</v>
      </c>
      <c r="R80" s="73">
        <f t="shared" si="25"/>
        <v>0</v>
      </c>
      <c r="S80" s="97">
        <f t="shared" si="26"/>
        <v>3490</v>
      </c>
      <c r="T80" s="98">
        <f t="shared" si="27"/>
        <v>0.39599999999999991</v>
      </c>
      <c r="U80" s="98">
        <f t="shared" si="28"/>
        <v>2.7855153203342618E-2</v>
      </c>
      <c r="V80" s="98">
        <f t="shared" si="29"/>
        <v>0.43599999999999994</v>
      </c>
      <c r="W80" s="106">
        <f t="shared" si="32"/>
        <v>3590</v>
      </c>
      <c r="X80" s="102">
        <f>IFERROR(ROUND((VLOOKUP($A80,'Из ГУГЛа'!$B:$Z,X$1,0)+Z80)*Y80,),VLOOKUP($A80,'Из ГУГЛа'!$B:$Z,X$1,0))</f>
        <v>3590</v>
      </c>
      <c r="Y80" s="75">
        <v>1</v>
      </c>
      <c r="Z80" s="75">
        <v>0</v>
      </c>
      <c r="AA80" s="63">
        <v>3590</v>
      </c>
      <c r="AB80" s="63" t="s">
        <v>1215</v>
      </c>
      <c r="AC80" s="48" t="s">
        <v>1051</v>
      </c>
      <c r="AD80" s="102">
        <f>IFERROR(ROUND((VLOOKUP($A80,'Из ГУГЛа'!$B:$Z,AD$1,0)+AF80)*AE80,),VLOOKUP($A80,'Из ГУГЛа'!$B:$Z,AD$1,0))</f>
        <v>0</v>
      </c>
      <c r="AE80" s="100">
        <v>1</v>
      </c>
      <c r="AF80" s="100"/>
      <c r="AG80" s="103">
        <v>3621</v>
      </c>
      <c r="AH80" s="103" t="s">
        <v>1927</v>
      </c>
      <c r="AI80" s="102">
        <f>IFERROR(ROUND((VLOOKUP($A80,'Из ГУГЛа'!$B:$Z,AI$1,0)+AK80)*AJ80,),VLOOKUP($A80,'Из ГУГЛа'!$B:$Z,AI$1,0))</f>
        <v>0</v>
      </c>
      <c r="AJ80" s="100">
        <v>1</v>
      </c>
      <c r="AK80" s="100"/>
      <c r="AL80" s="103"/>
      <c r="AM80" s="103"/>
      <c r="AN80" s="102">
        <f>IFERROR(ROUND((VLOOKUP($A80,'Из ГУГЛа'!$B:$Z,AN$1,0)+AP80)*AO80,),VLOOKUP($A80,'Из ГУГЛа'!$B:$Z,AN$1,0))</f>
        <v>0</v>
      </c>
      <c r="AO80" s="100">
        <v>1</v>
      </c>
      <c r="AP80" s="100"/>
      <c r="AQ80" s="103"/>
      <c r="AR80" s="103"/>
    </row>
    <row r="81" spans="1:44" ht="53.25" thickTop="1" thickBot="1" x14ac:dyDescent="0.3">
      <c r="A81" s="57">
        <v>144903</v>
      </c>
      <c r="B81" s="57">
        <f>VLOOKUP($A81,'Выгр Кат'!$A:$T,B$1,0)</f>
        <v>13278</v>
      </c>
      <c r="C81" s="58" t="str">
        <f>VLOOKUP($A81,'Выгр Кат'!$A:$T,C$1,0)</f>
        <v>Жгут проводов панели приборов для ВАЗ 2108-21099 с низкой панелью</v>
      </c>
      <c r="D81" s="57" t="str">
        <f>VLOOKUP($A81,'Выгр Кат'!$A:$T,D$1,0)</f>
        <v>Y</v>
      </c>
      <c r="E81" s="57" t="str">
        <f>VLOOKUP($A81,'Выгр Кат'!$A:$T,E$1,0)</f>
        <v>1</v>
      </c>
      <c r="F81" s="57">
        <f>VLOOKUP($A81,'Выгр Кат'!$A:$T,F$1,0)</f>
        <v>0</v>
      </c>
      <c r="G81" s="57" t="str">
        <f>VLOOKUP($A81,'Выгр Кат'!$A:$T,G$1,0)</f>
        <v>21080372403095</v>
      </c>
      <c r="H81" s="57" t="str">
        <f>VLOOKUP($A81,'Выгр Кат'!$A:$T,H$1,0)</f>
        <v>2108-3724030</v>
      </c>
      <c r="I81" s="39" t="s">
        <v>767</v>
      </c>
      <c r="J81" s="1" t="s">
        <v>526</v>
      </c>
      <c r="K81" s="47">
        <f>VLOOKUP(I81,Прайс!A:E,5,0)</f>
        <v>3500</v>
      </c>
      <c r="L81" s="7">
        <f>VLOOKUP(K81,Наценка!$A$1:$B$8,2,1)</f>
        <v>1.4</v>
      </c>
      <c r="M81" s="44">
        <f t="shared" si="22"/>
        <v>4900</v>
      </c>
      <c r="N81" s="62">
        <f t="shared" si="23"/>
        <v>4890</v>
      </c>
      <c r="O81" s="60">
        <f>VLOOKUP($A81,'Выгр Кат'!$A:$P,O$1,0)</f>
        <v>3500</v>
      </c>
      <c r="P81" s="60">
        <f>VLOOKUP($A81,'Выгр Кат'!$A:$P,P$1,0)</f>
        <v>4890</v>
      </c>
      <c r="Q81" s="73">
        <f t="shared" si="24"/>
        <v>0</v>
      </c>
      <c r="R81" s="73">
        <f t="shared" si="25"/>
        <v>0</v>
      </c>
      <c r="S81" s="97">
        <f t="shared" si="26"/>
        <v>4890</v>
      </c>
      <c r="T81" s="98">
        <f t="shared" si="27"/>
        <v>0.39714285714285724</v>
      </c>
      <c r="U81" s="98">
        <f t="shared" si="28"/>
        <v>2.004008016032064E-2</v>
      </c>
      <c r="V81" s="98">
        <f t="shared" si="29"/>
        <v>0.42571428571428571</v>
      </c>
      <c r="W81" s="106">
        <f t="shared" si="32"/>
        <v>4990</v>
      </c>
      <c r="X81" s="102">
        <f>IFERROR(ROUND((VLOOKUP($A81,'Из ГУГЛа'!$B:$Z,X$1,0)+Z81)*Y81,),VLOOKUP($A81,'Из ГУГЛа'!$B:$Z,X$1,0))</f>
        <v>4990</v>
      </c>
      <c r="Y81" s="75">
        <v>1</v>
      </c>
      <c r="Z81" s="75">
        <v>0</v>
      </c>
      <c r="AA81" s="63">
        <v>4990</v>
      </c>
      <c r="AB81" s="63" t="s">
        <v>1215</v>
      </c>
      <c r="AC81" s="48" t="s">
        <v>1055</v>
      </c>
      <c r="AD81" s="102">
        <f>IFERROR(ROUND((VLOOKUP($A81,'Из ГУГЛа'!$B:$Z,AD$1,0)+AF81)*AE81,),VLOOKUP($A81,'Из ГУГЛа'!$B:$Z,AD$1,0))</f>
        <v>0</v>
      </c>
      <c r="AE81" s="100">
        <v>1</v>
      </c>
      <c r="AF81" s="100"/>
      <c r="AG81" s="103">
        <v>5070</v>
      </c>
      <c r="AH81" s="103" t="s">
        <v>1928</v>
      </c>
      <c r="AI81" s="102">
        <f>IFERROR(ROUND((VLOOKUP($A81,'Из ГУГЛа'!$B:$Z,AI$1,0)+AK81)*AJ81,),VLOOKUP($A81,'Из ГУГЛа'!$B:$Z,AI$1,0))</f>
        <v>0</v>
      </c>
      <c r="AJ81" s="100">
        <v>1</v>
      </c>
      <c r="AK81" s="100"/>
      <c r="AL81" s="103"/>
      <c r="AM81" s="103"/>
      <c r="AN81" s="102">
        <f>IFERROR(ROUND((VLOOKUP($A81,'Из ГУГЛа'!$B:$Z,AN$1,0)+AP81)*AO81,),VLOOKUP($A81,'Из ГУГЛа'!$B:$Z,AN$1,0))</f>
        <v>0</v>
      </c>
      <c r="AO81" s="100">
        <v>1</v>
      </c>
      <c r="AP81" s="100"/>
      <c r="AQ81" s="103"/>
      <c r="AR81" s="103"/>
    </row>
    <row r="82" spans="1:44" ht="66" thickTop="1" thickBot="1" x14ac:dyDescent="0.3">
      <c r="A82" s="57">
        <v>144827</v>
      </c>
      <c r="B82" s="57">
        <f>VLOOKUP($A82,'Выгр Кат'!$A:$T,B$1,0)</f>
        <v>13285</v>
      </c>
      <c r="C82" s="58" t="str">
        <f>VLOOKUP($A82,'Выгр Кат'!$A:$T,C$1,0)</f>
        <v>Жгут проводов боковых дверей для ВАЗ 2114, 2115</v>
      </c>
      <c r="D82" s="57" t="str">
        <f>VLOOKUP($A82,'Выгр Кат'!$A:$T,D$1,0)</f>
        <v>Y</v>
      </c>
      <c r="E82" s="57" t="str">
        <f>VLOOKUP($A82,'Выгр Кат'!$A:$T,E$1,0)</f>
        <v>1</v>
      </c>
      <c r="F82" s="57">
        <f>VLOOKUP($A82,'Выгр Кат'!$A:$T,F$1,0)</f>
        <v>0</v>
      </c>
      <c r="G82" s="57" t="str">
        <f>VLOOKUP($A82,'Выгр Кат'!$A:$T,G$1,0)</f>
        <v>21153724226</v>
      </c>
      <c r="H82" s="57" t="str">
        <f>VLOOKUP($A82,'Выгр Кат'!$A:$T,H$1,0)</f>
        <v>2115-3724226</v>
      </c>
      <c r="I82" s="39" t="s">
        <v>867</v>
      </c>
      <c r="J82" s="1" t="s">
        <v>526</v>
      </c>
      <c r="K82" s="47">
        <f>VLOOKUP(I82,Прайс!A:E,5,0)</f>
        <v>2000</v>
      </c>
      <c r="L82" s="7">
        <f>VLOOKUP(K82,Наценка!$A$1:$B$8,2,1)</f>
        <v>1.4</v>
      </c>
      <c r="M82" s="44">
        <f t="shared" si="22"/>
        <v>2800</v>
      </c>
      <c r="N82" s="62">
        <f t="shared" si="23"/>
        <v>2790</v>
      </c>
      <c r="O82" s="60">
        <f>VLOOKUP($A82,'Выгр Кат'!$A:$P,O$1,0)</f>
        <v>2000</v>
      </c>
      <c r="P82" s="60">
        <f>VLOOKUP($A82,'Выгр Кат'!$A:$P,P$1,0)</f>
        <v>2790</v>
      </c>
      <c r="Q82" s="73">
        <f t="shared" si="24"/>
        <v>0</v>
      </c>
      <c r="R82" s="73">
        <f t="shared" si="25"/>
        <v>0</v>
      </c>
      <c r="S82" s="97">
        <f t="shared" si="26"/>
        <v>2790</v>
      </c>
      <c r="T82" s="98">
        <f t="shared" si="27"/>
        <v>0.39500000000000002</v>
      </c>
      <c r="U82" s="98">
        <f t="shared" si="28"/>
        <v>3.4602076124567477E-2</v>
      </c>
      <c r="V82" s="98">
        <f t="shared" si="29"/>
        <v>0.44500000000000006</v>
      </c>
      <c r="W82" s="106">
        <f t="shared" si="32"/>
        <v>2890</v>
      </c>
      <c r="X82" s="102">
        <f>IFERROR(ROUND((VLOOKUP($A82,'Из ГУГЛа'!$B:$Z,X$1,0)+Z82)*Y82,),VLOOKUP($A82,'Из ГУГЛа'!$B:$Z,X$1,0))</f>
        <v>2890</v>
      </c>
      <c r="Y82" s="75">
        <v>1</v>
      </c>
      <c r="Z82" s="75">
        <v>0</v>
      </c>
      <c r="AA82" s="63">
        <v>2890</v>
      </c>
      <c r="AB82" s="63" t="s">
        <v>1215</v>
      </c>
      <c r="AC82" s="48" t="s">
        <v>1053</v>
      </c>
      <c r="AD82" s="102">
        <f>IFERROR(ROUND((VLOOKUP($A82,'Из ГУГЛа'!$B:$Z,AD$1,0)+AF82)*AE82,),VLOOKUP($A82,'Из ГУГЛа'!$B:$Z,AD$1,0))</f>
        <v>0</v>
      </c>
      <c r="AE82" s="100">
        <v>1</v>
      </c>
      <c r="AF82" s="100"/>
      <c r="AG82" s="103">
        <v>3621</v>
      </c>
      <c r="AH82" s="103" t="s">
        <v>1929</v>
      </c>
      <c r="AI82" s="102">
        <f>IFERROR(ROUND((VLOOKUP($A82,'Из ГУГЛа'!$B:$Z,AI$1,0)+AK82)*AJ82,),VLOOKUP($A82,'Из ГУГЛа'!$B:$Z,AI$1,0))</f>
        <v>0</v>
      </c>
      <c r="AJ82" s="100">
        <v>1</v>
      </c>
      <c r="AK82" s="100"/>
      <c r="AL82" s="103"/>
      <c r="AM82" s="103"/>
      <c r="AN82" s="102">
        <f>IFERROR(ROUND((VLOOKUP($A82,'Из ГУГЛа'!$B:$Z,AN$1,0)+AP82)*AO82,),VLOOKUP($A82,'Из ГУГЛа'!$B:$Z,AN$1,0))</f>
        <v>0</v>
      </c>
      <c r="AO82" s="100">
        <v>1</v>
      </c>
      <c r="AP82" s="100"/>
      <c r="AQ82" s="103"/>
      <c r="AR82" s="103"/>
    </row>
    <row r="83" spans="1:44" ht="40.5" thickTop="1" thickBot="1" x14ac:dyDescent="0.3">
      <c r="A83" s="57">
        <v>144830</v>
      </c>
      <c r="B83" s="57">
        <f>VLOOKUP($A83,'Выгр Кат'!$A:$T,B$1,0)</f>
        <v>13416</v>
      </c>
      <c r="C83" s="58" t="str">
        <f>VLOOKUP($A83,'Выгр Кат'!$A:$T,C$1,0)</f>
        <v>Жгут проводов двери водителя для Шевроле Нива под зеркало с электрорегулировкой</v>
      </c>
      <c r="D83" s="57" t="str">
        <f>VLOOKUP($A83,'Выгр Кат'!$A:$T,D$1,0)</f>
        <v>Y</v>
      </c>
      <c r="E83" s="57" t="str">
        <f>VLOOKUP($A83,'Выгр Кат'!$A:$T,E$1,0)</f>
        <v>1</v>
      </c>
      <c r="F83" s="57">
        <f>VLOOKUP($A83,'Выгр Кат'!$A:$T,F$1,0)</f>
        <v>0</v>
      </c>
      <c r="G83" s="57" t="str">
        <f>VLOOKUP($A83,'Выгр Кат'!$A:$T,G$1,0)</f>
        <v>2123372455110</v>
      </c>
      <c r="H83" s="57" t="str">
        <f>VLOOKUP($A83,'Выгр Кат'!$A:$T,H$1,0)</f>
        <v>2123-3724551</v>
      </c>
      <c r="I83" s="64" t="s">
        <v>692</v>
      </c>
      <c r="J83" s="1" t="s">
        <v>526</v>
      </c>
      <c r="K83" s="47">
        <f>VLOOKUP(I83,Прайс!A:E,5,0)</f>
        <v>2500</v>
      </c>
      <c r="L83" s="7">
        <f>VLOOKUP(K83,Наценка!$A$1:$B$8,2,1)</f>
        <v>1.4</v>
      </c>
      <c r="M83" s="44">
        <f t="shared" si="22"/>
        <v>3500</v>
      </c>
      <c r="N83" s="62">
        <f t="shared" si="23"/>
        <v>3490</v>
      </c>
      <c r="O83" s="60">
        <f>VLOOKUP($A83,'Выгр Кат'!$A:$P,O$1,0)</f>
        <v>2500</v>
      </c>
      <c r="P83" s="60">
        <f>VLOOKUP($A83,'Выгр Кат'!$A:$P,P$1,0)</f>
        <v>3490</v>
      </c>
      <c r="Q83" s="73">
        <f t="shared" si="24"/>
        <v>0</v>
      </c>
      <c r="R83" s="73">
        <f t="shared" si="25"/>
        <v>0</v>
      </c>
      <c r="S83" s="97">
        <f t="shared" si="26"/>
        <v>3490</v>
      </c>
      <c r="T83" s="98">
        <f t="shared" si="27"/>
        <v>0.39599999999999991</v>
      </c>
      <c r="U83" s="98">
        <f t="shared" si="28"/>
        <v>-0.20427881297446515</v>
      </c>
      <c r="V83" s="98">
        <f t="shared" si="29"/>
        <v>0.15920000000000001</v>
      </c>
      <c r="W83" s="106">
        <f t="shared" si="32"/>
        <v>2898</v>
      </c>
      <c r="X83" s="102">
        <f>IFERROR(ROUND((VLOOKUP($A83,'Из ГУГЛа'!$B:$Z,X$1,0)+Z83)*Y83,),VLOOKUP($A83,'Из ГУГЛа'!$B:$Z,X$1,0))</f>
        <v>3590</v>
      </c>
      <c r="Y83" s="75">
        <v>1</v>
      </c>
      <c r="Z83" s="75">
        <v>0</v>
      </c>
      <c r="AA83" s="85">
        <v>3590</v>
      </c>
      <c r="AB83" s="63" t="s">
        <v>1215</v>
      </c>
      <c r="AC83" s="48" t="s">
        <v>784</v>
      </c>
      <c r="AD83" s="102">
        <f>IFERROR(ROUND((VLOOKUP($A83,'Из ГУГЛа'!$B:$Z,AD$1,0)+AF83)*AE83,),VLOOKUP($A83,'Из ГУГЛа'!$B:$Z,AD$1,0))</f>
        <v>0</v>
      </c>
      <c r="AE83" s="100">
        <v>1</v>
      </c>
      <c r="AF83" s="100"/>
      <c r="AG83" s="103">
        <v>2898</v>
      </c>
      <c r="AH83" s="103" t="s">
        <v>1930</v>
      </c>
      <c r="AI83" s="102">
        <f>IFERROR(ROUND((VLOOKUP($A83,'Из ГУГЛа'!$B:$Z,AI$1,0)+AK83)*AJ83,),VLOOKUP($A83,'Из ГУГЛа'!$B:$Z,AI$1,0))</f>
        <v>0</v>
      </c>
      <c r="AJ83" s="100">
        <v>1</v>
      </c>
      <c r="AK83" s="100"/>
      <c r="AL83" s="103"/>
      <c r="AM83" s="103"/>
      <c r="AN83" s="102">
        <f>IFERROR(ROUND((VLOOKUP($A83,'Из ГУГЛа'!$B:$Z,AN$1,0)+AP83)*AO83,),VLOOKUP($A83,'Из ГУГЛа'!$B:$Z,AN$1,0))</f>
        <v>0</v>
      </c>
      <c r="AO83" s="100">
        <v>1</v>
      </c>
      <c r="AP83" s="100"/>
      <c r="AQ83" s="103"/>
      <c r="AR83" s="103"/>
    </row>
    <row r="84" spans="1:44" ht="66" thickTop="1" thickBot="1" x14ac:dyDescent="0.3">
      <c r="A84" s="57">
        <v>144930</v>
      </c>
      <c r="B84" s="57">
        <f>VLOOKUP($A84,'Выгр Кат'!$A:$T,B$1,0)</f>
        <v>13352</v>
      </c>
      <c r="C84" s="58" t="str">
        <f>VLOOKUP($A84,'Выгр Кат'!$A:$T,C$1,0)</f>
        <v>Жгут проводов передней левой двери для Лада Приора, Приора 2 зеркало без повторителя</v>
      </c>
      <c r="D84" s="57" t="str">
        <f>VLOOKUP($A84,'Выгр Кат'!$A:$T,D$1,0)</f>
        <v>Y</v>
      </c>
      <c r="E84" s="57" t="str">
        <f>VLOOKUP($A84,'Выгр Кат'!$A:$T,E$1,0)</f>
        <v>1</v>
      </c>
      <c r="F84" s="57">
        <f>VLOOKUP($A84,'Выгр Кат'!$A:$T,F$1,0)</f>
        <v>0</v>
      </c>
      <c r="G84" s="57" t="str">
        <f>VLOOKUP($A84,'Выгр Кат'!$A:$T,G$1,0)</f>
        <v>21703372455190</v>
      </c>
      <c r="H84" s="57" t="str">
        <f>VLOOKUP($A84,'Выгр Кат'!$A:$T,H$1,0)</f>
        <v>21703-3724551</v>
      </c>
      <c r="I84" s="39" t="s">
        <v>705</v>
      </c>
      <c r="J84" s="1" t="s">
        <v>526</v>
      </c>
      <c r="K84" s="47">
        <f>VLOOKUP(I84,Прайс!A:E,5,0)</f>
        <v>2500</v>
      </c>
      <c r="L84" s="7">
        <f>VLOOKUP(K84,Наценка!$A$1:$B$8,2,1)</f>
        <v>1.4</v>
      </c>
      <c r="M84" s="44">
        <f t="shared" si="22"/>
        <v>3500</v>
      </c>
      <c r="N84" s="62">
        <f t="shared" si="23"/>
        <v>3490</v>
      </c>
      <c r="O84" s="60">
        <f>VLOOKUP($A84,'Выгр Кат'!$A:$P,O$1,0)</f>
        <v>2500</v>
      </c>
      <c r="P84" s="60">
        <f>VLOOKUP($A84,'Выгр Кат'!$A:$P,P$1,0)</f>
        <v>3490</v>
      </c>
      <c r="Q84" s="73">
        <f t="shared" si="24"/>
        <v>0</v>
      </c>
      <c r="R84" s="73">
        <f t="shared" si="25"/>
        <v>0</v>
      </c>
      <c r="S84" s="97">
        <f t="shared" si="26"/>
        <v>3490</v>
      </c>
      <c r="T84" s="98">
        <f t="shared" si="27"/>
        <v>0.39599999999999991</v>
      </c>
      <c r="U84" s="98">
        <f t="shared" si="28"/>
        <v>2.7855153203342618E-2</v>
      </c>
      <c r="V84" s="98">
        <f t="shared" si="29"/>
        <v>0.43599999999999994</v>
      </c>
      <c r="W84" s="106">
        <f t="shared" si="32"/>
        <v>3590</v>
      </c>
      <c r="X84" s="102">
        <f>IFERROR(ROUND((VLOOKUP($A84,'Из ГУГЛа'!$B:$Z,X$1,0)+Z84)*Y84,),VLOOKUP($A84,'Из ГУГЛа'!$B:$Z,X$1,0))</f>
        <v>3590</v>
      </c>
      <c r="Y84" s="75">
        <v>1</v>
      </c>
      <c r="Z84" s="75">
        <v>0</v>
      </c>
      <c r="AA84" s="85">
        <v>3590</v>
      </c>
      <c r="AB84" s="63" t="s">
        <v>1215</v>
      </c>
      <c r="AC84" s="48" t="s">
        <v>785</v>
      </c>
      <c r="AD84" s="102">
        <f>IFERROR(ROUND((VLOOKUP($A84,'Из ГУГЛа'!$B:$Z,AD$1,0)+AF84)*AE84,),VLOOKUP($A84,'Из ГУГЛа'!$B:$Z,AD$1,0))</f>
        <v>0</v>
      </c>
      <c r="AE84" s="100">
        <v>1</v>
      </c>
      <c r="AF84" s="100"/>
      <c r="AG84" s="103">
        <v>3621</v>
      </c>
      <c r="AH84" s="103" t="s">
        <v>1931</v>
      </c>
      <c r="AI84" s="102">
        <f>IFERROR(ROUND((VLOOKUP($A84,'Из ГУГЛа'!$B:$Z,AI$1,0)+AK84)*AJ84,),VLOOKUP($A84,'Из ГУГЛа'!$B:$Z,AI$1,0))</f>
        <v>0</v>
      </c>
      <c r="AJ84" s="100">
        <v>1</v>
      </c>
      <c r="AK84" s="100"/>
      <c r="AL84" s="103"/>
      <c r="AM84" s="103"/>
      <c r="AN84" s="102">
        <f>IFERROR(ROUND((VLOOKUP($A84,'Из ГУГЛа'!$B:$Z,AN$1,0)+AP84)*AO84,),VLOOKUP($A84,'Из ГУГЛа'!$B:$Z,AN$1,0))</f>
        <v>0</v>
      </c>
      <c r="AO84" s="100">
        <v>1</v>
      </c>
      <c r="AP84" s="100"/>
      <c r="AQ84" s="103"/>
      <c r="AR84" s="103"/>
    </row>
    <row r="85" spans="1:44" ht="40.5" thickTop="1" thickBot="1" x14ac:dyDescent="0.3">
      <c r="A85" s="57">
        <v>144942</v>
      </c>
      <c r="B85" s="57">
        <f>VLOOKUP($A85,'Выгр Кат'!$A:$T,B$1,0)</f>
        <v>13230</v>
      </c>
      <c r="C85" s="58" t="str">
        <f>VLOOKUP($A85,'Выгр Кат'!$A:$T,C$1,0)</f>
        <v>Жгут проводов под капот передняя часть для ВАЗ 2101</v>
      </c>
      <c r="D85" s="57" t="str">
        <f>VLOOKUP($A85,'Выгр Кат'!$A:$T,D$1,0)</f>
        <v>Y</v>
      </c>
      <c r="E85" s="57" t="str">
        <f>VLOOKUP($A85,'Выгр Кат'!$A:$T,E$1,0)</f>
        <v>1</v>
      </c>
      <c r="F85" s="57">
        <f>VLOOKUP($A85,'Выгр Кат'!$A:$T,F$1,0)</f>
        <v>0</v>
      </c>
      <c r="G85" s="57" t="str">
        <f>VLOOKUP($A85,'Выгр Кат'!$A:$T,G$1,0)</f>
        <v>210113724008</v>
      </c>
      <c r="H85" s="57" t="str">
        <f>VLOOKUP($A85,'Выгр Кат'!$A:$T,H$1,0)</f>
        <v>21011-3724008</v>
      </c>
      <c r="I85" s="39" t="s">
        <v>572</v>
      </c>
      <c r="J85" s="1" t="s">
        <v>526</v>
      </c>
      <c r="K85" s="47">
        <f>VLOOKUP(I85,Прайс!A:E,5,0)</f>
        <v>3000</v>
      </c>
      <c r="L85" s="7">
        <f>VLOOKUP(K85,Наценка!$A$1:$B$8,2,1)</f>
        <v>1.4</v>
      </c>
      <c r="M85" s="44">
        <f t="shared" si="22"/>
        <v>4200</v>
      </c>
      <c r="N85" s="62">
        <f t="shared" si="23"/>
        <v>4190</v>
      </c>
      <c r="O85" s="60">
        <f>VLOOKUP($A85,'Выгр Кат'!$A:$P,O$1,0)</f>
        <v>3000</v>
      </c>
      <c r="P85" s="60">
        <f>VLOOKUP($A85,'Выгр Кат'!$A:$P,P$1,0)</f>
        <v>4190</v>
      </c>
      <c r="Q85" s="73">
        <f t="shared" si="24"/>
        <v>0</v>
      </c>
      <c r="R85" s="73">
        <f t="shared" si="25"/>
        <v>0</v>
      </c>
      <c r="S85" s="97">
        <f t="shared" si="26"/>
        <v>4190</v>
      </c>
      <c r="T85" s="98">
        <f t="shared" si="27"/>
        <v>0.39666666666666672</v>
      </c>
      <c r="U85" s="98">
        <f t="shared" si="28"/>
        <v>1.9653720168460457E-2</v>
      </c>
      <c r="V85" s="98">
        <f t="shared" si="29"/>
        <v>0.42466666666666675</v>
      </c>
      <c r="W85" s="106">
        <f t="shared" si="32"/>
        <v>4274</v>
      </c>
      <c r="X85" s="102">
        <f>IFERROR(ROUND((VLOOKUP($A85,'Из ГУГЛа'!$B:$Z,X$1,0)+Z85)*Y85,),VLOOKUP($A85,'Из ГУГЛа'!$B:$Z,X$1,0))</f>
        <v>4290</v>
      </c>
      <c r="Y85" s="75">
        <v>1</v>
      </c>
      <c r="Z85" s="75">
        <v>0</v>
      </c>
      <c r="AA85" s="63">
        <v>4290</v>
      </c>
      <c r="AB85" s="63" t="s">
        <v>1215</v>
      </c>
      <c r="AC85" s="48" t="s">
        <v>1054</v>
      </c>
      <c r="AD85" s="102">
        <f>IFERROR(ROUND((VLOOKUP($A85,'Из ГУГЛа'!$B:$Z,AD$1,0)+AF85)*AE85,),VLOOKUP($A85,'Из ГУГЛа'!$B:$Z,AD$1,0))</f>
        <v>0</v>
      </c>
      <c r="AE85" s="100">
        <v>1</v>
      </c>
      <c r="AF85" s="100"/>
      <c r="AG85" s="103">
        <v>4274</v>
      </c>
      <c r="AH85" s="103" t="s">
        <v>1932</v>
      </c>
      <c r="AI85" s="102">
        <f>IFERROR(ROUND((VLOOKUP($A85,'Из ГУГЛа'!$B:$Z,AI$1,0)+AK85)*AJ85,),VLOOKUP($A85,'Из ГУГЛа'!$B:$Z,AI$1,0))</f>
        <v>0</v>
      </c>
      <c r="AJ85" s="100">
        <v>1</v>
      </c>
      <c r="AK85" s="100"/>
      <c r="AL85" s="103"/>
      <c r="AM85" s="103"/>
      <c r="AN85" s="102">
        <f>IFERROR(ROUND((VLOOKUP($A85,'Из ГУГЛа'!$B:$Z,AN$1,0)+AP85)*AO85,),VLOOKUP($A85,'Из ГУГЛа'!$B:$Z,AN$1,0))</f>
        <v>0</v>
      </c>
      <c r="AO85" s="100">
        <v>1</v>
      </c>
      <c r="AP85" s="100"/>
      <c r="AQ85" s="103"/>
      <c r="AR85" s="103"/>
    </row>
    <row r="86" spans="1:44" ht="53.25" thickTop="1" thickBot="1" x14ac:dyDescent="0.3">
      <c r="A86" s="57">
        <v>144806</v>
      </c>
      <c r="B86" s="57">
        <f>VLOOKUP($A86,'Выгр Кат'!$A:$T,B$1,0)</f>
        <v>13260</v>
      </c>
      <c r="C86" s="58" t="str">
        <f>VLOOKUP($A86,'Выгр Кат'!$A:$T,C$1,0)</f>
        <v>Жгут панели приборов для ВАЗ 2107 карбюраторный двигатель</v>
      </c>
      <c r="D86" s="57" t="str">
        <f>VLOOKUP($A86,'Выгр Кат'!$A:$T,D$1,0)</f>
        <v>Y</v>
      </c>
      <c r="E86" s="57" t="str">
        <f>VLOOKUP($A86,'Выгр Кат'!$A:$T,E$1,0)</f>
        <v>1</v>
      </c>
      <c r="F86" s="57">
        <f>VLOOKUP($A86,'Выгр Кат'!$A:$T,F$1,0)</f>
        <v>0</v>
      </c>
      <c r="G86" s="57" t="str">
        <f>VLOOKUP($A86,'Выгр Кат'!$A:$T,G$1,0)</f>
        <v>21073724030</v>
      </c>
      <c r="H86" s="57" t="str">
        <f>VLOOKUP($A86,'Выгр Кат'!$A:$T,H$1,0)</f>
        <v>2107-3724030</v>
      </c>
      <c r="I86" s="39" t="s">
        <v>592</v>
      </c>
      <c r="J86" s="1" t="s">
        <v>526</v>
      </c>
      <c r="K86" s="47">
        <f>VLOOKUP(I86,Прайс!A:E,5,0)</f>
        <v>4500</v>
      </c>
      <c r="L86" s="7">
        <f>VLOOKUP(K86,Наценка!$A$1:$B$8,2,1)</f>
        <v>1.4</v>
      </c>
      <c r="M86" s="44">
        <f t="shared" si="22"/>
        <v>6300</v>
      </c>
      <c r="N86" s="62">
        <f t="shared" si="23"/>
        <v>6290</v>
      </c>
      <c r="O86" s="60">
        <f>VLOOKUP($A86,'Выгр Кат'!$A:$P,O$1,0)</f>
        <v>4500</v>
      </c>
      <c r="P86" s="60">
        <f>VLOOKUP($A86,'Выгр Кат'!$A:$P,P$1,0)</f>
        <v>6290</v>
      </c>
      <c r="Q86" s="73">
        <f t="shared" si="24"/>
        <v>0</v>
      </c>
      <c r="R86" s="73">
        <f t="shared" si="25"/>
        <v>0</v>
      </c>
      <c r="S86" s="97">
        <f t="shared" si="26"/>
        <v>6290</v>
      </c>
      <c r="T86" s="98">
        <f t="shared" si="27"/>
        <v>0.39777777777777779</v>
      </c>
      <c r="U86" s="98" t="str">
        <f t="shared" si="28"/>
        <v/>
      </c>
      <c r="V86" s="98" t="str">
        <f t="shared" si="29"/>
        <v/>
      </c>
      <c r="W86" s="103"/>
      <c r="X86" s="102">
        <f>IFERROR(ROUND((VLOOKUP($A86,'Из ГУГЛа'!$B:$Z,X$1,0)+Z86)*Y86,),VLOOKUP($A86,'Из ГУГЛа'!$B:$Z,X$1,0))</f>
        <v>6390</v>
      </c>
      <c r="Y86" s="75">
        <v>1</v>
      </c>
      <c r="Z86" s="75">
        <v>0</v>
      </c>
      <c r="AA86" s="63">
        <v>6390</v>
      </c>
      <c r="AB86" s="63" t="s">
        <v>1215</v>
      </c>
      <c r="AC86" s="48" t="s">
        <v>900</v>
      </c>
      <c r="AD86" s="102">
        <f>IFERROR(ROUND((VLOOKUP($A86,'Из ГУГЛа'!$B:$Z,AD$1,0)+AF86)*AE86,),VLOOKUP($A86,'Из ГУГЛа'!$B:$Z,AD$1,0))</f>
        <v>0</v>
      </c>
      <c r="AE86" s="100">
        <v>1</v>
      </c>
      <c r="AF86" s="100"/>
      <c r="AG86" s="103" t="s">
        <v>1017</v>
      </c>
      <c r="AH86" s="103"/>
      <c r="AI86" s="102">
        <f>IFERROR(ROUND((VLOOKUP($A86,'Из ГУГЛа'!$B:$Z,AI$1,0)+AK86)*AJ86,),VLOOKUP($A86,'Из ГУГЛа'!$B:$Z,AI$1,0))</f>
        <v>0</v>
      </c>
      <c r="AJ86" s="100">
        <v>1</v>
      </c>
      <c r="AK86" s="100"/>
      <c r="AL86" s="103"/>
      <c r="AM86" s="103"/>
      <c r="AN86" s="102">
        <f>IFERROR(ROUND((VLOOKUP($A86,'Из ГУГЛа'!$B:$Z,AN$1,0)+AP86)*AO86,),VLOOKUP($A86,'Из ГУГЛа'!$B:$Z,AN$1,0))</f>
        <v>0</v>
      </c>
      <c r="AO86" s="100">
        <v>1</v>
      </c>
      <c r="AP86" s="100"/>
      <c r="AQ86" s="103"/>
      <c r="AR86" s="103"/>
    </row>
    <row r="87" spans="1:44" ht="53.25" thickTop="1" thickBot="1" x14ac:dyDescent="0.3">
      <c r="A87" s="57">
        <v>144905</v>
      </c>
      <c r="B87" s="57">
        <f>VLOOKUP($A87,'Выгр Кат'!$A:$T,B$1,0)</f>
        <v>13280</v>
      </c>
      <c r="C87" s="58" t="str">
        <f>VLOOKUP($A87,'Выгр Кат'!$A:$T,C$1,0)</f>
        <v>Жгут проводов панели приборов 21083 для ВАЗ 2108-21099 с высокой панелью</v>
      </c>
      <c r="D87" s="57" t="str">
        <f>VLOOKUP($A87,'Выгр Кат'!$A:$T,D$1,0)</f>
        <v>Y</v>
      </c>
      <c r="E87" s="57" t="str">
        <f>VLOOKUP($A87,'Выгр Кат'!$A:$T,E$1,0)</f>
        <v>1</v>
      </c>
      <c r="F87" s="57">
        <f>VLOOKUP($A87,'Выгр Кат'!$A:$T,F$1,0)</f>
        <v>0</v>
      </c>
      <c r="G87" s="57" t="str">
        <f>VLOOKUP($A87,'Выгр Кат'!$A:$T,G$1,0)</f>
        <v>21083372403011</v>
      </c>
      <c r="H87" s="57" t="str">
        <f>VLOOKUP($A87,'Выгр Кат'!$A:$T,H$1,0)</f>
        <v>21083-3724030</v>
      </c>
      <c r="I87" s="64" t="s">
        <v>596</v>
      </c>
      <c r="J87" s="1" t="s">
        <v>526</v>
      </c>
      <c r="K87" s="47">
        <f>VLOOKUP(I87,Прайс!A:E,5,0)</f>
        <v>4000</v>
      </c>
      <c r="L87" s="7">
        <f>VLOOKUP(K87,Наценка!$A$1:$B$8,2,1)</f>
        <v>1.4</v>
      </c>
      <c r="M87" s="44">
        <f t="shared" si="22"/>
        <v>5600</v>
      </c>
      <c r="N87" s="62">
        <f t="shared" si="23"/>
        <v>5590</v>
      </c>
      <c r="O87" s="60">
        <f>VLOOKUP($A87,'Выгр Кат'!$A:$P,O$1,0)</f>
        <v>4000</v>
      </c>
      <c r="P87" s="60">
        <f>VLOOKUP($A87,'Выгр Кат'!$A:$P,P$1,0)</f>
        <v>5590</v>
      </c>
      <c r="Q87" s="73">
        <f t="shared" si="24"/>
        <v>0</v>
      </c>
      <c r="R87" s="73">
        <f t="shared" si="25"/>
        <v>0</v>
      </c>
      <c r="S87" s="97">
        <f t="shared" si="26"/>
        <v>5590</v>
      </c>
      <c r="T87" s="98">
        <f t="shared" si="27"/>
        <v>0.39749999999999996</v>
      </c>
      <c r="U87" s="98">
        <f t="shared" si="28"/>
        <v>1.0619469026548672E-2</v>
      </c>
      <c r="V87" s="98">
        <f t="shared" si="29"/>
        <v>0.41250000000000009</v>
      </c>
      <c r="W87" s="106">
        <f t="shared" ref="W87:W90" si="33">MIN(AA87,AG87,AL87,AQ87)</f>
        <v>5650</v>
      </c>
      <c r="X87" s="102">
        <f>IFERROR(ROUND((VLOOKUP($A87,'Из ГУГЛа'!$B:$Z,X$1,0)+Z87)*Y87,),VLOOKUP($A87,'Из ГУГЛа'!$B:$Z,X$1,0))</f>
        <v>5690</v>
      </c>
      <c r="Y87" s="75">
        <v>1</v>
      </c>
      <c r="Z87" s="75">
        <v>0</v>
      </c>
      <c r="AA87" s="63">
        <v>5690</v>
      </c>
      <c r="AB87" s="63" t="s">
        <v>1215</v>
      </c>
      <c r="AC87" s="48" t="s">
        <v>1052</v>
      </c>
      <c r="AD87" s="102">
        <f>IFERROR(ROUND((VLOOKUP($A87,'Из ГУГЛа'!$B:$Z,AD$1,0)+AF87)*AE87,),VLOOKUP($A87,'Из ГУГЛа'!$B:$Z,AD$1,0))</f>
        <v>0</v>
      </c>
      <c r="AE87" s="100">
        <v>1</v>
      </c>
      <c r="AF87" s="100"/>
      <c r="AG87" s="103">
        <v>5650</v>
      </c>
      <c r="AH87" s="103" t="s">
        <v>1933</v>
      </c>
      <c r="AI87" s="102">
        <f>IFERROR(ROUND((VLOOKUP($A87,'Из ГУГЛа'!$B:$Z,AI$1,0)+AK87)*AJ87,),VLOOKUP($A87,'Из ГУГЛа'!$B:$Z,AI$1,0))</f>
        <v>0</v>
      </c>
      <c r="AJ87" s="100">
        <v>1</v>
      </c>
      <c r="AK87" s="100"/>
      <c r="AL87" s="103"/>
      <c r="AM87" s="103"/>
      <c r="AN87" s="102">
        <f>IFERROR(ROUND((VLOOKUP($A87,'Из ГУГЛа'!$B:$Z,AN$1,0)+AP87)*AO87,),VLOOKUP($A87,'Из ГУГЛа'!$B:$Z,AN$1,0))</f>
        <v>0</v>
      </c>
      <c r="AO87" s="100">
        <v>1</v>
      </c>
      <c r="AP87" s="100"/>
      <c r="AQ87" s="103"/>
      <c r="AR87" s="103"/>
    </row>
    <row r="88" spans="1:44" ht="31.5" thickTop="1" thickBot="1" x14ac:dyDescent="0.3">
      <c r="A88" s="57">
        <v>144956</v>
      </c>
      <c r="B88" s="57">
        <f>VLOOKUP($A88,'Выгр Кат'!$A:$T,B$1,0)</f>
        <v>13283</v>
      </c>
      <c r="C88" s="58" t="str">
        <f>VLOOKUP($A88,'Выгр Кат'!$A:$T,C$1,0)</f>
        <v>Жгут проводов салона и задних фонарей для ВАЗ 21099</v>
      </c>
      <c r="D88" s="57" t="str">
        <f>VLOOKUP($A88,'Выгр Кат'!$A:$T,D$1,0)</f>
        <v>Y</v>
      </c>
      <c r="E88" s="57" t="str">
        <f>VLOOKUP($A88,'Выгр Кат'!$A:$T,E$1,0)</f>
        <v>1</v>
      </c>
      <c r="F88" s="57">
        <f>VLOOKUP($A88,'Выгр Кат'!$A:$T,F$1,0)</f>
        <v>0</v>
      </c>
      <c r="G88" s="57" t="str">
        <f>VLOOKUP($A88,'Выгр Кат'!$A:$T,G$1,0)</f>
        <v>210993724210</v>
      </c>
      <c r="H88" s="57" t="str">
        <f>VLOOKUP($A88,'Выгр Кат'!$A:$T,H$1,0)</f>
        <v>21099-3724210</v>
      </c>
      <c r="I88" s="39" t="s">
        <v>601</v>
      </c>
      <c r="J88" s="1" t="s">
        <v>526</v>
      </c>
      <c r="K88" s="47">
        <f>VLOOKUP(I88,Прайс!A:E,5,0)</f>
        <v>3000</v>
      </c>
      <c r="L88" s="7">
        <f>VLOOKUP(K88,Наценка!$A$1:$B$8,2,1)</f>
        <v>1.4</v>
      </c>
      <c r="M88" s="44">
        <f t="shared" si="22"/>
        <v>4200</v>
      </c>
      <c r="N88" s="62">
        <f t="shared" si="23"/>
        <v>4190</v>
      </c>
      <c r="O88" s="60">
        <f>VLOOKUP($A88,'Выгр Кат'!$A:$P,O$1,0)</f>
        <v>3000</v>
      </c>
      <c r="P88" s="60">
        <f>VLOOKUP($A88,'Выгр Кат'!$A:$P,P$1,0)</f>
        <v>4190</v>
      </c>
      <c r="Q88" s="73">
        <f t="shared" si="24"/>
        <v>0</v>
      </c>
      <c r="R88" s="73">
        <f t="shared" si="25"/>
        <v>0</v>
      </c>
      <c r="S88" s="97">
        <f t="shared" si="26"/>
        <v>4190</v>
      </c>
      <c r="T88" s="98">
        <f t="shared" si="27"/>
        <v>0.39666666666666672</v>
      </c>
      <c r="U88" s="98">
        <f t="shared" si="28"/>
        <v>2.3310023310023312E-2</v>
      </c>
      <c r="V88" s="98">
        <f t="shared" si="29"/>
        <v>0.42999999999999994</v>
      </c>
      <c r="W88" s="106">
        <f t="shared" si="33"/>
        <v>4290</v>
      </c>
      <c r="X88" s="102">
        <f>IFERROR(ROUND((VLOOKUP($A88,'Из ГУГЛа'!$B:$Z,X$1,0)+Z88)*Y88,),VLOOKUP($A88,'Из ГУГЛа'!$B:$Z,X$1,0))</f>
        <v>4290</v>
      </c>
      <c r="Y88" s="75">
        <v>1</v>
      </c>
      <c r="Z88" s="75">
        <v>0</v>
      </c>
      <c r="AA88" s="63">
        <v>4290</v>
      </c>
      <c r="AB88" s="63" t="s">
        <v>1215</v>
      </c>
      <c r="AC88" s="48" t="s">
        <v>928</v>
      </c>
      <c r="AD88" s="102">
        <f>IFERROR(ROUND((VLOOKUP($A88,'Из ГУГЛа'!$B:$Z,AD$1,0)+AF88)*AE88,),VLOOKUP($A88,'Из ГУГЛа'!$B:$Z,AD$1,0))</f>
        <v>0</v>
      </c>
      <c r="AE88" s="100">
        <v>1</v>
      </c>
      <c r="AF88" s="100"/>
      <c r="AG88" s="103">
        <v>4346</v>
      </c>
      <c r="AH88" s="103" t="s">
        <v>1934</v>
      </c>
      <c r="AI88" s="102">
        <f>IFERROR(ROUND((VLOOKUP($A88,'Из ГУГЛа'!$B:$Z,AI$1,0)+AK88)*AJ88,),VLOOKUP($A88,'Из ГУГЛа'!$B:$Z,AI$1,0))</f>
        <v>0</v>
      </c>
      <c r="AJ88" s="100">
        <v>1</v>
      </c>
      <c r="AK88" s="100"/>
      <c r="AL88" s="103"/>
      <c r="AM88" s="103"/>
      <c r="AN88" s="102">
        <f>IFERROR(ROUND((VLOOKUP($A88,'Из ГУГЛа'!$B:$Z,AN$1,0)+AP88)*AO88,),VLOOKUP($A88,'Из ГУГЛа'!$B:$Z,AN$1,0))</f>
        <v>0</v>
      </c>
      <c r="AO88" s="100">
        <v>1</v>
      </c>
      <c r="AP88" s="100"/>
      <c r="AQ88" s="103"/>
      <c r="AR88" s="103"/>
    </row>
    <row r="89" spans="1:44" ht="46.5" thickTop="1" thickBot="1" x14ac:dyDescent="0.3">
      <c r="A89" s="57">
        <v>144984</v>
      </c>
      <c r="B89" s="57">
        <f>VLOOKUP($A89,'Выгр Кат'!$A:$T,B$1,0)</f>
        <v>13308</v>
      </c>
      <c r="C89" s="58" t="str">
        <f>VLOOKUP($A89,'Выгр Кат'!$A:$T,C$1,0)</f>
        <v>Жгут проводов фар и генератора для ВАЗ 2110-2112 инжекторный двигатель 1.5 л, со старой панелью</v>
      </c>
      <c r="D89" s="57" t="str">
        <f>VLOOKUP($A89,'Выгр Кат'!$A:$T,D$1,0)</f>
        <v>Y</v>
      </c>
      <c r="E89" s="57" t="str">
        <f>VLOOKUP($A89,'Выгр Кат'!$A:$T,E$1,0)</f>
        <v>1</v>
      </c>
      <c r="F89" s="57">
        <f>VLOOKUP($A89,'Выгр Кат'!$A:$T,F$1,0)</f>
        <v>0</v>
      </c>
      <c r="G89" s="57" t="str">
        <f>VLOOKUP($A89,'Выгр Кат'!$A:$T,G$1,0)</f>
        <v>2110372401020/40</v>
      </c>
      <c r="H89" s="57" t="str">
        <f>VLOOKUP($A89,'Выгр Кат'!$A:$T,H$1,0)</f>
        <v>2110-3724010, 2110372401040</v>
      </c>
      <c r="I89" s="39" t="s">
        <v>624</v>
      </c>
      <c r="J89" s="1" t="s">
        <v>526</v>
      </c>
      <c r="K89" s="47">
        <f>VLOOKUP(I89,Прайс!A:E,5,0)</f>
        <v>4000</v>
      </c>
      <c r="L89" s="7">
        <f>VLOOKUP(K89,Наценка!$A$1:$B$8,2,1)</f>
        <v>1.4</v>
      </c>
      <c r="M89" s="44">
        <f t="shared" si="22"/>
        <v>5600</v>
      </c>
      <c r="N89" s="62">
        <f t="shared" si="23"/>
        <v>5590</v>
      </c>
      <c r="O89" s="60">
        <f>VLOOKUP($A89,'Выгр Кат'!$A:$P,O$1,0)</f>
        <v>4000</v>
      </c>
      <c r="P89" s="60">
        <f>VLOOKUP($A89,'Выгр Кат'!$A:$P,P$1,0)</f>
        <v>5590</v>
      </c>
      <c r="Q89" s="73">
        <f t="shared" si="24"/>
        <v>0</v>
      </c>
      <c r="R89" s="73">
        <f t="shared" si="25"/>
        <v>0</v>
      </c>
      <c r="S89" s="97">
        <f t="shared" si="26"/>
        <v>5590</v>
      </c>
      <c r="T89" s="98">
        <f t="shared" si="27"/>
        <v>0.39749999999999996</v>
      </c>
      <c r="U89" s="98">
        <f t="shared" si="28"/>
        <v>-0.15352868345026827</v>
      </c>
      <c r="V89" s="98">
        <f t="shared" si="29"/>
        <v>0.21150000000000002</v>
      </c>
      <c r="W89" s="106">
        <f t="shared" si="33"/>
        <v>4846</v>
      </c>
      <c r="X89" s="102">
        <f>IFERROR(ROUND((VLOOKUP($A89,'Из ГУГЛа'!$B:$Z,X$1,0)+Z89)*Y89,),VLOOKUP($A89,'Из ГУГЛа'!$B:$Z,X$1,0))</f>
        <v>5690</v>
      </c>
      <c r="Y89" s="75">
        <v>1</v>
      </c>
      <c r="Z89" s="75">
        <v>0</v>
      </c>
      <c r="AA89" s="63">
        <v>5690</v>
      </c>
      <c r="AB89" s="63" t="s">
        <v>1215</v>
      </c>
      <c r="AC89" s="48" t="s">
        <v>786</v>
      </c>
      <c r="AD89" s="102">
        <f>IFERROR(ROUND((VLOOKUP($A89,'Из ГУГЛа'!$B:$Z,AD$1,0)+AF89)*AE89,),VLOOKUP($A89,'Из ГУГЛа'!$B:$Z,AD$1,0))</f>
        <v>0</v>
      </c>
      <c r="AE89" s="100">
        <v>1</v>
      </c>
      <c r="AF89" s="100"/>
      <c r="AG89" s="103">
        <v>4846</v>
      </c>
      <c r="AH89" s="103" t="s">
        <v>1935</v>
      </c>
      <c r="AI89" s="102">
        <f>IFERROR(ROUND((VLOOKUP($A89,'Из ГУГЛа'!$B:$Z,AI$1,0)+AK89)*AJ89,),VLOOKUP($A89,'Из ГУГЛа'!$B:$Z,AI$1,0))</f>
        <v>0</v>
      </c>
      <c r="AJ89" s="100">
        <v>1</v>
      </c>
      <c r="AK89" s="100"/>
      <c r="AL89" s="103"/>
      <c r="AM89" s="103"/>
      <c r="AN89" s="102">
        <f>IFERROR(ROUND((VLOOKUP($A89,'Из ГУГЛа'!$B:$Z,AN$1,0)+AP89)*AO89,),VLOOKUP($A89,'Из ГУГЛа'!$B:$Z,AN$1,0))</f>
        <v>0</v>
      </c>
      <c r="AO89" s="100">
        <v>1</v>
      </c>
      <c r="AP89" s="100"/>
      <c r="AQ89" s="103"/>
      <c r="AR89" s="103"/>
    </row>
    <row r="90" spans="1:44" ht="31.5" thickTop="1" thickBot="1" x14ac:dyDescent="0.3">
      <c r="A90" s="57">
        <v>144847</v>
      </c>
      <c r="B90" s="57">
        <f>VLOOKUP($A90,'Выгр Кат'!$A:$T,B$1,0)</f>
        <v>13271</v>
      </c>
      <c r="C90" s="58" t="str">
        <f>VLOOKUP($A90,'Выгр Кат'!$A:$T,C$1,0)</f>
        <v>Жгут проводов салона и задних фонарей для ВАЗ 2108, 2109, 2113, 2114</v>
      </c>
      <c r="D90" s="57" t="str">
        <f>VLOOKUP($A90,'Выгр Кат'!$A:$T,D$1,0)</f>
        <v>Y</v>
      </c>
      <c r="E90" s="57" t="str">
        <f>VLOOKUP($A90,'Выгр Кат'!$A:$T,E$1,0)</f>
        <v>1</v>
      </c>
      <c r="F90" s="57">
        <f>VLOOKUP($A90,'Выгр Кат'!$A:$T,F$1,0)</f>
        <v>0</v>
      </c>
      <c r="G90" s="57" t="str">
        <f>VLOOKUP($A90,'Выгр Кат'!$A:$T,G$1,0)</f>
        <v>211443724210</v>
      </c>
      <c r="H90" s="57" t="str">
        <f>VLOOKUP($A90,'Выгр Кат'!$A:$T,H$1,0)</f>
        <v>21144-3724210</v>
      </c>
      <c r="I90" s="39" t="s">
        <v>640</v>
      </c>
      <c r="J90" s="1" t="s">
        <v>526</v>
      </c>
      <c r="K90" s="47">
        <f>VLOOKUP(I90,Прайс!A:E,5,0)</f>
        <v>3000</v>
      </c>
      <c r="L90" s="7">
        <f>VLOOKUP(K90,Наценка!$A$1:$B$8,2,1)</f>
        <v>1.4</v>
      </c>
      <c r="M90" s="44">
        <f t="shared" si="22"/>
        <v>4200</v>
      </c>
      <c r="N90" s="62">
        <f t="shared" si="23"/>
        <v>4190</v>
      </c>
      <c r="O90" s="60">
        <f>VLOOKUP($A90,'Выгр Кат'!$A:$P,O$1,0)</f>
        <v>3000</v>
      </c>
      <c r="P90" s="60">
        <f>VLOOKUP($A90,'Выгр Кат'!$A:$P,P$1,0)</f>
        <v>4190</v>
      </c>
      <c r="Q90" s="73">
        <f t="shared" si="24"/>
        <v>0</v>
      </c>
      <c r="R90" s="73">
        <f t="shared" si="25"/>
        <v>0</v>
      </c>
      <c r="S90" s="97">
        <f t="shared" si="26"/>
        <v>4190</v>
      </c>
      <c r="T90" s="98">
        <f t="shared" si="27"/>
        <v>0.39666666666666672</v>
      </c>
      <c r="U90" s="98">
        <f t="shared" si="28"/>
        <v>-2.4700415749572022E-2</v>
      </c>
      <c r="V90" s="98">
        <f t="shared" si="29"/>
        <v>0.36299999999999999</v>
      </c>
      <c r="W90" s="106">
        <f t="shared" si="33"/>
        <v>4089</v>
      </c>
      <c r="X90" s="102">
        <f>IFERROR(ROUND((VLOOKUP($A90,'Из ГУГЛа'!$B:$Z,X$1,0)+Z90)*Y90,),VLOOKUP($A90,'Из ГУГЛа'!$B:$Z,X$1,0))</f>
        <v>4290</v>
      </c>
      <c r="Y90" s="75">
        <v>1</v>
      </c>
      <c r="Z90" s="75">
        <v>0</v>
      </c>
      <c r="AA90" s="63">
        <v>4290</v>
      </c>
      <c r="AB90" s="63" t="s">
        <v>1215</v>
      </c>
      <c r="AC90" s="48" t="s">
        <v>1056</v>
      </c>
      <c r="AD90" s="102">
        <f>IFERROR(ROUND((VLOOKUP($A90,'Из ГУГЛа'!$B:$Z,AD$1,0)+AF90)*AE90,),VLOOKUP($A90,'Из ГУГЛа'!$B:$Z,AD$1,0))</f>
        <v>0</v>
      </c>
      <c r="AE90" s="100">
        <v>1</v>
      </c>
      <c r="AF90" s="100"/>
      <c r="AG90" s="103">
        <v>4089</v>
      </c>
      <c r="AH90" s="103" t="s">
        <v>2095</v>
      </c>
      <c r="AI90" s="102">
        <f>IFERROR(ROUND((VLOOKUP($A90,'Из ГУГЛа'!$B:$Z,AI$1,0)+AK90)*AJ90,),VLOOKUP($A90,'Из ГУГЛа'!$B:$Z,AI$1,0))</f>
        <v>0</v>
      </c>
      <c r="AJ90" s="100">
        <v>1</v>
      </c>
      <c r="AK90" s="100"/>
      <c r="AL90" s="103"/>
      <c r="AM90" s="103"/>
      <c r="AN90" s="102">
        <f>IFERROR(ROUND((VLOOKUP($A90,'Из ГУГЛа'!$B:$Z,AN$1,0)+AP90)*AO90,),VLOOKUP($A90,'Из ГУГЛа'!$B:$Z,AN$1,0))</f>
        <v>0</v>
      </c>
      <c r="AO90" s="100">
        <v>1</v>
      </c>
      <c r="AP90" s="100"/>
      <c r="AQ90" s="103"/>
      <c r="AR90" s="103"/>
    </row>
    <row r="91" spans="1:44" ht="31.5" thickTop="1" thickBot="1" x14ac:dyDescent="0.3">
      <c r="A91" s="57">
        <v>144850</v>
      </c>
      <c r="B91" s="57">
        <f>VLOOKUP($A91,'Выгр Кат'!$A:$T,B$1,0)</f>
        <v>13273</v>
      </c>
      <c r="C91" s="58" t="str">
        <f>VLOOKUP($A91,'Выгр Кат'!$A:$T,C$1,0)</f>
        <v>Жгут проводов салона и задних фонарей для ВАЗ 21099, 2115</v>
      </c>
      <c r="D91" s="57" t="str">
        <f>VLOOKUP($A91,'Выгр Кат'!$A:$T,D$1,0)</f>
        <v>Y</v>
      </c>
      <c r="E91" s="57" t="str">
        <f>VLOOKUP($A91,'Выгр Кат'!$A:$T,E$1,0)</f>
        <v>0</v>
      </c>
      <c r="F91" s="57">
        <f>VLOOKUP($A91,'Выгр Кат'!$A:$T,F$1,0)</f>
        <v>0</v>
      </c>
      <c r="G91" s="57" t="str">
        <f>VLOOKUP($A91,'Выгр Кат'!$A:$T,G$1,0)</f>
        <v>2115372421041</v>
      </c>
      <c r="H91" s="57" t="str">
        <f>VLOOKUP($A91,'Выгр Кат'!$A:$T,H$1,0)</f>
        <v>2115-3724210</v>
      </c>
      <c r="I91" s="39"/>
      <c r="J91" s="1" t="s">
        <v>526</v>
      </c>
      <c r="K91" s="46">
        <f>O91</f>
        <v>3000</v>
      </c>
      <c r="L91" s="7">
        <f>VLOOKUP(K91,Наценка!$A$1:$B$8,2,1)</f>
        <v>1.4</v>
      </c>
      <c r="M91" s="44">
        <f t="shared" si="22"/>
        <v>4200</v>
      </c>
      <c r="N91" s="62">
        <f t="shared" si="23"/>
        <v>4190</v>
      </c>
      <c r="O91" s="60">
        <f>VLOOKUP($A91,'Выгр Кат'!$A:$P,O$1,0)</f>
        <v>3000</v>
      </c>
      <c r="P91" s="60">
        <f>VLOOKUP($A91,'Выгр Кат'!$A:$P,P$1,0)</f>
        <v>3790</v>
      </c>
      <c r="Q91" s="73">
        <f t="shared" si="24"/>
        <v>0</v>
      </c>
      <c r="R91" s="73">
        <f t="shared" si="25"/>
        <v>-400</v>
      </c>
      <c r="S91" s="97">
        <f t="shared" si="26"/>
        <v>4190</v>
      </c>
      <c r="T91" s="98">
        <f t="shared" si="27"/>
        <v>0.39666666666666672</v>
      </c>
      <c r="U91" s="98" t="str">
        <f t="shared" si="28"/>
        <v/>
      </c>
      <c r="V91" s="98" t="str">
        <f t="shared" si="29"/>
        <v/>
      </c>
      <c r="W91" s="103"/>
      <c r="X91" s="102">
        <f>IFERROR(ROUND((VLOOKUP($A91,'Из ГУГЛа'!$B:$Z,X$1,0)+Z91)*Y91,),VLOOKUP($A91,'Из ГУГЛа'!$B:$Z,X$1,0))</f>
        <v>3590</v>
      </c>
      <c r="Y91" s="75">
        <v>1</v>
      </c>
      <c r="Z91" s="75">
        <v>0</v>
      </c>
      <c r="AA91" s="85">
        <v>3590</v>
      </c>
      <c r="AB91" s="63" t="s">
        <v>1215</v>
      </c>
      <c r="AC91" s="48" t="s">
        <v>897</v>
      </c>
      <c r="AD91" s="102">
        <f>IFERROR(ROUND((VLOOKUP($A91,'Из ГУГЛа'!$B:$Z,AD$1,0)+AF91)*AE91,),VLOOKUP($A91,'Из ГУГЛа'!$B:$Z,AD$1,0))</f>
        <v>0</v>
      </c>
      <c r="AE91" s="100">
        <v>1</v>
      </c>
      <c r="AF91" s="100"/>
      <c r="AG91" s="103" t="s">
        <v>1017</v>
      </c>
      <c r="AH91" s="103"/>
      <c r="AI91" s="102">
        <f>IFERROR(ROUND((VLOOKUP($A91,'Из ГУГЛа'!$B:$Z,AI$1,0)+AK91)*AJ91,),VLOOKUP($A91,'Из ГУГЛа'!$B:$Z,AI$1,0))</f>
        <v>0</v>
      </c>
      <c r="AJ91" s="100">
        <v>1</v>
      </c>
      <c r="AK91" s="100"/>
      <c r="AL91" s="103"/>
      <c r="AM91" s="103"/>
      <c r="AN91" s="102">
        <f>IFERROR(ROUND((VLOOKUP($A91,'Из ГУГЛа'!$B:$Z,AN$1,0)+AP91)*AO91,),VLOOKUP($A91,'Из ГУГЛа'!$B:$Z,AN$1,0))</f>
        <v>0</v>
      </c>
      <c r="AO91" s="100">
        <v>1</v>
      </c>
      <c r="AP91" s="100"/>
      <c r="AQ91" s="103"/>
      <c r="AR91" s="103"/>
    </row>
    <row r="92" spans="1:44" ht="40.5" thickTop="1" thickBot="1" x14ac:dyDescent="0.3">
      <c r="A92" s="57">
        <v>144849</v>
      </c>
      <c r="B92" s="57">
        <f>VLOOKUP($A92,'Выгр Кат'!$A:$T,B$1,0)</f>
        <v>13274</v>
      </c>
      <c r="C92" s="58" t="str">
        <f>VLOOKUP($A92,'Выгр Кат'!$A:$T,C$1,0)</f>
        <v>Жгут проводов салона и задних фонарей для ВАЗ 2115</v>
      </c>
      <c r="D92" s="57" t="str">
        <f>VLOOKUP($A92,'Выгр Кат'!$A:$T,D$1,0)</f>
        <v>Y</v>
      </c>
      <c r="E92" s="57" t="str">
        <f>VLOOKUP($A92,'Выгр Кат'!$A:$T,E$1,0)</f>
        <v>1</v>
      </c>
      <c r="F92" s="57">
        <f>VLOOKUP($A92,'Выгр Кат'!$A:$T,F$1,0)</f>
        <v>0</v>
      </c>
      <c r="G92" s="57" t="str">
        <f>VLOOKUP($A92,'Выгр Кат'!$A:$T,G$1,0)</f>
        <v>2115372421031</v>
      </c>
      <c r="H92" s="57" t="str">
        <f>VLOOKUP($A92,'Выгр Кат'!$A:$T,H$1,0)</f>
        <v>2115-3724210</v>
      </c>
      <c r="I92" s="39" t="s">
        <v>641</v>
      </c>
      <c r="J92" s="1" t="s">
        <v>526</v>
      </c>
      <c r="K92" s="47">
        <f>VLOOKUP(I92,Прайс!A:E,5,0)</f>
        <v>3000</v>
      </c>
      <c r="L92" s="7">
        <f>VLOOKUP(K92,Наценка!$A$1:$B$8,2,1)</f>
        <v>1.4</v>
      </c>
      <c r="M92" s="44">
        <f t="shared" si="22"/>
        <v>4200</v>
      </c>
      <c r="N92" s="62">
        <f t="shared" si="23"/>
        <v>4190</v>
      </c>
      <c r="O92" s="60">
        <f>VLOOKUP($A92,'Выгр Кат'!$A:$P,O$1,0)</f>
        <v>3000</v>
      </c>
      <c r="P92" s="60">
        <f>VLOOKUP($A92,'Выгр Кат'!$A:$P,P$1,0)</f>
        <v>4190</v>
      </c>
      <c r="Q92" s="73">
        <f t="shared" si="24"/>
        <v>0</v>
      </c>
      <c r="R92" s="73">
        <f t="shared" si="25"/>
        <v>0</v>
      </c>
      <c r="S92" s="97">
        <f t="shared" si="26"/>
        <v>4190</v>
      </c>
      <c r="T92" s="98">
        <f t="shared" si="27"/>
        <v>0.39666666666666672</v>
      </c>
      <c r="U92" s="98">
        <f t="shared" si="28"/>
        <v>2.3310023310023312E-2</v>
      </c>
      <c r="V92" s="98">
        <f t="shared" si="29"/>
        <v>0.42999999999999994</v>
      </c>
      <c r="W92" s="106">
        <f>MIN(AA92,AG92,AL92,AQ92)</f>
        <v>4290</v>
      </c>
      <c r="X92" s="102">
        <f>IFERROR(ROUND((VLOOKUP($A92,'Из ГУГЛа'!$B:$Z,X$1,0)+Z92)*Y92,),VLOOKUP($A92,'Из ГУГЛа'!$B:$Z,X$1,0))</f>
        <v>4290</v>
      </c>
      <c r="Y92" s="75">
        <v>1</v>
      </c>
      <c r="Z92" s="75">
        <v>0</v>
      </c>
      <c r="AA92" s="85">
        <v>4290</v>
      </c>
      <c r="AB92" s="63" t="s">
        <v>1215</v>
      </c>
      <c r="AC92" s="48" t="s">
        <v>898</v>
      </c>
      <c r="AD92" s="102">
        <f>IFERROR(ROUND((VLOOKUP($A92,'Из ГУГЛа'!$B:$Z,AD$1,0)+AF92)*AE92,),VLOOKUP($A92,'Из ГУГЛа'!$B:$Z,AD$1,0))</f>
        <v>0</v>
      </c>
      <c r="AE92" s="100">
        <v>1</v>
      </c>
      <c r="AF92" s="100"/>
      <c r="AG92" s="103">
        <v>4564</v>
      </c>
      <c r="AH92" s="103" t="s">
        <v>1936</v>
      </c>
      <c r="AI92" s="102">
        <f>IFERROR(ROUND((VLOOKUP($A92,'Из ГУГЛа'!$B:$Z,AI$1,0)+AK92)*AJ92,),VLOOKUP($A92,'Из ГУГЛа'!$B:$Z,AI$1,0))</f>
        <v>0</v>
      </c>
      <c r="AJ92" s="100">
        <v>1</v>
      </c>
      <c r="AK92" s="100"/>
      <c r="AL92" s="103"/>
      <c r="AM92" s="103"/>
      <c r="AN92" s="102">
        <f>IFERROR(ROUND((VLOOKUP($A92,'Из ГУГЛа'!$B:$Z,AN$1,0)+AP92)*AO92,),VLOOKUP($A92,'Из ГУГЛа'!$B:$Z,AN$1,0))</f>
        <v>0</v>
      </c>
      <c r="AO92" s="100">
        <v>1</v>
      </c>
      <c r="AP92" s="100"/>
      <c r="AQ92" s="103"/>
      <c r="AR92" s="103"/>
    </row>
    <row r="93" spans="1:44" ht="31.5" thickTop="1" thickBot="1" x14ac:dyDescent="0.3">
      <c r="A93" s="57">
        <v>144848</v>
      </c>
      <c r="B93" s="57">
        <f>VLOOKUP($A93,'Выгр Кат'!$A:$T,B$1,0)</f>
        <v>13276</v>
      </c>
      <c r="C93" s="58" t="str">
        <f>VLOOKUP($A93,'Выгр Кат'!$A:$T,C$1,0)</f>
        <v>Жгут проводов салона и задних фонарей для ВАЗ 2115</v>
      </c>
      <c r="D93" s="57" t="str">
        <f>VLOOKUP($A93,'Выгр Кат'!$A:$T,D$1,0)</f>
        <v>Y</v>
      </c>
      <c r="E93" s="57" t="str">
        <f>VLOOKUP($A93,'Выгр Кат'!$A:$T,E$1,0)</f>
        <v>1</v>
      </c>
      <c r="F93" s="57">
        <f>VLOOKUP($A93,'Выгр Кат'!$A:$T,F$1,0)</f>
        <v>0</v>
      </c>
      <c r="G93" s="57" t="str">
        <f>VLOOKUP($A93,'Выгр Кат'!$A:$T,G$1,0)</f>
        <v>21153724210</v>
      </c>
      <c r="H93" s="57" t="str">
        <f>VLOOKUP($A93,'Выгр Кат'!$A:$T,H$1,0)</f>
        <v>2115-3724210</v>
      </c>
      <c r="I93" s="39"/>
      <c r="J93" s="1" t="s">
        <v>526</v>
      </c>
      <c r="K93" s="46">
        <f>O93</f>
        <v>3000</v>
      </c>
      <c r="L93" s="7">
        <f>VLOOKUP(K93,Наценка!$A$1:$B$8,2,1)</f>
        <v>1.4</v>
      </c>
      <c r="M93" s="44">
        <f t="shared" si="22"/>
        <v>4200</v>
      </c>
      <c r="N93" s="62">
        <f t="shared" si="23"/>
        <v>4190</v>
      </c>
      <c r="O93" s="60">
        <f>VLOOKUP($A93,'Выгр Кат'!$A:$P,O$1,0)</f>
        <v>3000</v>
      </c>
      <c r="P93" s="60">
        <f>VLOOKUP($A93,'Выгр Кат'!$A:$P,P$1,0)</f>
        <v>4190</v>
      </c>
      <c r="Q93" s="73">
        <f t="shared" si="24"/>
        <v>0</v>
      </c>
      <c r="R93" s="73">
        <f t="shared" si="25"/>
        <v>0</v>
      </c>
      <c r="S93" s="97">
        <f t="shared" si="26"/>
        <v>4190</v>
      </c>
      <c r="T93" s="98">
        <f t="shared" si="27"/>
        <v>0.39666666666666672</v>
      </c>
      <c r="U93" s="98" t="str">
        <f t="shared" si="28"/>
        <v/>
      </c>
      <c r="V93" s="98" t="str">
        <f t="shared" si="29"/>
        <v/>
      </c>
      <c r="W93" s="103"/>
      <c r="X93" s="102">
        <f>IFERROR(ROUND((VLOOKUP($A93,'Из ГУГЛа'!$B:$Z,X$1,0)+Z93)*Y93,),VLOOKUP($A93,'Из ГУГЛа'!$B:$Z,X$1,0))</f>
        <v>4290</v>
      </c>
      <c r="Y93" s="75">
        <v>1</v>
      </c>
      <c r="Z93" s="75">
        <v>0</v>
      </c>
      <c r="AA93" s="63">
        <v>4290</v>
      </c>
      <c r="AB93" s="63" t="s">
        <v>1215</v>
      </c>
      <c r="AC93" s="48" t="s">
        <v>899</v>
      </c>
      <c r="AD93" s="102">
        <f>IFERROR(ROUND((VLOOKUP($A93,'Из ГУГЛа'!$B:$Z,AD$1,0)+AF93)*AE93,),VLOOKUP($A93,'Из ГУГЛа'!$B:$Z,AD$1,0))</f>
        <v>0</v>
      </c>
      <c r="AE93" s="100">
        <v>1</v>
      </c>
      <c r="AF93" s="100"/>
      <c r="AG93" s="103" t="s">
        <v>1017</v>
      </c>
      <c r="AH93" s="103"/>
      <c r="AI93" s="102">
        <f>IFERROR(ROUND((VLOOKUP($A93,'Из ГУГЛа'!$B:$Z,AI$1,0)+AK93)*AJ93,),VLOOKUP($A93,'Из ГУГЛа'!$B:$Z,AI$1,0))</f>
        <v>0</v>
      </c>
      <c r="AJ93" s="100">
        <v>1</v>
      </c>
      <c r="AK93" s="100"/>
      <c r="AL93" s="103"/>
      <c r="AM93" s="103"/>
      <c r="AN93" s="102">
        <f>IFERROR(ROUND((VLOOKUP($A93,'Из ГУГЛа'!$B:$Z,AN$1,0)+AP93)*AO93,),VLOOKUP($A93,'Из ГУГЛа'!$B:$Z,AN$1,0))</f>
        <v>0</v>
      </c>
      <c r="AO93" s="100">
        <v>1</v>
      </c>
      <c r="AP93" s="100"/>
      <c r="AQ93" s="103"/>
      <c r="AR93" s="103"/>
    </row>
    <row r="94" spans="1:44" ht="40.5" thickTop="1" thickBot="1" x14ac:dyDescent="0.3">
      <c r="A94" s="57">
        <v>202082</v>
      </c>
      <c r="B94" s="57">
        <f>VLOOKUP($A94,'Выгр Кат'!$A:$T,B$1,0)</f>
        <v>13544</v>
      </c>
      <c r="C94" s="58" t="str">
        <f>VLOOKUP($A94,'Выгр Кат'!$A:$T,C$1,0)</f>
        <v>Жгут проводов панели приборов нового образца для ВАЗ 2113-2115 контроллер М7.9.7</v>
      </c>
      <c r="D94" s="57" t="str">
        <f>VLOOKUP($A94,'Выгр Кат'!$A:$T,D$1,0)</f>
        <v>Y</v>
      </c>
      <c r="E94" s="57" t="str">
        <f>VLOOKUP($A94,'Выгр Кат'!$A:$T,E$1,0)</f>
        <v>1</v>
      </c>
      <c r="F94" s="57">
        <f>VLOOKUP($A94,'Выгр Кат'!$A:$T,F$1,0)</f>
        <v>0</v>
      </c>
      <c r="G94" s="57" t="str">
        <f>VLOOKUP($A94,'Выгр Кат'!$A:$T,G$1,0)</f>
        <v>2115372403050</v>
      </c>
      <c r="H94" s="57" t="str">
        <f>VLOOKUP($A94,'Выгр Кат'!$A:$T,H$1,0)</f>
        <v>2115-3724030</v>
      </c>
      <c r="I94" s="39" t="s">
        <v>630</v>
      </c>
      <c r="J94" s="1" t="s">
        <v>526</v>
      </c>
      <c r="K94" s="47">
        <f>VLOOKUP(I94,Прайс!A:E,5,0)</f>
        <v>4000</v>
      </c>
      <c r="L94" s="7">
        <f>VLOOKUP(K94,Наценка!$A$1:$B$8,2,1)</f>
        <v>1.4</v>
      </c>
      <c r="M94" s="44">
        <f t="shared" si="22"/>
        <v>5600</v>
      </c>
      <c r="N94" s="62">
        <f t="shared" si="23"/>
        <v>5590</v>
      </c>
      <c r="O94" s="60">
        <f>VLOOKUP($A94,'Выгр Кат'!$A:$P,O$1,0)</f>
        <v>4000</v>
      </c>
      <c r="P94" s="60">
        <f>VLOOKUP($A94,'Выгр Кат'!$A:$P,P$1,0)</f>
        <v>5590</v>
      </c>
      <c r="Q94" s="73">
        <f t="shared" si="24"/>
        <v>0</v>
      </c>
      <c r="R94" s="73">
        <f t="shared" si="25"/>
        <v>0</v>
      </c>
      <c r="S94" s="97">
        <f t="shared" si="26"/>
        <v>5590</v>
      </c>
      <c r="T94" s="98">
        <f t="shared" si="27"/>
        <v>0.39749999999999996</v>
      </c>
      <c r="U94" s="98">
        <f t="shared" si="28"/>
        <v>-5.7110438729198187E-2</v>
      </c>
      <c r="V94" s="98">
        <f t="shared" si="29"/>
        <v>0.32200000000000006</v>
      </c>
      <c r="W94" s="106">
        <f t="shared" ref="W94:W99" si="34">MIN(AA94,AG94,AL94,AQ94)</f>
        <v>5288</v>
      </c>
      <c r="X94" s="102">
        <f>IFERROR(ROUND((VLOOKUP($A94,'Из ГУГЛа'!$B:$Z,X$1,0)+Z94)*Y94,),VLOOKUP($A94,'Из ГУГЛа'!$B:$Z,X$1,0))</f>
        <v>5690</v>
      </c>
      <c r="Y94" s="75">
        <v>1</v>
      </c>
      <c r="Z94" s="75">
        <v>0</v>
      </c>
      <c r="AA94" s="63">
        <v>5690</v>
      </c>
      <c r="AB94" s="63" t="s">
        <v>1215</v>
      </c>
      <c r="AC94" s="48" t="s">
        <v>1057</v>
      </c>
      <c r="AD94" s="102">
        <f>IFERROR(ROUND((VLOOKUP($A94,'Из ГУГЛа'!$B:$Z,AD$1,0)+AF94)*AE94,),VLOOKUP($A94,'Из ГУГЛа'!$B:$Z,AD$1,0))</f>
        <v>0</v>
      </c>
      <c r="AE94" s="100">
        <v>1</v>
      </c>
      <c r="AF94" s="100"/>
      <c r="AG94" s="103">
        <v>5288</v>
      </c>
      <c r="AH94" s="103" t="s">
        <v>1937</v>
      </c>
      <c r="AI94" s="102">
        <f>IFERROR(ROUND((VLOOKUP($A94,'Из ГУГЛа'!$B:$Z,AI$1,0)+AK94)*AJ94,),VLOOKUP($A94,'Из ГУГЛа'!$B:$Z,AI$1,0))</f>
        <v>0</v>
      </c>
      <c r="AJ94" s="100">
        <v>1</v>
      </c>
      <c r="AK94" s="100"/>
      <c r="AL94" s="103"/>
      <c r="AM94" s="103"/>
      <c r="AN94" s="102">
        <f>IFERROR(ROUND((VLOOKUP($A94,'Из ГУГЛа'!$B:$Z,AN$1,0)+AP94)*AO94,),VLOOKUP($A94,'Из ГУГЛа'!$B:$Z,AN$1,0))</f>
        <v>0</v>
      </c>
      <c r="AO94" s="100">
        <v>1</v>
      </c>
      <c r="AP94" s="100"/>
      <c r="AQ94" s="103"/>
      <c r="AR94" s="103"/>
    </row>
    <row r="95" spans="1:44" ht="66" thickTop="1" thickBot="1" x14ac:dyDescent="0.3">
      <c r="A95" s="57">
        <v>144938</v>
      </c>
      <c r="B95" s="57">
        <f>VLOOKUP($A95,'Выгр Кат'!$A:$T,B$1,0)</f>
        <v>18919</v>
      </c>
      <c r="C95" s="58" t="str">
        <f>VLOOKUP($A95,'Выгр Кат'!$A:$T,C$1,0)</f>
        <v>Жгут проводов фар и генератора для ВАЗ 2113-2115 с ПТФ, Е-Газ</v>
      </c>
      <c r="D95" s="57" t="str">
        <f>VLOOKUP($A95,'Выгр Кат'!$A:$T,D$1,0)</f>
        <v>Y</v>
      </c>
      <c r="E95" s="57" t="str">
        <f>VLOOKUP($A95,'Выгр Кат'!$A:$T,E$1,0)</f>
        <v>1</v>
      </c>
      <c r="F95" s="57">
        <f>VLOOKUP($A95,'Выгр Кат'!$A:$T,F$1,0)</f>
        <v>0</v>
      </c>
      <c r="G95" s="57" t="str">
        <f>VLOOKUP($A95,'Выгр Кат'!$A:$T,G$1,0)</f>
        <v>21154372401030</v>
      </c>
      <c r="H95" s="57" t="str">
        <f>VLOOKUP($A95,'Выгр Кат'!$A:$T,H$1,0)</f>
        <v>21154-3724010</v>
      </c>
      <c r="I95" s="39" t="s">
        <v>642</v>
      </c>
      <c r="J95" s="1" t="s">
        <v>526</v>
      </c>
      <c r="K95" s="47">
        <f>VLOOKUP(I95,Прайс!A:E,5,0)</f>
        <v>4000</v>
      </c>
      <c r="L95" s="7">
        <f>VLOOKUP(K95,Наценка!$A$1:$B$8,2,1)</f>
        <v>1.4</v>
      </c>
      <c r="M95" s="44">
        <f t="shared" si="22"/>
        <v>5600</v>
      </c>
      <c r="N95" s="62">
        <f t="shared" si="23"/>
        <v>5590</v>
      </c>
      <c r="O95" s="60">
        <f>VLOOKUP($A95,'Выгр Кат'!$A:$P,O$1,0)</f>
        <v>3500</v>
      </c>
      <c r="P95" s="60">
        <f>VLOOKUP($A95,'Выгр Кат'!$A:$P,P$1,0)</f>
        <v>4890</v>
      </c>
      <c r="Q95" s="73">
        <f t="shared" si="24"/>
        <v>-500</v>
      </c>
      <c r="R95" s="73">
        <f t="shared" si="25"/>
        <v>-700</v>
      </c>
      <c r="S95" s="97">
        <f t="shared" si="26"/>
        <v>5590</v>
      </c>
      <c r="T95" s="98">
        <f t="shared" si="27"/>
        <v>0.39749999999999996</v>
      </c>
      <c r="U95" s="98">
        <f t="shared" si="28"/>
        <v>-0.12024048096192384</v>
      </c>
      <c r="V95" s="98">
        <f t="shared" si="29"/>
        <v>0.24750000000000005</v>
      </c>
      <c r="W95" s="106">
        <f t="shared" si="34"/>
        <v>4990</v>
      </c>
      <c r="X95" s="102">
        <f>IFERROR(ROUND((VLOOKUP($A95,'Из ГУГЛа'!$B:$Z,X$1,0)+Z95)*Y95,),VLOOKUP($A95,'Из ГУГЛа'!$B:$Z,X$1,0))</f>
        <v>4990</v>
      </c>
      <c r="Y95" s="75">
        <v>1</v>
      </c>
      <c r="Z95" s="75">
        <v>0</v>
      </c>
      <c r="AA95" s="63">
        <v>4990</v>
      </c>
      <c r="AB95" s="63" t="s">
        <v>1215</v>
      </c>
      <c r="AC95" s="48" t="s">
        <v>1058</v>
      </c>
      <c r="AD95" s="102">
        <f>IFERROR(ROUND((VLOOKUP($A95,'Из ГУГЛа'!$B:$Z,AD$1,0)+AF95)*AE95,),VLOOKUP($A95,'Из ГУГЛа'!$B:$Z,AD$1,0))</f>
        <v>0</v>
      </c>
      <c r="AE95" s="100">
        <v>1</v>
      </c>
      <c r="AF95" s="100"/>
      <c r="AG95" s="103">
        <v>5070</v>
      </c>
      <c r="AH95" s="103" t="s">
        <v>1938</v>
      </c>
      <c r="AI95" s="102">
        <f>IFERROR(ROUND((VLOOKUP($A95,'Из ГУГЛа'!$B:$Z,AI$1,0)+AK95)*AJ95,),VLOOKUP($A95,'Из ГУГЛа'!$B:$Z,AI$1,0))</f>
        <v>0</v>
      </c>
      <c r="AJ95" s="100">
        <v>1</v>
      </c>
      <c r="AK95" s="100"/>
      <c r="AL95" s="103"/>
      <c r="AM95" s="103"/>
      <c r="AN95" s="102">
        <f>IFERROR(ROUND((VLOOKUP($A95,'Из ГУГЛа'!$B:$Z,AN$1,0)+AP95)*AO95,),VLOOKUP($A95,'Из ГУГЛа'!$B:$Z,AN$1,0))</f>
        <v>0</v>
      </c>
      <c r="AO95" s="100">
        <v>1</v>
      </c>
      <c r="AP95" s="100"/>
      <c r="AQ95" s="103"/>
      <c r="AR95" s="103"/>
    </row>
    <row r="96" spans="1:44" ht="31.5" thickTop="1" thickBot="1" x14ac:dyDescent="0.3">
      <c r="A96" s="57">
        <v>144898</v>
      </c>
      <c r="B96" s="57">
        <f>VLOOKUP($A96,'Выгр Кат'!$A:$T,B$1,0)</f>
        <v>13435</v>
      </c>
      <c r="C96" s="58" t="str">
        <f>VLOOKUP($A96,'Выгр Кат'!$A:$T,C$1,0)</f>
        <v>Жгут проводов моторного отсека для Лада Нива 4х4 карбюраторный двигатель</v>
      </c>
      <c r="D96" s="57" t="str">
        <f>VLOOKUP($A96,'Выгр Кат'!$A:$T,D$1,0)</f>
        <v>Y</v>
      </c>
      <c r="E96" s="57" t="str">
        <f>VLOOKUP($A96,'Выгр Кат'!$A:$T,E$1,0)</f>
        <v>1</v>
      </c>
      <c r="F96" s="57">
        <f>VLOOKUP($A96,'Выгр Кат'!$A:$T,F$1,0)</f>
        <v>0</v>
      </c>
      <c r="G96" s="57" t="str">
        <f>VLOOKUP($A96,'Выгр Кат'!$A:$T,G$1,0)</f>
        <v>212133724010</v>
      </c>
      <c r="H96" s="57" t="str">
        <f>VLOOKUP($A96,'Выгр Кат'!$A:$T,H$1,0)</f>
        <v>21213-3724010</v>
      </c>
      <c r="I96" s="64" t="s">
        <v>32</v>
      </c>
      <c r="J96" s="1" t="s">
        <v>526</v>
      </c>
      <c r="K96" s="46">
        <f>O96</f>
        <v>2500</v>
      </c>
      <c r="L96" s="7">
        <f>VLOOKUP(K96,Наценка!$A$1:$B$8,2,1)</f>
        <v>1.4</v>
      </c>
      <c r="M96" s="44">
        <f t="shared" si="22"/>
        <v>3500</v>
      </c>
      <c r="N96" s="62">
        <f t="shared" si="23"/>
        <v>3490</v>
      </c>
      <c r="O96" s="60">
        <f>VLOOKUP($A96,'Выгр Кат'!$A:$P,O$1,0)</f>
        <v>2500</v>
      </c>
      <c r="P96" s="60">
        <f>VLOOKUP($A96,'Выгр Кат'!$A:$P,P$1,0)</f>
        <v>4890</v>
      </c>
      <c r="Q96" s="73">
        <f t="shared" si="24"/>
        <v>0</v>
      </c>
      <c r="R96" s="73">
        <f t="shared" si="25"/>
        <v>1400</v>
      </c>
      <c r="S96" s="97">
        <f t="shared" si="26"/>
        <v>3490</v>
      </c>
      <c r="T96" s="98">
        <f t="shared" si="27"/>
        <v>0.39599999999999991</v>
      </c>
      <c r="U96" s="98">
        <f t="shared" si="28"/>
        <v>-0.10338286436926968</v>
      </c>
      <c r="V96" s="98">
        <f t="shared" si="29"/>
        <v>0.2652000000000001</v>
      </c>
      <c r="W96" s="106">
        <f t="shared" si="34"/>
        <v>3163</v>
      </c>
      <c r="X96" s="102">
        <f>IFERROR(ROUND((VLOOKUP($A96,'Из ГУГЛа'!$B:$Z,X$1,0)+Z96)*Y96,),VLOOKUP($A96,'Из ГУГЛа'!$B:$Z,X$1,0))</f>
        <v>4990</v>
      </c>
      <c r="Y96" s="75">
        <v>1</v>
      </c>
      <c r="Z96" s="75">
        <v>0</v>
      </c>
      <c r="AA96" s="63">
        <v>4990</v>
      </c>
      <c r="AB96" s="63" t="s">
        <v>1215</v>
      </c>
      <c r="AC96" s="48" t="s">
        <v>1059</v>
      </c>
      <c r="AD96" s="102">
        <f>IFERROR(ROUND((VLOOKUP($A96,'Из ГУГЛа'!$B:$Z,AD$1,0)+AF96)*AE96,),VLOOKUP($A96,'Из ГУГЛа'!$B:$Z,AD$1,0))</f>
        <v>0</v>
      </c>
      <c r="AE96" s="100">
        <v>1</v>
      </c>
      <c r="AF96" s="100"/>
      <c r="AG96" s="103">
        <v>3163</v>
      </c>
      <c r="AH96" s="103" t="s">
        <v>1939</v>
      </c>
      <c r="AI96" s="102">
        <f>IFERROR(ROUND((VLOOKUP($A96,'Из ГУГЛа'!$B:$Z,AI$1,0)+AK96)*AJ96,),VLOOKUP($A96,'Из ГУГЛа'!$B:$Z,AI$1,0))</f>
        <v>0</v>
      </c>
      <c r="AJ96" s="100">
        <v>1</v>
      </c>
      <c r="AK96" s="100"/>
      <c r="AL96" s="103"/>
      <c r="AM96" s="103"/>
      <c r="AN96" s="102">
        <f>IFERROR(ROUND((VLOOKUP($A96,'Из ГУГЛа'!$B:$Z,AN$1,0)+AP96)*AO96,),VLOOKUP($A96,'Из ГУГЛа'!$B:$Z,AN$1,0))</f>
        <v>0</v>
      </c>
      <c r="AO96" s="100">
        <v>1</v>
      </c>
      <c r="AP96" s="100"/>
      <c r="AQ96" s="103"/>
      <c r="AR96" s="103"/>
    </row>
    <row r="97" spans="1:44" ht="31.5" thickTop="1" thickBot="1" x14ac:dyDescent="0.3">
      <c r="A97" s="57">
        <v>144851</v>
      </c>
      <c r="B97" s="57">
        <f>VLOOKUP($A97,'Выгр Кат'!$A:$T,B$1,0)</f>
        <v>13422</v>
      </c>
      <c r="C97" s="58" t="str">
        <f>VLOOKUP($A97,'Выгр Кат'!$A:$T,C$1,0)</f>
        <v>Жгут проводов задний для Лада Нива 4х4 3-х дверная, карбюраторный двигатель</v>
      </c>
      <c r="D97" s="57" t="str">
        <f>VLOOKUP($A97,'Выгр Кат'!$A:$T,D$1,0)</f>
        <v>Y</v>
      </c>
      <c r="E97" s="57" t="str">
        <f>VLOOKUP($A97,'Выгр Кат'!$A:$T,E$1,0)</f>
        <v>1</v>
      </c>
      <c r="F97" s="57">
        <f>VLOOKUP($A97,'Выгр Кат'!$A:$T,F$1,0)</f>
        <v>0</v>
      </c>
      <c r="G97" s="57" t="str">
        <f>VLOOKUP($A97,'Выгр Кат'!$A:$T,G$1,0)</f>
        <v>212133724210</v>
      </c>
      <c r="H97" s="57" t="str">
        <f>VLOOKUP($A97,'Выгр Кат'!$A:$T,H$1,0)</f>
        <v>21213-3724210</v>
      </c>
      <c r="I97" s="39" t="s">
        <v>662</v>
      </c>
      <c r="J97" s="1" t="s">
        <v>526</v>
      </c>
      <c r="K97" s="47">
        <f>VLOOKUP(I97,Прайс!A:E,5,0)</f>
        <v>3000</v>
      </c>
      <c r="L97" s="7">
        <f>VLOOKUP(K97,Наценка!$A$1:$B$8,2,1)</f>
        <v>1.4</v>
      </c>
      <c r="M97" s="44">
        <f t="shared" si="22"/>
        <v>4200</v>
      </c>
      <c r="N97" s="62">
        <f t="shared" si="23"/>
        <v>4190</v>
      </c>
      <c r="O97" s="60">
        <f>VLOOKUP($A97,'Выгр Кат'!$A:$P,O$1,0)</f>
        <v>3000</v>
      </c>
      <c r="P97" s="60">
        <f>VLOOKUP($A97,'Выгр Кат'!$A:$P,P$1,0)</f>
        <v>4190</v>
      </c>
      <c r="Q97" s="73">
        <f t="shared" si="24"/>
        <v>0</v>
      </c>
      <c r="R97" s="73">
        <f t="shared" si="25"/>
        <v>0</v>
      </c>
      <c r="S97" s="97">
        <f t="shared" si="26"/>
        <v>4190</v>
      </c>
      <c r="T97" s="98">
        <f t="shared" si="27"/>
        <v>0.39666666666666672</v>
      </c>
      <c r="U97" s="98">
        <f t="shared" si="28"/>
        <v>2.3310023310023312E-2</v>
      </c>
      <c r="V97" s="98">
        <f t="shared" si="29"/>
        <v>0.42999999999999994</v>
      </c>
      <c r="W97" s="106">
        <f t="shared" si="34"/>
        <v>4290</v>
      </c>
      <c r="X97" s="102">
        <f>IFERROR(ROUND((VLOOKUP($A97,'Из ГУГЛа'!$B:$Z,X$1,0)+Z97)*Y97,),VLOOKUP($A97,'Из ГУГЛа'!$B:$Z,X$1,0))</f>
        <v>4290</v>
      </c>
      <c r="Y97" s="75">
        <v>1</v>
      </c>
      <c r="Z97" s="75">
        <v>0</v>
      </c>
      <c r="AA97" s="85">
        <v>4290</v>
      </c>
      <c r="AB97" s="63" t="s">
        <v>1215</v>
      </c>
      <c r="AC97" s="48" t="s">
        <v>896</v>
      </c>
      <c r="AD97" s="102">
        <f>IFERROR(ROUND((VLOOKUP($A97,'Из ГУГЛа'!$B:$Z,AD$1,0)+AF97)*AE97,),VLOOKUP($A97,'Из ГУГЛа'!$B:$Z,AD$1,0))</f>
        <v>0</v>
      </c>
      <c r="AE97" s="100">
        <v>1</v>
      </c>
      <c r="AF97" s="100"/>
      <c r="AG97" s="103">
        <v>4327</v>
      </c>
      <c r="AH97" s="103" t="s">
        <v>2096</v>
      </c>
      <c r="AI97" s="102">
        <f>IFERROR(ROUND((VLOOKUP($A97,'Из ГУГЛа'!$B:$Z,AI$1,0)+AK97)*AJ97,),VLOOKUP($A97,'Из ГУГЛа'!$B:$Z,AI$1,0))</f>
        <v>0</v>
      </c>
      <c r="AJ97" s="100">
        <v>1</v>
      </c>
      <c r="AK97" s="100"/>
      <c r="AL97" s="103"/>
      <c r="AM97" s="103"/>
      <c r="AN97" s="102">
        <f>IFERROR(ROUND((VLOOKUP($A97,'Из ГУГЛа'!$B:$Z,AN$1,0)+AP97)*AO97,),VLOOKUP($A97,'Из ГУГЛа'!$B:$Z,AN$1,0))</f>
        <v>0</v>
      </c>
      <c r="AO97" s="100">
        <v>1</v>
      </c>
      <c r="AP97" s="100"/>
      <c r="AQ97" s="103"/>
      <c r="AR97" s="103"/>
    </row>
    <row r="98" spans="1:44" ht="66" thickTop="1" thickBot="1" x14ac:dyDescent="0.3">
      <c r="A98" s="57">
        <v>144935</v>
      </c>
      <c r="B98" s="57">
        <f>VLOOKUP($A98,'Выгр Кат'!$A:$T,B$1,0)</f>
        <v>13355</v>
      </c>
      <c r="C98" s="58" t="str">
        <f>VLOOKUP($A98,'Выгр Кат'!$A:$T,C$1,0)</f>
        <v>Жгут проводов передней правой двери для Лада Приора, Приора 2 зеркало с повторителем</v>
      </c>
      <c r="D98" s="57" t="str">
        <f>VLOOKUP($A98,'Выгр Кат'!$A:$T,D$1,0)</f>
        <v>Y</v>
      </c>
      <c r="E98" s="57" t="str">
        <f>VLOOKUP($A98,'Выгр Кат'!$A:$T,E$1,0)</f>
        <v>1</v>
      </c>
      <c r="F98" s="57">
        <f>VLOOKUP($A98,'Выгр Кат'!$A:$T,F$1,0)</f>
        <v>0</v>
      </c>
      <c r="G98" s="57" t="str">
        <f>VLOOKUP($A98,'Выгр Кат'!$A:$T,G$1,0)</f>
        <v>2172372455030</v>
      </c>
      <c r="H98" s="57" t="str">
        <f>VLOOKUP($A98,'Выгр Кат'!$A:$T,H$1,0)</f>
        <v>2172-3724550</v>
      </c>
      <c r="I98" s="39" t="s">
        <v>708</v>
      </c>
      <c r="J98" s="1" t="s">
        <v>526</v>
      </c>
      <c r="K98" s="47">
        <f>VLOOKUP(I98,Прайс!A:E,5,0)</f>
        <v>3000</v>
      </c>
      <c r="L98" s="7">
        <f>VLOOKUP(K98,Наценка!$A$1:$B$8,2,1)</f>
        <v>1.4</v>
      </c>
      <c r="M98" s="44">
        <f t="shared" si="22"/>
        <v>4200</v>
      </c>
      <c r="N98" s="62">
        <f t="shared" si="23"/>
        <v>4190</v>
      </c>
      <c r="O98" s="60">
        <f>VLOOKUP($A98,'Выгр Кат'!$A:$P,O$1,0)</f>
        <v>3000</v>
      </c>
      <c r="P98" s="60">
        <f>VLOOKUP($A98,'Выгр Кат'!$A:$P,P$1,0)</f>
        <v>4190</v>
      </c>
      <c r="Q98" s="73">
        <f t="shared" si="24"/>
        <v>0</v>
      </c>
      <c r="R98" s="73">
        <f t="shared" si="25"/>
        <v>0</v>
      </c>
      <c r="S98" s="97">
        <f t="shared" si="26"/>
        <v>4190</v>
      </c>
      <c r="T98" s="98">
        <f t="shared" si="27"/>
        <v>0.39666666666666672</v>
      </c>
      <c r="U98" s="98">
        <f t="shared" si="28"/>
        <v>-7.6014381099126865E-2</v>
      </c>
      <c r="V98" s="98">
        <f t="shared" si="29"/>
        <v>0.29800000000000004</v>
      </c>
      <c r="W98" s="106">
        <f t="shared" si="34"/>
        <v>3894</v>
      </c>
      <c r="X98" s="102">
        <f>IFERROR(ROUND((VLOOKUP($A98,'Из ГУГЛа'!$B:$Z,X$1,0)+Z98)*Y98,),VLOOKUP($A98,'Из ГУГЛа'!$B:$Z,X$1,0))</f>
        <v>4290</v>
      </c>
      <c r="Y98" s="75">
        <v>1</v>
      </c>
      <c r="Z98" s="75">
        <v>0</v>
      </c>
      <c r="AA98" s="63">
        <v>4290</v>
      </c>
      <c r="AB98" s="63" t="s">
        <v>1215</v>
      </c>
      <c r="AC98" s="48" t="s">
        <v>1060</v>
      </c>
      <c r="AD98" s="102">
        <f>IFERROR(ROUND((VLOOKUP($A98,'Из ГУГЛа'!$B:$Z,AD$1,0)+AF98)*AE98,),VLOOKUP($A98,'Из ГУГЛа'!$B:$Z,AD$1,0))</f>
        <v>0</v>
      </c>
      <c r="AE98" s="100">
        <v>1</v>
      </c>
      <c r="AF98" s="100"/>
      <c r="AG98" s="103">
        <v>3894</v>
      </c>
      <c r="AH98" s="103" t="s">
        <v>2097</v>
      </c>
      <c r="AI98" s="102">
        <f>IFERROR(ROUND((VLOOKUP($A98,'Из ГУГЛа'!$B:$Z,AI$1,0)+AK98)*AJ98,),VLOOKUP($A98,'Из ГУГЛа'!$B:$Z,AI$1,0))</f>
        <v>0</v>
      </c>
      <c r="AJ98" s="100">
        <v>1</v>
      </c>
      <c r="AK98" s="100"/>
      <c r="AL98" s="103"/>
      <c r="AM98" s="103"/>
      <c r="AN98" s="102">
        <f>IFERROR(ROUND((VLOOKUP($A98,'Из ГУГЛа'!$B:$Z,AN$1,0)+AP98)*AO98,),VLOOKUP($A98,'Из ГУГЛа'!$B:$Z,AN$1,0))</f>
        <v>0</v>
      </c>
      <c r="AO98" s="100">
        <v>1</v>
      </c>
      <c r="AP98" s="100"/>
      <c r="AQ98" s="103"/>
      <c r="AR98" s="103"/>
    </row>
    <row r="99" spans="1:44" ht="66" thickTop="1" thickBot="1" x14ac:dyDescent="0.3">
      <c r="A99" s="57">
        <v>144931</v>
      </c>
      <c r="B99" s="57">
        <f>VLOOKUP($A99,'Выгр Кат'!$A:$T,B$1,0)</f>
        <v>13353</v>
      </c>
      <c r="C99" s="58" t="str">
        <f>VLOOKUP($A99,'Выгр Кат'!$A:$T,C$1,0)</f>
        <v>Жгут проводов передней левой двери для Лада Приора, Приора 2 зеркало с повторителем</v>
      </c>
      <c r="D99" s="57" t="str">
        <f>VLOOKUP($A99,'Выгр Кат'!$A:$T,D$1,0)</f>
        <v>Y</v>
      </c>
      <c r="E99" s="57" t="str">
        <f>VLOOKUP($A99,'Выгр Кат'!$A:$T,E$1,0)</f>
        <v>1</v>
      </c>
      <c r="F99" s="57">
        <f>VLOOKUP($A99,'Выгр Кат'!$A:$T,F$1,0)</f>
        <v>0</v>
      </c>
      <c r="G99" s="57" t="str">
        <f>VLOOKUP($A99,'Выгр Кат'!$A:$T,G$1,0)</f>
        <v>2172372455130</v>
      </c>
      <c r="H99" s="57" t="str">
        <f>VLOOKUP($A99,'Выгр Кат'!$A:$T,H$1,0)</f>
        <v>2172-3724551</v>
      </c>
      <c r="I99" s="39" t="s">
        <v>706</v>
      </c>
      <c r="J99" s="1" t="s">
        <v>526</v>
      </c>
      <c r="K99" s="47">
        <f>VLOOKUP(I99,Прайс!A:E,5,0)</f>
        <v>3000</v>
      </c>
      <c r="L99" s="7">
        <f>VLOOKUP(K99,Наценка!$A$1:$B$8,2,1)</f>
        <v>1.4</v>
      </c>
      <c r="M99" s="44">
        <f t="shared" si="22"/>
        <v>4200</v>
      </c>
      <c r="N99" s="62">
        <f t="shared" si="23"/>
        <v>4190</v>
      </c>
      <c r="O99" s="60">
        <f>VLOOKUP($A99,'Выгр Кат'!$A:$P,O$1,0)</f>
        <v>3000</v>
      </c>
      <c r="P99" s="60">
        <f>VLOOKUP($A99,'Выгр Кат'!$A:$P,P$1,0)</f>
        <v>4190</v>
      </c>
      <c r="Q99" s="73">
        <f t="shared" si="24"/>
        <v>0</v>
      </c>
      <c r="R99" s="73">
        <f t="shared" si="25"/>
        <v>0</v>
      </c>
      <c r="S99" s="97">
        <f t="shared" si="26"/>
        <v>4190</v>
      </c>
      <c r="T99" s="98">
        <f t="shared" si="27"/>
        <v>0.39666666666666672</v>
      </c>
      <c r="U99" s="98">
        <f t="shared" si="28"/>
        <v>-0.40462621521957759</v>
      </c>
      <c r="V99" s="98">
        <f t="shared" si="29"/>
        <v>-5.6666666666667087E-3</v>
      </c>
      <c r="W99" s="106">
        <f t="shared" si="34"/>
        <v>2983</v>
      </c>
      <c r="X99" s="102">
        <f>IFERROR(ROUND((VLOOKUP($A99,'Из ГУГЛа'!$B:$Z,X$1,0)+Z99)*Y99,),VLOOKUP($A99,'Из ГУГЛа'!$B:$Z,X$1,0))</f>
        <v>4290</v>
      </c>
      <c r="Y99" s="75">
        <v>1</v>
      </c>
      <c r="Z99" s="75">
        <v>0</v>
      </c>
      <c r="AA99" s="85">
        <v>4290</v>
      </c>
      <c r="AB99" s="63" t="s">
        <v>1215</v>
      </c>
      <c r="AC99" s="48" t="s">
        <v>895</v>
      </c>
      <c r="AD99" s="102">
        <f>IFERROR(ROUND((VLOOKUP($A99,'Из ГУГЛа'!$B:$Z,AD$1,0)+AF99)*AE99,),VLOOKUP($A99,'Из ГУГЛа'!$B:$Z,AD$1,0))</f>
        <v>0</v>
      </c>
      <c r="AE99" s="100">
        <v>1</v>
      </c>
      <c r="AF99" s="100"/>
      <c r="AG99" s="103">
        <v>2983</v>
      </c>
      <c r="AH99" s="103" t="s">
        <v>2098</v>
      </c>
      <c r="AI99" s="102">
        <f>IFERROR(ROUND((VLOOKUP($A99,'Из ГУГЛа'!$B:$Z,AI$1,0)+AK99)*AJ99,),VLOOKUP($A99,'Из ГУГЛа'!$B:$Z,AI$1,0))</f>
        <v>0</v>
      </c>
      <c r="AJ99" s="100">
        <v>1</v>
      </c>
      <c r="AK99" s="100"/>
      <c r="AL99" s="103"/>
      <c r="AM99" s="103"/>
      <c r="AN99" s="102">
        <f>IFERROR(ROUND((VLOOKUP($A99,'Из ГУГЛа'!$B:$Z,AN$1,0)+AP99)*AO99,),VLOOKUP($A99,'Из ГУГЛа'!$B:$Z,AN$1,0))</f>
        <v>0</v>
      </c>
      <c r="AO99" s="100">
        <v>1</v>
      </c>
      <c r="AP99" s="100"/>
      <c r="AQ99" s="103"/>
      <c r="AR99" s="103"/>
    </row>
    <row r="100" spans="1:44" ht="46.5" thickTop="1" thickBot="1" x14ac:dyDescent="0.3">
      <c r="A100" s="57">
        <v>153100</v>
      </c>
      <c r="B100" s="57">
        <f>VLOOKUP($A100,'Выгр Кат'!$A:$T,B$1,0)</f>
        <v>32646</v>
      </c>
      <c r="C100" s="58" t="str">
        <f>VLOOKUP($A100,'Выгр Кат'!$A:$T,C$1,0)</f>
        <v>Кабель жгут интерфейсный для соединения дисплея и магнитолы для Лада Приора, Приора 2, Калина, Калина 2</v>
      </c>
      <c r="D100" s="57" t="str">
        <f>VLOOKUP($A100,'Выгр Кат'!$A:$T,D$1,0)</f>
        <v>Y</v>
      </c>
      <c r="E100" s="57" t="str">
        <f>VLOOKUP($A100,'Выгр Кат'!$A:$T,E$1,0)</f>
        <v>1</v>
      </c>
      <c r="F100" s="57">
        <f>VLOOKUP($A100,'Выгр Кат'!$A:$T,F$1,0)</f>
        <v>0</v>
      </c>
      <c r="G100" s="57" t="str">
        <f>VLOOKUP($A100,'Выгр Кат'!$A:$T,G$1,0)</f>
        <v>219207905030</v>
      </c>
      <c r="H100" s="57" t="str">
        <f>VLOOKUP($A100,'Выгр Кат'!$A:$T,H$1,0)</f>
        <v>2192-7905030</v>
      </c>
      <c r="I100" s="59"/>
      <c r="J100" s="1" t="s">
        <v>526</v>
      </c>
      <c r="K100" s="46">
        <f>O100</f>
        <v>2500</v>
      </c>
      <c r="L100" s="7">
        <f>VLOOKUP(K100,Наценка!$A$1:$B$8,2,1)</f>
        <v>1.4</v>
      </c>
      <c r="M100" s="44">
        <f t="shared" si="22"/>
        <v>3500</v>
      </c>
      <c r="N100" s="62">
        <f t="shared" si="23"/>
        <v>3490</v>
      </c>
      <c r="O100" s="60">
        <f>VLOOKUP($A100,'Выгр Кат'!$A:$P,O$1,0)</f>
        <v>2500</v>
      </c>
      <c r="P100" s="60">
        <f>VLOOKUP($A100,'Выгр Кат'!$A:$P,P$1,0)</f>
        <v>3490</v>
      </c>
      <c r="Q100" s="73">
        <f t="shared" si="24"/>
        <v>0</v>
      </c>
      <c r="R100" s="73">
        <f t="shared" si="25"/>
        <v>0</v>
      </c>
      <c r="S100" s="97">
        <f t="shared" si="26"/>
        <v>3490</v>
      </c>
      <c r="T100" s="98">
        <f t="shared" si="27"/>
        <v>0.39599999999999991</v>
      </c>
      <c r="U100" s="98" t="str">
        <f t="shared" si="28"/>
        <v/>
      </c>
      <c r="V100" s="98" t="str">
        <f t="shared" si="29"/>
        <v/>
      </c>
      <c r="W100" s="99"/>
      <c r="X100" s="102" t="str">
        <f>IFERROR(ROUND((VLOOKUP($A100,'Из ГУГЛа'!$B:$Z,X$1,0)+Z100)*Y100,),VLOOKUP($A100,'Из ГУГЛа'!$B:$Z,X$1,0))</f>
        <v/>
      </c>
      <c r="Y100" s="75">
        <v>1</v>
      </c>
      <c r="Z100" s="75">
        <v>0</v>
      </c>
      <c r="AA100" s="63" t="s">
        <v>1017</v>
      </c>
      <c r="AB100" s="80"/>
      <c r="AD100" s="102">
        <f>IFERROR(ROUND((VLOOKUP($A100,'Из ГУГЛа'!$B:$Z,AD$1,0)+AF100)*AE100,),VLOOKUP($A100,'Из ГУГЛа'!$B:$Z,AD$1,0))</f>
        <v>0</v>
      </c>
      <c r="AE100" s="100">
        <v>1</v>
      </c>
      <c r="AF100" s="100"/>
      <c r="AG100" s="103" t="s">
        <v>2100</v>
      </c>
      <c r="AH100" s="103" t="s">
        <v>2099</v>
      </c>
      <c r="AI100" s="102">
        <f>IFERROR(ROUND((VLOOKUP($A100,'Из ГУГЛа'!$B:$Z,AI$1,0)+AK100)*AJ100,),VLOOKUP($A100,'Из ГУГЛа'!$B:$Z,AI$1,0))</f>
        <v>0</v>
      </c>
      <c r="AJ100" s="100">
        <v>1</v>
      </c>
      <c r="AK100" s="100"/>
      <c r="AL100" s="103"/>
      <c r="AM100" s="103"/>
      <c r="AN100" s="102">
        <f>IFERROR(ROUND((VLOOKUP($A100,'Из ГУГЛа'!$B:$Z,AN$1,0)+AP100)*AO100,),VLOOKUP($A100,'Из ГУГЛа'!$B:$Z,AN$1,0))</f>
        <v>0</v>
      </c>
      <c r="AO100" s="100">
        <v>1</v>
      </c>
      <c r="AP100" s="100"/>
      <c r="AQ100" s="103"/>
      <c r="AR100" s="103"/>
    </row>
    <row r="101" spans="1:44" ht="53.25" thickTop="1" thickBot="1" x14ac:dyDescent="0.3">
      <c r="A101" s="57">
        <v>144818</v>
      </c>
      <c r="B101" s="57">
        <f>VLOOKUP($A101,'Выгр Кат'!$A:$T,B$1,0)</f>
        <v>13234</v>
      </c>
      <c r="C101" s="58" t="str">
        <f>VLOOKUP($A101,'Выгр Кат'!$A:$T,C$1,0)</f>
        <v>Жгут панели приборов для ВАЗ 2104 карбюраторный двигатель, с панелью 2107</v>
      </c>
      <c r="D101" s="57" t="str">
        <f>VLOOKUP($A101,'Выгр Кат'!$A:$T,D$1,0)</f>
        <v>Y</v>
      </c>
      <c r="E101" s="57" t="str">
        <f>VLOOKUP($A101,'Выгр Кат'!$A:$T,E$1,0)</f>
        <v>1</v>
      </c>
      <c r="F101" s="57">
        <f>VLOOKUP($A101,'Выгр Кат'!$A:$T,F$1,0)</f>
        <v>0</v>
      </c>
      <c r="G101" s="57" t="str">
        <f>VLOOKUP($A101,'Выгр Кат'!$A:$T,G$1,0)</f>
        <v>210433724030</v>
      </c>
      <c r="H101" s="57" t="str">
        <f>VLOOKUP($A101,'Выгр Кат'!$A:$T,H$1,0)</f>
        <v>21043-3724030</v>
      </c>
      <c r="I101" s="39" t="s">
        <v>576</v>
      </c>
      <c r="J101" s="1" t="s">
        <v>526</v>
      </c>
      <c r="K101" s="47">
        <f>VLOOKUP(I101,Прайс!A:E,5,0)</f>
        <v>4500</v>
      </c>
      <c r="L101" s="7">
        <f>VLOOKUP(K101,Наценка!$A$1:$B$8,2,1)</f>
        <v>1.4</v>
      </c>
      <c r="M101" s="44">
        <f t="shared" si="22"/>
        <v>6300</v>
      </c>
      <c r="N101" s="62">
        <f t="shared" si="23"/>
        <v>6290</v>
      </c>
      <c r="O101" s="60">
        <f>VLOOKUP($A101,'Выгр Кат'!$A:$P,O$1,0)</f>
        <v>4500</v>
      </c>
      <c r="P101" s="60">
        <f>VLOOKUP($A101,'Выгр Кат'!$A:$P,P$1,0)</f>
        <v>6290</v>
      </c>
      <c r="Q101" s="73">
        <f t="shared" si="24"/>
        <v>0</v>
      </c>
      <c r="R101" s="73">
        <f t="shared" si="25"/>
        <v>0</v>
      </c>
      <c r="S101" s="97">
        <f t="shared" si="26"/>
        <v>6290</v>
      </c>
      <c r="T101" s="98">
        <f t="shared" si="27"/>
        <v>0.39777777777777779</v>
      </c>
      <c r="U101" s="98">
        <f t="shared" si="28"/>
        <v>-9.0310279077829778E-2</v>
      </c>
      <c r="V101" s="98">
        <f t="shared" si="29"/>
        <v>0.28200000000000003</v>
      </c>
      <c r="W101" s="106">
        <f t="shared" ref="W101:W114" si="35">MIN(AA101,AG101,AL101,AQ101)</f>
        <v>5769</v>
      </c>
      <c r="X101" s="102">
        <f>IFERROR(ROUND((VLOOKUP($A101,'Из ГУГЛа'!$B:$Z,X$1,0)+Z101)*Y101,),VLOOKUP($A101,'Из ГУГЛа'!$B:$Z,X$1,0))</f>
        <v>6390</v>
      </c>
      <c r="Y101" s="75">
        <v>1</v>
      </c>
      <c r="Z101" s="75">
        <v>0</v>
      </c>
      <c r="AA101" s="63">
        <v>6390</v>
      </c>
      <c r="AB101" s="63" t="s">
        <v>1215</v>
      </c>
      <c r="AC101" s="48" t="s">
        <v>1061</v>
      </c>
      <c r="AD101" s="102">
        <f>IFERROR(ROUND((VLOOKUP($A101,'Из ГУГЛа'!$B:$Z,AD$1,0)+AF101)*AE101,),VLOOKUP($A101,'Из ГУГЛа'!$B:$Z,AD$1,0))</f>
        <v>0</v>
      </c>
      <c r="AE101" s="100">
        <v>1</v>
      </c>
      <c r="AF101" s="100"/>
      <c r="AG101" s="103">
        <v>5769</v>
      </c>
      <c r="AH101" s="103" t="s">
        <v>2101</v>
      </c>
      <c r="AI101" s="102">
        <f>IFERROR(ROUND((VLOOKUP($A101,'Из ГУГЛа'!$B:$Z,AI$1,0)+AK101)*AJ101,),VLOOKUP($A101,'Из ГУГЛа'!$B:$Z,AI$1,0))</f>
        <v>0</v>
      </c>
      <c r="AJ101" s="100">
        <v>1</v>
      </c>
      <c r="AK101" s="100"/>
      <c r="AL101" s="103"/>
      <c r="AM101" s="103"/>
      <c r="AN101" s="102">
        <f>IFERROR(ROUND((VLOOKUP($A101,'Из ГУГЛа'!$B:$Z,AN$1,0)+AP101)*AO101,),VLOOKUP($A101,'Из ГУГЛа'!$B:$Z,AN$1,0))</f>
        <v>0</v>
      </c>
      <c r="AO101" s="100">
        <v>1</v>
      </c>
      <c r="AP101" s="100"/>
      <c r="AQ101" s="103"/>
      <c r="AR101" s="103"/>
    </row>
    <row r="102" spans="1:44" ht="31.5" thickTop="1" thickBot="1" x14ac:dyDescent="0.3">
      <c r="A102" s="57">
        <v>144957</v>
      </c>
      <c r="B102" s="57">
        <f>VLOOKUP($A102,'Выгр Кат'!$A:$T,B$1,0)</f>
        <v>13262</v>
      </c>
      <c r="C102" s="58" t="str">
        <f>VLOOKUP($A102,'Выгр Кат'!$A:$T,C$1,0)</f>
        <v>Жгут проводов салона и задних фонарей для ВАЗ 2104</v>
      </c>
      <c r="D102" s="57" t="str">
        <f>VLOOKUP($A102,'Выгр Кат'!$A:$T,D$1,0)</f>
        <v>Y</v>
      </c>
      <c r="E102" s="57" t="str">
        <f>VLOOKUP($A102,'Выгр Кат'!$A:$T,E$1,0)</f>
        <v>1</v>
      </c>
      <c r="F102" s="57">
        <f>VLOOKUP($A102,'Выгр Кат'!$A:$T,F$1,0)</f>
        <v>0</v>
      </c>
      <c r="G102" s="57" t="str">
        <f>VLOOKUP($A102,'Выгр Кат'!$A:$T,G$1,0)</f>
        <v>21043724210</v>
      </c>
      <c r="H102" s="57" t="str">
        <f>VLOOKUP($A102,'Выгр Кат'!$A:$T,H$1,0)</f>
        <v>2104-3724210</v>
      </c>
      <c r="I102" s="64" t="s">
        <v>578</v>
      </c>
      <c r="J102" s="1" t="s">
        <v>526</v>
      </c>
      <c r="K102" s="47">
        <f>VLOOKUP(I102,Прайс!A:E,5,0)</f>
        <v>3000</v>
      </c>
      <c r="L102" s="7">
        <f>VLOOKUP(K102,Наценка!$A$1:$B$8,2,1)</f>
        <v>1.4</v>
      </c>
      <c r="M102" s="44">
        <f t="shared" si="22"/>
        <v>4200</v>
      </c>
      <c r="N102" s="62">
        <f t="shared" si="23"/>
        <v>4190</v>
      </c>
      <c r="O102" s="60">
        <f>VLOOKUP($A102,'Выгр Кат'!$A:$P,O$1,0)</f>
        <v>3000</v>
      </c>
      <c r="P102" s="60">
        <f>VLOOKUP($A102,'Выгр Кат'!$A:$P,P$1,0)</f>
        <v>4190</v>
      </c>
      <c r="Q102" s="73">
        <f t="shared" si="24"/>
        <v>0</v>
      </c>
      <c r="R102" s="73">
        <f t="shared" si="25"/>
        <v>0</v>
      </c>
      <c r="S102" s="97">
        <f t="shared" si="26"/>
        <v>4190</v>
      </c>
      <c r="T102" s="98">
        <f t="shared" si="27"/>
        <v>0.39666666666666672</v>
      </c>
      <c r="U102" s="98">
        <f t="shared" si="28"/>
        <v>2.3310023310023312E-2</v>
      </c>
      <c r="V102" s="98">
        <f t="shared" si="29"/>
        <v>0.42999999999999994</v>
      </c>
      <c r="W102" s="106">
        <f t="shared" si="35"/>
        <v>4290</v>
      </c>
      <c r="X102" s="102">
        <f>IFERROR(ROUND((VLOOKUP($A102,'Из ГУГЛа'!$B:$Z,X$1,0)+Z102)*Y102,),VLOOKUP($A102,'Из ГУГЛа'!$B:$Z,X$1,0))</f>
        <v>4290</v>
      </c>
      <c r="Y102" s="75">
        <v>1</v>
      </c>
      <c r="Z102" s="75">
        <v>0</v>
      </c>
      <c r="AA102" s="63">
        <v>4290</v>
      </c>
      <c r="AB102" s="63" t="s">
        <v>1215</v>
      </c>
      <c r="AC102" s="48" t="s">
        <v>1062</v>
      </c>
      <c r="AD102" s="102">
        <f>IFERROR(ROUND((VLOOKUP($A102,'Из ГУГЛа'!$B:$Z,AD$1,0)+AF102)*AE102,),VLOOKUP($A102,'Из ГУГЛа'!$B:$Z,AD$1,0))</f>
        <v>0</v>
      </c>
      <c r="AE102" s="100">
        <v>1</v>
      </c>
      <c r="AF102" s="100"/>
      <c r="AG102" s="103">
        <v>4688</v>
      </c>
      <c r="AH102" s="103" t="s">
        <v>2102</v>
      </c>
      <c r="AI102" s="102">
        <f>IFERROR(ROUND((VLOOKUP($A102,'Из ГУГЛа'!$B:$Z,AI$1,0)+AK102)*AJ102,),VLOOKUP($A102,'Из ГУГЛа'!$B:$Z,AI$1,0))</f>
        <v>0</v>
      </c>
      <c r="AJ102" s="100">
        <v>1</v>
      </c>
      <c r="AK102" s="100"/>
      <c r="AL102" s="103"/>
      <c r="AM102" s="103"/>
      <c r="AN102" s="102">
        <f>IFERROR(ROUND((VLOOKUP($A102,'Из ГУГЛа'!$B:$Z,AN$1,0)+AP102)*AO102,),VLOOKUP($A102,'Из ГУГЛа'!$B:$Z,AN$1,0))</f>
        <v>0</v>
      </c>
      <c r="AO102" s="100">
        <v>1</v>
      </c>
      <c r="AP102" s="100"/>
      <c r="AQ102" s="103"/>
      <c r="AR102" s="103"/>
    </row>
    <row r="103" spans="1:44" ht="40.5" thickTop="1" thickBot="1" x14ac:dyDescent="0.3">
      <c r="A103" s="57">
        <v>144816</v>
      </c>
      <c r="B103" s="57">
        <f>VLOOKUP($A103,'Выгр Кат'!$A:$T,B$1,0)</f>
        <v>13235</v>
      </c>
      <c r="C103" s="58" t="str">
        <f>VLOOKUP($A103,'Выгр Кат'!$A:$T,C$1,0)</f>
        <v>Жгут панели приборов для ВАЗ 2104 инжекторный двигатель, с панелью 2107</v>
      </c>
      <c r="D103" s="57" t="str">
        <f>VLOOKUP($A103,'Выгр Кат'!$A:$T,D$1,0)</f>
        <v>Y</v>
      </c>
      <c r="E103" s="57" t="str">
        <f>VLOOKUP($A103,'Выгр Кат'!$A:$T,E$1,0)</f>
        <v>1</v>
      </c>
      <c r="F103" s="57">
        <f>VLOOKUP($A103,'Выгр Кат'!$A:$T,F$1,0)</f>
        <v>0</v>
      </c>
      <c r="G103" s="57" t="str">
        <f>VLOOKUP($A103,'Выгр Кат'!$A:$T,G$1,0)</f>
        <v>21043372403070</v>
      </c>
      <c r="H103" s="57" t="str">
        <f>VLOOKUP($A103,'Выгр Кат'!$A:$T,H$1,0)</f>
        <v>21043-3724030, 21043-3724030-80</v>
      </c>
      <c r="I103" s="39" t="s">
        <v>579</v>
      </c>
      <c r="J103" s="1" t="s">
        <v>526</v>
      </c>
      <c r="K103" s="47">
        <f>VLOOKUP(I103,Прайс!A:E,5,0)</f>
        <v>4500</v>
      </c>
      <c r="L103" s="7">
        <f>VLOOKUP(K103,Наценка!$A$1:$B$8,2,1)</f>
        <v>1.4</v>
      </c>
      <c r="M103" s="44">
        <f t="shared" si="22"/>
        <v>6300</v>
      </c>
      <c r="N103" s="62">
        <f t="shared" si="23"/>
        <v>6290</v>
      </c>
      <c r="O103" s="60">
        <f>VLOOKUP($A103,'Выгр Кат'!$A:$P,O$1,0)</f>
        <v>4500</v>
      </c>
      <c r="P103" s="60">
        <f>VLOOKUP($A103,'Выгр Кат'!$A:$P,P$1,0)</f>
        <v>6290</v>
      </c>
      <c r="Q103" s="73">
        <f t="shared" si="24"/>
        <v>0</v>
      </c>
      <c r="R103" s="73">
        <f t="shared" si="25"/>
        <v>0</v>
      </c>
      <c r="S103" s="97">
        <f t="shared" si="26"/>
        <v>6290</v>
      </c>
      <c r="T103" s="98">
        <f t="shared" si="27"/>
        <v>0.39777777777777779</v>
      </c>
      <c r="U103" s="98">
        <f t="shared" si="28"/>
        <v>-0.13272105168377454</v>
      </c>
      <c r="V103" s="98">
        <f t="shared" si="29"/>
        <v>0.23399999999999999</v>
      </c>
      <c r="W103" s="106">
        <f t="shared" si="35"/>
        <v>5553</v>
      </c>
      <c r="X103" s="102">
        <f>IFERROR(ROUND((VLOOKUP($A103,'Из ГУГЛа'!$B:$Z,X$1,0)+Z103)*Y103,),VLOOKUP($A103,'Из ГУГЛа'!$B:$Z,X$1,0))</f>
        <v>6390</v>
      </c>
      <c r="Y103" s="75">
        <v>1</v>
      </c>
      <c r="Z103" s="75">
        <v>0</v>
      </c>
      <c r="AA103" s="63">
        <v>6390</v>
      </c>
      <c r="AB103" s="63" t="s">
        <v>1215</v>
      </c>
      <c r="AC103" s="48" t="s">
        <v>1063</v>
      </c>
      <c r="AD103" s="102">
        <f>IFERROR(ROUND((VLOOKUP($A103,'Из ГУГЛа'!$B:$Z,AD$1,0)+AF103)*AE103,),VLOOKUP($A103,'Из ГУГЛа'!$B:$Z,AD$1,0))</f>
        <v>0</v>
      </c>
      <c r="AE103" s="100">
        <v>1</v>
      </c>
      <c r="AF103" s="100"/>
      <c r="AG103" s="103">
        <v>5553</v>
      </c>
      <c r="AH103" s="103" t="s">
        <v>2103</v>
      </c>
      <c r="AI103" s="102">
        <f>IFERROR(ROUND((VLOOKUP($A103,'Из ГУГЛа'!$B:$Z,AI$1,0)+AK103)*AJ103,),VLOOKUP($A103,'Из ГУГЛа'!$B:$Z,AI$1,0))</f>
        <v>0</v>
      </c>
      <c r="AJ103" s="100">
        <v>1</v>
      </c>
      <c r="AK103" s="100"/>
      <c r="AL103" s="103"/>
      <c r="AM103" s="103"/>
      <c r="AN103" s="102">
        <f>IFERROR(ROUND((VLOOKUP($A103,'Из ГУГЛа'!$B:$Z,AN$1,0)+AP103)*AO103,),VLOOKUP($A103,'Из ГУГЛа'!$B:$Z,AN$1,0))</f>
        <v>0</v>
      </c>
      <c r="AO103" s="100">
        <v>1</v>
      </c>
      <c r="AP103" s="100"/>
      <c r="AQ103" s="103"/>
      <c r="AR103" s="103"/>
    </row>
    <row r="104" spans="1:44" ht="53.25" thickTop="1" thickBot="1" x14ac:dyDescent="0.3">
      <c r="A104" s="57">
        <v>144805</v>
      </c>
      <c r="B104" s="57">
        <f>VLOOKUP($A104,'Выгр Кат'!$A:$T,B$1,0)</f>
        <v>13251</v>
      </c>
      <c r="C104" s="58" t="str">
        <f>VLOOKUP($A104,'Выгр Кат'!$A:$T,C$1,0)</f>
        <v>Жгут панели приборов для ВАЗ 2105 инжекторный двигатель</v>
      </c>
      <c r="D104" s="57" t="str">
        <f>VLOOKUP($A104,'Выгр Кат'!$A:$T,D$1,0)</f>
        <v>Y</v>
      </c>
      <c r="E104" s="57" t="str">
        <f>VLOOKUP($A104,'Выгр Кат'!$A:$T,E$1,0)</f>
        <v>1</v>
      </c>
      <c r="F104" s="57">
        <f>VLOOKUP($A104,'Выгр Кат'!$A:$T,F$1,0)</f>
        <v>0</v>
      </c>
      <c r="G104" s="57" t="str">
        <f>VLOOKUP($A104,'Выгр Кат'!$A:$T,G$1,0)</f>
        <v>210533724030</v>
      </c>
      <c r="H104" s="57" t="str">
        <f>VLOOKUP($A104,'Выгр Кат'!$A:$T,H$1,0)</f>
        <v>21053-3724030</v>
      </c>
      <c r="I104" s="39" t="s">
        <v>584</v>
      </c>
      <c r="J104" s="1" t="s">
        <v>526</v>
      </c>
      <c r="K104" s="47">
        <f>VLOOKUP(I104,Прайс!A:E,5,0)</f>
        <v>4500</v>
      </c>
      <c r="L104" s="7">
        <f>VLOOKUP(K104,Наценка!$A$1:$B$8,2,1)</f>
        <v>1.4</v>
      </c>
      <c r="M104" s="44">
        <f t="shared" si="22"/>
        <v>6300</v>
      </c>
      <c r="N104" s="62">
        <f t="shared" si="23"/>
        <v>6290</v>
      </c>
      <c r="O104" s="60">
        <f>VLOOKUP($A104,'Выгр Кат'!$A:$P,O$1,0)</f>
        <v>4500</v>
      </c>
      <c r="P104" s="60">
        <f>VLOOKUP($A104,'Выгр Кат'!$A:$P,P$1,0)</f>
        <v>6290</v>
      </c>
      <c r="Q104" s="73">
        <f t="shared" si="24"/>
        <v>0</v>
      </c>
      <c r="R104" s="73">
        <f t="shared" si="25"/>
        <v>0</v>
      </c>
      <c r="S104" s="97">
        <f t="shared" si="26"/>
        <v>6290</v>
      </c>
      <c r="T104" s="98">
        <f t="shared" si="27"/>
        <v>0.39777777777777779</v>
      </c>
      <c r="U104" s="98">
        <f t="shared" si="28"/>
        <v>-0.13272105168377454</v>
      </c>
      <c r="V104" s="98">
        <f t="shared" si="29"/>
        <v>0.23399999999999999</v>
      </c>
      <c r="W104" s="106">
        <f t="shared" si="35"/>
        <v>5553</v>
      </c>
      <c r="X104" s="102">
        <f>IFERROR(ROUND((VLOOKUP($A104,'Из ГУГЛа'!$B:$Z,X$1,0)+Z104)*Y104,),VLOOKUP($A104,'Из ГУГЛа'!$B:$Z,X$1,0))</f>
        <v>6390</v>
      </c>
      <c r="Y104" s="75">
        <v>1</v>
      </c>
      <c r="Z104" s="75">
        <v>0</v>
      </c>
      <c r="AA104" s="63">
        <v>6390</v>
      </c>
      <c r="AB104" s="63" t="s">
        <v>1215</v>
      </c>
      <c r="AC104" s="48" t="s">
        <v>787</v>
      </c>
      <c r="AD104" s="102">
        <f>IFERROR(ROUND((VLOOKUP($A104,'Из ГУГЛа'!$B:$Z,AD$1,0)+AF104)*AE104,),VLOOKUP($A104,'Из ГУГЛа'!$B:$Z,AD$1,0))</f>
        <v>0</v>
      </c>
      <c r="AE104" s="100">
        <v>1</v>
      </c>
      <c r="AF104" s="100"/>
      <c r="AG104" s="103">
        <v>5553</v>
      </c>
      <c r="AH104" s="103" t="s">
        <v>1913</v>
      </c>
      <c r="AI104" s="102">
        <f>IFERROR(ROUND((VLOOKUP($A104,'Из ГУГЛа'!$B:$Z,AI$1,0)+AK104)*AJ104,),VLOOKUP($A104,'Из ГУГЛа'!$B:$Z,AI$1,0))</f>
        <v>0</v>
      </c>
      <c r="AJ104" s="100">
        <v>1</v>
      </c>
      <c r="AK104" s="100"/>
      <c r="AL104" s="103"/>
      <c r="AM104" s="103"/>
      <c r="AN104" s="102">
        <f>IFERROR(ROUND((VLOOKUP($A104,'Из ГУГЛа'!$B:$Z,AN$1,0)+AP104)*AO104,),VLOOKUP($A104,'Из ГУГЛа'!$B:$Z,AN$1,0))</f>
        <v>0</v>
      </c>
      <c r="AO104" s="100">
        <v>1</v>
      </c>
      <c r="AP104" s="100"/>
      <c r="AQ104" s="103"/>
      <c r="AR104" s="103"/>
    </row>
    <row r="105" spans="1:44" ht="53.25" thickTop="1" thickBot="1" x14ac:dyDescent="0.3">
      <c r="A105" s="57">
        <v>144807</v>
      </c>
      <c r="B105" s="57">
        <f>VLOOKUP($A105,'Выгр Кат'!$A:$T,B$1,0)</f>
        <v>13261</v>
      </c>
      <c r="C105" s="58" t="str">
        <f>VLOOKUP($A105,'Выгр Кат'!$A:$T,C$1,0)</f>
        <v>Жгут панели приборов для ВАЗ 2107 инжекторный двигатель</v>
      </c>
      <c r="D105" s="57" t="str">
        <f>VLOOKUP($A105,'Выгр Кат'!$A:$T,D$1,0)</f>
        <v>Y</v>
      </c>
      <c r="E105" s="57" t="str">
        <f>VLOOKUP($A105,'Выгр Кат'!$A:$T,E$1,0)</f>
        <v>1ск6</v>
      </c>
      <c r="F105" s="57">
        <f>VLOOKUP($A105,'Выгр Кат'!$A:$T,F$1,0)</f>
        <v>0</v>
      </c>
      <c r="G105" s="57" t="str">
        <f>VLOOKUP($A105,'Выгр Кат'!$A:$T,G$1,0)</f>
        <v>21073372403030</v>
      </c>
      <c r="H105" s="57" t="str">
        <f>VLOOKUP($A105,'Выгр Кат'!$A:$T,H$1,0)</f>
        <v>21073-3724030</v>
      </c>
      <c r="I105" s="39" t="s">
        <v>591</v>
      </c>
      <c r="J105" s="1" t="s">
        <v>526</v>
      </c>
      <c r="K105" s="47">
        <f>VLOOKUP(I105,Прайс!A:E,5,0)</f>
        <v>4500</v>
      </c>
      <c r="L105" s="7">
        <f>VLOOKUP(K105,Наценка!$A$1:$B$8,2,1)</f>
        <v>1.4</v>
      </c>
      <c r="M105" s="44">
        <f t="shared" si="22"/>
        <v>6300</v>
      </c>
      <c r="N105" s="62">
        <f t="shared" si="23"/>
        <v>6290</v>
      </c>
      <c r="O105" s="60">
        <f>VLOOKUP($A105,'Выгр Кат'!$A:$P,O$1,0)</f>
        <v>4500</v>
      </c>
      <c r="P105" s="60">
        <f>VLOOKUP($A105,'Выгр Кат'!$A:$P,P$1,0)</f>
        <v>6290</v>
      </c>
      <c r="Q105" s="73">
        <f t="shared" si="24"/>
        <v>0</v>
      </c>
      <c r="R105" s="73">
        <f t="shared" si="25"/>
        <v>0</v>
      </c>
      <c r="S105" s="97">
        <f t="shared" si="26"/>
        <v>6290</v>
      </c>
      <c r="T105" s="98">
        <f t="shared" si="27"/>
        <v>0.39777777777777779</v>
      </c>
      <c r="U105" s="98">
        <f t="shared" si="28"/>
        <v>1.5649452269170579E-2</v>
      </c>
      <c r="V105" s="98">
        <f t="shared" si="29"/>
        <v>0.41999999999999993</v>
      </c>
      <c r="W105" s="106">
        <f t="shared" si="35"/>
        <v>6390</v>
      </c>
      <c r="X105" s="102">
        <f>IFERROR(ROUND((VLOOKUP($A105,'Из ГУГЛа'!$B:$Z,X$1,0)+Z105)*Y105,),VLOOKUP($A105,'Из ГУГЛа'!$B:$Z,X$1,0))</f>
        <v>6390</v>
      </c>
      <c r="Y105" s="75">
        <v>1</v>
      </c>
      <c r="Z105" s="75">
        <v>0</v>
      </c>
      <c r="AA105" s="63">
        <v>6390</v>
      </c>
      <c r="AB105" s="63" t="s">
        <v>1215</v>
      </c>
      <c r="AC105" s="48" t="s">
        <v>894</v>
      </c>
      <c r="AD105" s="102">
        <f>IFERROR(ROUND((VLOOKUP($A105,'Из ГУГЛа'!$B:$Z,AD$1,0)+AF105)*AE105,),VLOOKUP($A105,'Из ГУГЛа'!$B:$Z,AD$1,0))</f>
        <v>0</v>
      </c>
      <c r="AE105" s="100">
        <v>1</v>
      </c>
      <c r="AF105" s="100"/>
      <c r="AG105" s="103">
        <v>7421</v>
      </c>
      <c r="AH105" s="103" t="s">
        <v>2104</v>
      </c>
      <c r="AI105" s="102">
        <f>IFERROR(ROUND((VLOOKUP($A105,'Из ГУГЛа'!$B:$Z,AI$1,0)+AK105)*AJ105,),VLOOKUP($A105,'Из ГУГЛа'!$B:$Z,AI$1,0))</f>
        <v>0</v>
      </c>
      <c r="AJ105" s="100">
        <v>1</v>
      </c>
      <c r="AK105" s="100"/>
      <c r="AL105" s="103"/>
      <c r="AM105" s="103"/>
      <c r="AN105" s="102">
        <f>IFERROR(ROUND((VLOOKUP($A105,'Из ГУГЛа'!$B:$Z,AN$1,0)+AP105)*AO105,),VLOOKUP($A105,'Из ГУГЛа'!$B:$Z,AN$1,0))</f>
        <v>0</v>
      </c>
      <c r="AO105" s="100">
        <v>1</v>
      </c>
      <c r="AP105" s="100"/>
      <c r="AQ105" s="103"/>
      <c r="AR105" s="103"/>
    </row>
    <row r="106" spans="1:44" ht="53.25" thickTop="1" thickBot="1" x14ac:dyDescent="0.3">
      <c r="A106" s="57">
        <v>144904</v>
      </c>
      <c r="B106" s="57">
        <f>VLOOKUP($A106,'Выгр Кат'!$A:$T,B$1,0)</f>
        <v>13279</v>
      </c>
      <c r="C106" s="58" t="str">
        <f>VLOOKUP($A106,'Выгр Кат'!$A:$T,C$1,0)</f>
        <v>Жгут проводов панели приборов 21082 для ВАЗ 2108-21099 с высокой панелью</v>
      </c>
      <c r="D106" s="57" t="str">
        <f>VLOOKUP($A106,'Выгр Кат'!$A:$T,D$1,0)</f>
        <v>Y</v>
      </c>
      <c r="E106" s="57" t="str">
        <f>VLOOKUP($A106,'Выгр Кат'!$A:$T,E$1,0)</f>
        <v>1</v>
      </c>
      <c r="F106" s="57">
        <f>VLOOKUP($A106,'Выгр Кат'!$A:$T,F$1,0)</f>
        <v>0</v>
      </c>
      <c r="G106" s="57" t="str">
        <f>VLOOKUP($A106,'Выгр Кат'!$A:$T,G$1,0)</f>
        <v>210823724030</v>
      </c>
      <c r="H106" s="57" t="str">
        <f>VLOOKUP($A106,'Выгр Кат'!$A:$T,H$1,0)</f>
        <v>21082-3724030</v>
      </c>
      <c r="I106" s="39" t="s">
        <v>595</v>
      </c>
      <c r="J106" s="1" t="s">
        <v>526</v>
      </c>
      <c r="K106" s="47">
        <f>VLOOKUP(I106,Прайс!A:E,5,0)</f>
        <v>4000</v>
      </c>
      <c r="L106" s="7">
        <f>VLOOKUP(K106,Наценка!$A$1:$B$8,2,1)</f>
        <v>1.4</v>
      </c>
      <c r="M106" s="44">
        <f t="shared" si="22"/>
        <v>5600</v>
      </c>
      <c r="N106" s="62">
        <f t="shared" si="23"/>
        <v>5590</v>
      </c>
      <c r="O106" s="60">
        <f>VLOOKUP($A106,'Выгр Кат'!$A:$P,O$1,0)</f>
        <v>4000</v>
      </c>
      <c r="P106" s="60">
        <f>VLOOKUP($A106,'Выгр Кат'!$A:$P,P$1,0)</f>
        <v>5590</v>
      </c>
      <c r="Q106" s="73">
        <f t="shared" si="24"/>
        <v>0</v>
      </c>
      <c r="R106" s="73">
        <f t="shared" si="25"/>
        <v>0</v>
      </c>
      <c r="S106" s="97">
        <f t="shared" si="26"/>
        <v>5590</v>
      </c>
      <c r="T106" s="98">
        <f t="shared" si="27"/>
        <v>0.39749999999999996</v>
      </c>
      <c r="U106" s="98">
        <f t="shared" si="28"/>
        <v>-0.1256544502617801</v>
      </c>
      <c r="V106" s="98">
        <f t="shared" si="29"/>
        <v>0.24150000000000005</v>
      </c>
      <c r="W106" s="106">
        <f t="shared" si="35"/>
        <v>4966</v>
      </c>
      <c r="X106" s="102">
        <f>IFERROR(ROUND((VLOOKUP($A106,'Из ГУГЛа'!$B:$Z,X$1,0)+Z106)*Y106,),VLOOKUP($A106,'Из ГУГЛа'!$B:$Z,X$1,0))</f>
        <v>5690</v>
      </c>
      <c r="Y106" s="75">
        <v>1</v>
      </c>
      <c r="Z106" s="75">
        <v>0</v>
      </c>
      <c r="AA106" s="63">
        <v>5690</v>
      </c>
      <c r="AB106" s="63" t="s">
        <v>1215</v>
      </c>
      <c r="AC106" s="48" t="s">
        <v>1064</v>
      </c>
      <c r="AD106" s="102">
        <f>IFERROR(ROUND((VLOOKUP($A106,'Из ГУГЛа'!$B:$Z,AD$1,0)+AF106)*AE106,),VLOOKUP($A106,'Из ГУГЛа'!$B:$Z,AD$1,0))</f>
        <v>0</v>
      </c>
      <c r="AE106" s="100">
        <v>1</v>
      </c>
      <c r="AF106" s="100"/>
      <c r="AG106" s="103">
        <v>4966</v>
      </c>
      <c r="AH106" s="103" t="s">
        <v>2105</v>
      </c>
      <c r="AI106" s="102">
        <f>IFERROR(ROUND((VLOOKUP($A106,'Из ГУГЛа'!$B:$Z,AI$1,0)+AK106)*AJ106,),VLOOKUP($A106,'Из ГУГЛа'!$B:$Z,AI$1,0))</f>
        <v>0</v>
      </c>
      <c r="AJ106" s="100">
        <v>1</v>
      </c>
      <c r="AK106" s="100"/>
      <c r="AL106" s="103"/>
      <c r="AM106" s="103"/>
      <c r="AN106" s="102">
        <f>IFERROR(ROUND((VLOOKUP($A106,'Из ГУГЛа'!$B:$Z,AN$1,0)+AP106)*AO106,),VLOOKUP($A106,'Из ГУГЛа'!$B:$Z,AN$1,0))</f>
        <v>0</v>
      </c>
      <c r="AO106" s="100">
        <v>1</v>
      </c>
      <c r="AP106" s="100"/>
      <c r="AQ106" s="103"/>
      <c r="AR106" s="103"/>
    </row>
    <row r="107" spans="1:44" ht="46.5" thickTop="1" thickBot="1" x14ac:dyDescent="0.3">
      <c r="A107" s="57">
        <v>194471</v>
      </c>
      <c r="B107" s="57">
        <f>VLOOKUP($A107,'Выгр Кат'!$A:$T,B$1,0)</f>
        <v>4011</v>
      </c>
      <c r="C107" s="58" t="str">
        <f>VLOOKUP($A107,'Выгр Кат'!$A:$T,C$1,0)</f>
        <v>Подпанельный жгут проводов для ВАЗ 2108-21099, 2113-2115 с европанелью и комбинацией приборов старого образца</v>
      </c>
      <c r="D107" s="57" t="str">
        <f>VLOOKUP($A107,'Выгр Кат'!$A:$T,D$1,0)</f>
        <v>Y</v>
      </c>
      <c r="E107" s="57" t="str">
        <f>VLOOKUP($A107,'Выгр Кат'!$A:$T,E$1,0)</f>
        <v>1</v>
      </c>
      <c r="F107" s="57">
        <f>VLOOKUP($A107,'Выгр Кат'!$A:$T,F$1,0)</f>
        <v>0</v>
      </c>
      <c r="G107" s="57" t="str">
        <f>VLOOKUP($A107,'Выгр Кат'!$A:$T,G$1,0)</f>
        <v>21145372403010</v>
      </c>
      <c r="H107" s="57" t="str">
        <f>VLOOKUP($A107,'Выгр Кат'!$A:$T,H$1,0)</f>
        <v>21145-3724030</v>
      </c>
      <c r="I107" s="39" t="s">
        <v>629</v>
      </c>
      <c r="J107" s="1" t="s">
        <v>526</v>
      </c>
      <c r="K107" s="47">
        <f>VLOOKUP(I107,Прайс!A:E,5,0)</f>
        <v>4000</v>
      </c>
      <c r="L107" s="7">
        <f>VLOOKUP(K107,Наценка!$A$1:$B$8,2,1)</f>
        <v>1.4</v>
      </c>
      <c r="M107" s="44">
        <f t="shared" si="22"/>
        <v>5600</v>
      </c>
      <c r="N107" s="62">
        <f t="shared" si="23"/>
        <v>5590</v>
      </c>
      <c r="O107" s="60">
        <f>VLOOKUP($A107,'Выгр Кат'!$A:$P,O$1,0)</f>
        <v>4000</v>
      </c>
      <c r="P107" s="60">
        <f>VLOOKUP($A107,'Выгр Кат'!$A:$P,P$1,0)</f>
        <v>5590</v>
      </c>
      <c r="Q107" s="73">
        <f t="shared" si="24"/>
        <v>0</v>
      </c>
      <c r="R107" s="73">
        <f t="shared" si="25"/>
        <v>0</v>
      </c>
      <c r="S107" s="97">
        <f t="shared" si="26"/>
        <v>5590</v>
      </c>
      <c r="T107" s="98">
        <f t="shared" si="27"/>
        <v>0.39749999999999996</v>
      </c>
      <c r="U107" s="98">
        <f t="shared" si="28"/>
        <v>-9.0093603744149764E-2</v>
      </c>
      <c r="V107" s="98">
        <f t="shared" si="29"/>
        <v>0.28200000000000003</v>
      </c>
      <c r="W107" s="106">
        <f t="shared" si="35"/>
        <v>5128</v>
      </c>
      <c r="X107" s="102">
        <f>IFERROR(ROUND((VLOOKUP($A107,'Из ГУГЛа'!$B:$Z,X$1,0)+Z107)*Y107,),VLOOKUP($A107,'Из ГУГЛа'!$B:$Z,X$1,0))</f>
        <v>5690</v>
      </c>
      <c r="Y107" s="75">
        <v>1</v>
      </c>
      <c r="Z107" s="75">
        <v>0</v>
      </c>
      <c r="AA107" s="85">
        <v>5690</v>
      </c>
      <c r="AB107" s="63" t="s">
        <v>1215</v>
      </c>
      <c r="AC107" s="48" t="s">
        <v>788</v>
      </c>
      <c r="AD107" s="102">
        <f>IFERROR(ROUND((VLOOKUP($A107,'Из ГУГЛа'!$B:$Z,AD$1,0)+AF107)*AE107,),VLOOKUP($A107,'Из ГУГЛа'!$B:$Z,AD$1,0))</f>
        <v>0</v>
      </c>
      <c r="AE107" s="100">
        <v>1</v>
      </c>
      <c r="AF107" s="100"/>
      <c r="AG107" s="103">
        <v>5128</v>
      </c>
      <c r="AH107" s="103" t="s">
        <v>2106</v>
      </c>
      <c r="AI107" s="102">
        <f>IFERROR(ROUND((VLOOKUP($A107,'Из ГУГЛа'!$B:$Z,AI$1,0)+AK107)*AJ107,),VLOOKUP($A107,'Из ГУГЛа'!$B:$Z,AI$1,0))</f>
        <v>0</v>
      </c>
      <c r="AJ107" s="100">
        <v>1</v>
      </c>
      <c r="AK107" s="100"/>
      <c r="AL107" s="103"/>
      <c r="AM107" s="103"/>
      <c r="AN107" s="102">
        <f>IFERROR(ROUND((VLOOKUP($A107,'Из ГУГЛа'!$B:$Z,AN$1,0)+AP107)*AO107,),VLOOKUP($A107,'Из ГУГЛа'!$B:$Z,AN$1,0))</f>
        <v>0</v>
      </c>
      <c r="AO107" s="100">
        <v>1</v>
      </c>
      <c r="AP107" s="100"/>
      <c r="AQ107" s="103"/>
      <c r="AR107" s="103"/>
    </row>
    <row r="108" spans="1:44" ht="66" thickTop="1" thickBot="1" x14ac:dyDescent="0.3">
      <c r="A108" s="57">
        <v>144907</v>
      </c>
      <c r="B108" s="57">
        <f>VLOOKUP($A108,'Выгр Кат'!$A:$T,B$1,0)</f>
        <v>13281</v>
      </c>
      <c r="C108" s="58" t="str">
        <f>VLOOKUP($A108,'Выгр Кат'!$A:$T,C$1,0)</f>
        <v>Жгут проводов панели приборов для ВАЗ 2108-21099, 2113-2115 с европанелью и Е-газ</v>
      </c>
      <c r="D108" s="57" t="str">
        <f>VLOOKUP($A108,'Выгр Кат'!$A:$T,D$1,0)</f>
        <v>Y</v>
      </c>
      <c r="E108" s="57" t="str">
        <f>VLOOKUP($A108,'Выгр Кат'!$A:$T,E$1,0)</f>
        <v>1</v>
      </c>
      <c r="F108" s="57">
        <f>VLOOKUP($A108,'Выгр Кат'!$A:$T,F$1,0)</f>
        <v>0</v>
      </c>
      <c r="G108" s="57" t="str">
        <f>VLOOKUP($A108,'Выгр Кат'!$A:$T,G$1,0)</f>
        <v>21154372403010</v>
      </c>
      <c r="H108" s="57" t="str">
        <f>VLOOKUP($A108,'Выгр Кат'!$A:$T,H$1,0)</f>
        <v>21154-3724030</v>
      </c>
      <c r="I108" s="39" t="s">
        <v>628</v>
      </c>
      <c r="J108" s="1" t="s">
        <v>526</v>
      </c>
      <c r="K108" s="47">
        <f>VLOOKUP(I108,Прайс!A:E,5,0)</f>
        <v>4000</v>
      </c>
      <c r="L108" s="7">
        <f>VLOOKUP(K108,Наценка!$A$1:$B$8,2,1)</f>
        <v>1.4</v>
      </c>
      <c r="M108" s="44">
        <f t="shared" si="22"/>
        <v>5600</v>
      </c>
      <c r="N108" s="62">
        <f t="shared" si="23"/>
        <v>5590</v>
      </c>
      <c r="O108" s="60">
        <f>VLOOKUP($A108,'Выгр Кат'!$A:$P,O$1,0)</f>
        <v>4000</v>
      </c>
      <c r="P108" s="60">
        <f>VLOOKUP($A108,'Выгр Кат'!$A:$P,P$1,0)</f>
        <v>5590</v>
      </c>
      <c r="Q108" s="73">
        <f t="shared" si="24"/>
        <v>0</v>
      </c>
      <c r="R108" s="73">
        <f t="shared" si="25"/>
        <v>0</v>
      </c>
      <c r="S108" s="97">
        <f t="shared" si="26"/>
        <v>5590</v>
      </c>
      <c r="T108" s="98">
        <f t="shared" si="27"/>
        <v>0.39749999999999996</v>
      </c>
      <c r="U108" s="98">
        <f t="shared" si="28"/>
        <v>-1.9886881955847473E-2</v>
      </c>
      <c r="V108" s="98">
        <f t="shared" si="29"/>
        <v>0.37024999999999997</v>
      </c>
      <c r="W108" s="106">
        <f t="shared" si="35"/>
        <v>5481</v>
      </c>
      <c r="X108" s="102">
        <f>IFERROR(ROUND((VLOOKUP($A108,'Из ГУГЛа'!$B:$Z,X$1,0)+Z108)*Y108,),VLOOKUP($A108,'Из ГУГЛа'!$B:$Z,X$1,0))</f>
        <v>5690</v>
      </c>
      <c r="Y108" s="75">
        <v>1</v>
      </c>
      <c r="Z108" s="75">
        <v>0</v>
      </c>
      <c r="AA108" s="85">
        <v>5690</v>
      </c>
      <c r="AB108" s="63" t="s">
        <v>1215</v>
      </c>
      <c r="AC108" s="48" t="s">
        <v>789</v>
      </c>
      <c r="AD108" s="102">
        <f>IFERROR(ROUND((VLOOKUP($A108,'Из ГУГЛа'!$B:$Z,AD$1,0)+AF108)*AE108,),VLOOKUP($A108,'Из ГУГЛа'!$B:$Z,AD$1,0))</f>
        <v>0</v>
      </c>
      <c r="AE108" s="100">
        <v>1</v>
      </c>
      <c r="AF108" s="100"/>
      <c r="AG108" s="103">
        <v>5481</v>
      </c>
      <c r="AH108" s="103" t="s">
        <v>2087</v>
      </c>
      <c r="AI108" s="102">
        <f>IFERROR(ROUND((VLOOKUP($A108,'Из ГУГЛа'!$B:$Z,AI$1,0)+AK108)*AJ108,),VLOOKUP($A108,'Из ГУГЛа'!$B:$Z,AI$1,0))</f>
        <v>0</v>
      </c>
      <c r="AJ108" s="100">
        <v>1</v>
      </c>
      <c r="AK108" s="100"/>
      <c r="AL108" s="103"/>
      <c r="AM108" s="103"/>
      <c r="AN108" s="102">
        <f>IFERROR(ROUND((VLOOKUP($A108,'Из ГУГЛа'!$B:$Z,AN$1,0)+AP108)*AO108,),VLOOKUP($A108,'Из ГУГЛа'!$B:$Z,AN$1,0))</f>
        <v>0</v>
      </c>
      <c r="AO108" s="100">
        <v>1</v>
      </c>
      <c r="AP108" s="100"/>
      <c r="AQ108" s="103"/>
      <c r="AR108" s="103"/>
    </row>
    <row r="109" spans="1:44" ht="46.5" thickTop="1" thickBot="1" x14ac:dyDescent="0.3">
      <c r="A109" s="57">
        <v>144985</v>
      </c>
      <c r="B109" s="57">
        <f>VLOOKUP($A109,'Выгр Кат'!$A:$T,B$1,0)</f>
        <v>13309</v>
      </c>
      <c r="C109" s="58" t="str">
        <f>VLOOKUP($A109,'Выгр Кат'!$A:$T,C$1,0)</f>
        <v>Жгут проводов фар и генератора для ВАЗ 2110-2112 инжекторный двигатель 1.6 л, с европанелью и ПТФ</v>
      </c>
      <c r="D109" s="57" t="str">
        <f>VLOOKUP($A109,'Выгр Кат'!$A:$T,D$1,0)</f>
        <v>Y</v>
      </c>
      <c r="E109" s="57" t="str">
        <f>VLOOKUP($A109,'Выгр Кат'!$A:$T,E$1,0)</f>
        <v>1</v>
      </c>
      <c r="F109" s="57">
        <f>VLOOKUP($A109,'Выгр Кат'!$A:$T,F$1,0)</f>
        <v>0</v>
      </c>
      <c r="G109" s="57" t="str">
        <f>VLOOKUP($A109,'Выгр Кат'!$A:$T,G$1,0)</f>
        <v>2112372401010</v>
      </c>
      <c r="H109" s="57" t="str">
        <f>VLOOKUP($A109,'Выгр Кат'!$A:$T,H$1,0)</f>
        <v>2112-3724010</v>
      </c>
      <c r="I109" s="39" t="s">
        <v>623</v>
      </c>
      <c r="J109" s="1" t="s">
        <v>526</v>
      </c>
      <c r="K109" s="47">
        <f>VLOOKUP(I109,Прайс!A:E,5,0)</f>
        <v>4000</v>
      </c>
      <c r="L109" s="7">
        <f>VLOOKUP(K109,Наценка!$A$1:$B$8,2,1)</f>
        <v>1.4</v>
      </c>
      <c r="M109" s="44">
        <f t="shared" si="22"/>
        <v>5600</v>
      </c>
      <c r="N109" s="62">
        <f t="shared" si="23"/>
        <v>5590</v>
      </c>
      <c r="O109" s="60">
        <f>VLOOKUP($A109,'Выгр Кат'!$A:$P,O$1,0)</f>
        <v>4000</v>
      </c>
      <c r="P109" s="60">
        <f>VLOOKUP($A109,'Выгр Кат'!$A:$P,P$1,0)</f>
        <v>5590</v>
      </c>
      <c r="Q109" s="73">
        <f t="shared" si="24"/>
        <v>0</v>
      </c>
      <c r="R109" s="73">
        <f t="shared" si="25"/>
        <v>0</v>
      </c>
      <c r="S109" s="97">
        <f t="shared" si="26"/>
        <v>5590</v>
      </c>
      <c r="T109" s="98">
        <f t="shared" si="27"/>
        <v>0.39749999999999996</v>
      </c>
      <c r="U109" s="98">
        <f t="shared" si="28"/>
        <v>-0.15854922279792746</v>
      </c>
      <c r="V109" s="98">
        <f t="shared" si="29"/>
        <v>0.20625000000000004</v>
      </c>
      <c r="W109" s="106">
        <f t="shared" si="35"/>
        <v>4825</v>
      </c>
      <c r="X109" s="102">
        <f>IFERROR(ROUND((VLOOKUP($A109,'Из ГУГЛа'!$B:$Z,X$1,0)+Z109)*Y109,),VLOOKUP($A109,'Из ГУГЛа'!$B:$Z,X$1,0))</f>
        <v>5690</v>
      </c>
      <c r="Y109" s="75">
        <v>1</v>
      </c>
      <c r="Z109" s="75">
        <v>0</v>
      </c>
      <c r="AA109" s="63">
        <v>5690</v>
      </c>
      <c r="AB109" s="63" t="s">
        <v>1215</v>
      </c>
      <c r="AC109" s="48" t="s">
        <v>1065</v>
      </c>
      <c r="AD109" s="102">
        <f>IFERROR(ROUND((VLOOKUP($A109,'Из ГУГЛа'!$B:$Z,AD$1,0)+AF109)*AE109,),VLOOKUP($A109,'Из ГУГЛа'!$B:$Z,AD$1,0))</f>
        <v>0</v>
      </c>
      <c r="AE109" s="100">
        <v>1</v>
      </c>
      <c r="AF109" s="100"/>
      <c r="AG109" s="103">
        <v>4825</v>
      </c>
      <c r="AH109" s="103" t="s">
        <v>2086</v>
      </c>
      <c r="AI109" s="102">
        <f>IFERROR(ROUND((VLOOKUP($A109,'Из ГУГЛа'!$B:$Z,AI$1,0)+AK109)*AJ109,),VLOOKUP($A109,'Из ГУГЛа'!$B:$Z,AI$1,0))</f>
        <v>0</v>
      </c>
      <c r="AJ109" s="100">
        <v>1</v>
      </c>
      <c r="AK109" s="100"/>
      <c r="AL109" s="103"/>
      <c r="AM109" s="103"/>
      <c r="AN109" s="102">
        <f>IFERROR(ROUND((VLOOKUP($A109,'Из ГУГЛа'!$B:$Z,AN$1,0)+AP109)*AO109,),VLOOKUP($A109,'Из ГУГЛа'!$B:$Z,AN$1,0))</f>
        <v>0</v>
      </c>
      <c r="AO109" s="100">
        <v>1</v>
      </c>
      <c r="AP109" s="100"/>
      <c r="AQ109" s="103"/>
      <c r="AR109" s="103"/>
    </row>
    <row r="110" spans="1:44" ht="31.5" thickTop="1" thickBot="1" x14ac:dyDescent="0.3">
      <c r="A110" s="57">
        <v>144852</v>
      </c>
      <c r="B110" s="57">
        <f>VLOOKUP($A110,'Выгр Кат'!$A:$T,B$1,0)</f>
        <v>13430</v>
      </c>
      <c r="C110" s="58" t="str">
        <f>VLOOKUP($A110,'Выгр Кат'!$A:$T,C$1,0)</f>
        <v>Жгут проводов задний для Лада Нива 4х4 3-х дверная, инжекторный двигатель</v>
      </c>
      <c r="D110" s="57" t="str">
        <f>VLOOKUP($A110,'Выгр Кат'!$A:$T,D$1,0)</f>
        <v>Y</v>
      </c>
      <c r="E110" s="57" t="str">
        <f>VLOOKUP($A110,'Выгр Кат'!$A:$T,E$1,0)</f>
        <v>1</v>
      </c>
      <c r="F110" s="57">
        <f>VLOOKUP($A110,'Выгр Кат'!$A:$T,F$1,0)</f>
        <v>0</v>
      </c>
      <c r="G110" s="57" t="str">
        <f>VLOOKUP($A110,'Выгр Кат'!$A:$T,G$1,0)</f>
        <v>212143724210</v>
      </c>
      <c r="H110" s="57" t="str">
        <f>VLOOKUP($A110,'Выгр Кат'!$A:$T,H$1,0)</f>
        <v>21214-3724210</v>
      </c>
      <c r="I110" s="39" t="s">
        <v>675</v>
      </c>
      <c r="J110" s="1" t="s">
        <v>526</v>
      </c>
      <c r="K110" s="47">
        <f>VLOOKUP(I110,Прайс!A:E,5,0)</f>
        <v>3500</v>
      </c>
      <c r="L110" s="7">
        <f>VLOOKUP(K110,Наценка!$A$1:$B$8,2,1)</f>
        <v>1.4</v>
      </c>
      <c r="M110" s="44">
        <f t="shared" si="22"/>
        <v>4900</v>
      </c>
      <c r="N110" s="62">
        <f t="shared" si="23"/>
        <v>4890</v>
      </c>
      <c r="O110" s="60">
        <f>VLOOKUP($A110,'Выгр Кат'!$A:$P,O$1,0)</f>
        <v>3500</v>
      </c>
      <c r="P110" s="60">
        <f>VLOOKUP($A110,'Выгр Кат'!$A:$P,P$1,0)</f>
        <v>4890</v>
      </c>
      <c r="Q110" s="73">
        <f t="shared" si="24"/>
        <v>0</v>
      </c>
      <c r="R110" s="73">
        <f t="shared" si="25"/>
        <v>0</v>
      </c>
      <c r="S110" s="97">
        <f t="shared" si="26"/>
        <v>4890</v>
      </c>
      <c r="T110" s="98">
        <f t="shared" si="27"/>
        <v>0.39714285714285724</v>
      </c>
      <c r="U110" s="98">
        <f t="shared" si="28"/>
        <v>-0.13011324243124567</v>
      </c>
      <c r="V110" s="98">
        <f t="shared" si="29"/>
        <v>0.23628571428571421</v>
      </c>
      <c r="W110" s="106">
        <f t="shared" si="35"/>
        <v>4327</v>
      </c>
      <c r="X110" s="102">
        <f>IFERROR(ROUND((VLOOKUP($A110,'Из ГУГЛа'!$B:$Z,X$1,0)+Z110)*Y110,),VLOOKUP($A110,'Из ГУГЛа'!$B:$Z,X$1,0))</f>
        <v>4990</v>
      </c>
      <c r="Y110" s="75">
        <v>1</v>
      </c>
      <c r="Z110" s="75">
        <v>0</v>
      </c>
      <c r="AA110" s="63">
        <v>4990</v>
      </c>
      <c r="AB110" s="63" t="s">
        <v>1215</v>
      </c>
      <c r="AC110" s="48" t="s">
        <v>893</v>
      </c>
      <c r="AD110" s="102">
        <f>IFERROR(ROUND((VLOOKUP($A110,'Из ГУГЛа'!$B:$Z,AD$1,0)+AF110)*AE110,),VLOOKUP($A110,'Из ГУГЛа'!$B:$Z,AD$1,0))</f>
        <v>0</v>
      </c>
      <c r="AE110" s="100">
        <v>1</v>
      </c>
      <c r="AF110" s="100"/>
      <c r="AG110" s="103">
        <v>4327</v>
      </c>
      <c r="AH110" s="103" t="s">
        <v>2085</v>
      </c>
      <c r="AI110" s="102">
        <f>IFERROR(ROUND((VLOOKUP($A110,'Из ГУГЛа'!$B:$Z,AI$1,0)+AK110)*AJ110,),VLOOKUP($A110,'Из ГУГЛа'!$B:$Z,AI$1,0))</f>
        <v>0</v>
      </c>
      <c r="AJ110" s="100">
        <v>1</v>
      </c>
      <c r="AK110" s="100"/>
      <c r="AL110" s="103"/>
      <c r="AM110" s="103"/>
      <c r="AN110" s="102">
        <f>IFERROR(ROUND((VLOOKUP($A110,'Из ГУГЛа'!$B:$Z,AN$1,0)+AP110)*AO110,),VLOOKUP($A110,'Из ГУГЛа'!$B:$Z,AN$1,0))</f>
        <v>0</v>
      </c>
      <c r="AO110" s="100">
        <v>1</v>
      </c>
      <c r="AP110" s="100"/>
      <c r="AQ110" s="103"/>
      <c r="AR110" s="103"/>
    </row>
    <row r="111" spans="1:44" ht="40.5" thickTop="1" thickBot="1" x14ac:dyDescent="0.3">
      <c r="A111" s="57">
        <v>144844</v>
      </c>
      <c r="B111" s="57">
        <f>VLOOKUP($A111,'Выгр Кат'!$A:$T,B$1,0)</f>
        <v>13295</v>
      </c>
      <c r="C111" s="58" t="str">
        <f>VLOOKUP($A111,'Выгр Кат'!$A:$T,C$1,0)</f>
        <v>Жгут проводов задний для ВАЗ 2110</v>
      </c>
      <c r="D111" s="57" t="str">
        <f>VLOOKUP($A111,'Выгр Кат'!$A:$T,D$1,0)</f>
        <v>Y</v>
      </c>
      <c r="E111" s="57" t="str">
        <f>VLOOKUP($A111,'Выгр Кат'!$A:$T,E$1,0)</f>
        <v>1</v>
      </c>
      <c r="F111" s="57">
        <f>VLOOKUP($A111,'Выгр Кат'!$A:$T,F$1,0)</f>
        <v>0</v>
      </c>
      <c r="G111" s="57" t="str">
        <f>VLOOKUP($A111,'Выгр Кат'!$A:$T,G$1,0)</f>
        <v>2110372421003</v>
      </c>
      <c r="H111" s="57" t="str">
        <f>VLOOKUP($A111,'Выгр Кат'!$A:$T,H$1,0)</f>
        <v>2110-3724210</v>
      </c>
      <c r="I111" s="39" t="s">
        <v>612</v>
      </c>
      <c r="J111" s="1" t="s">
        <v>526</v>
      </c>
      <c r="K111" s="47">
        <f>VLOOKUP(I111,Прайс!A:E,5,0)</f>
        <v>3000</v>
      </c>
      <c r="L111" s="7">
        <f>VLOOKUP(K111,Наценка!$A$1:$B$8,2,1)</f>
        <v>1.4</v>
      </c>
      <c r="M111" s="44">
        <f t="shared" si="22"/>
        <v>4200</v>
      </c>
      <c r="N111" s="62">
        <f t="shared" si="23"/>
        <v>4190</v>
      </c>
      <c r="O111" s="60">
        <f>VLOOKUP($A111,'Выгр Кат'!$A:$P,O$1,0)</f>
        <v>3000</v>
      </c>
      <c r="P111" s="60">
        <f>VLOOKUP($A111,'Выгр Кат'!$A:$P,P$1,0)</f>
        <v>4190</v>
      </c>
      <c r="Q111" s="73">
        <f t="shared" si="24"/>
        <v>0</v>
      </c>
      <c r="R111" s="73">
        <f t="shared" si="25"/>
        <v>0</v>
      </c>
      <c r="S111" s="97">
        <f t="shared" si="26"/>
        <v>4190</v>
      </c>
      <c r="T111" s="98">
        <f t="shared" si="27"/>
        <v>0.39666666666666672</v>
      </c>
      <c r="U111" s="98">
        <f t="shared" si="28"/>
        <v>1.5276145710928319E-2</v>
      </c>
      <c r="V111" s="98">
        <f t="shared" si="29"/>
        <v>0.41833333333333322</v>
      </c>
      <c r="W111" s="106">
        <f t="shared" si="35"/>
        <v>4255</v>
      </c>
      <c r="X111" s="102">
        <f>IFERROR(ROUND((VLOOKUP($A111,'Из ГУГЛа'!$B:$Z,X$1,0)+Z111)*Y111,),VLOOKUP($A111,'Из ГУГЛа'!$B:$Z,X$1,0))</f>
        <v>4290</v>
      </c>
      <c r="Y111" s="75">
        <v>1</v>
      </c>
      <c r="Z111" s="75">
        <v>0</v>
      </c>
      <c r="AA111" s="63">
        <v>4290</v>
      </c>
      <c r="AB111" s="63" t="s">
        <v>1215</v>
      </c>
      <c r="AC111" s="48" t="s">
        <v>1066</v>
      </c>
      <c r="AD111" s="102">
        <f>IFERROR(ROUND((VLOOKUP($A111,'Из ГУГЛа'!$B:$Z,AD$1,0)+AF111)*AE111,),VLOOKUP($A111,'Из ГУГЛа'!$B:$Z,AD$1,0))</f>
        <v>0</v>
      </c>
      <c r="AE111" s="100">
        <v>1</v>
      </c>
      <c r="AF111" s="100"/>
      <c r="AG111" s="103">
        <v>4255</v>
      </c>
      <c r="AH111" s="103" t="s">
        <v>2084</v>
      </c>
      <c r="AI111" s="102">
        <f>IFERROR(ROUND((VLOOKUP($A111,'Из ГУГЛа'!$B:$Z,AI$1,0)+AK111)*AJ111,),VLOOKUP($A111,'Из ГУГЛа'!$B:$Z,AI$1,0))</f>
        <v>0</v>
      </c>
      <c r="AJ111" s="100">
        <v>1</v>
      </c>
      <c r="AK111" s="100"/>
      <c r="AL111" s="103"/>
      <c r="AM111" s="103"/>
      <c r="AN111" s="102">
        <f>IFERROR(ROUND((VLOOKUP($A111,'Из ГУГЛа'!$B:$Z,AN$1,0)+AP111)*AO111,),VLOOKUP($A111,'Из ГУГЛа'!$B:$Z,AN$1,0))</f>
        <v>0</v>
      </c>
      <c r="AO111" s="100">
        <v>1</v>
      </c>
      <c r="AP111" s="100"/>
      <c r="AQ111" s="103"/>
      <c r="AR111" s="103"/>
    </row>
    <row r="112" spans="1:44" ht="40.5" thickTop="1" thickBot="1" x14ac:dyDescent="0.3">
      <c r="A112" s="57">
        <v>144845</v>
      </c>
      <c r="B112" s="57">
        <f>VLOOKUP($A112,'Выгр Кат'!$A:$T,B$1,0)</f>
        <v>13293</v>
      </c>
      <c r="C112" s="58" t="str">
        <f>VLOOKUP($A112,'Выгр Кат'!$A:$T,C$1,0)</f>
        <v>Жгут проводов задний для ВАЗ 2111</v>
      </c>
      <c r="D112" s="57" t="str">
        <f>VLOOKUP($A112,'Выгр Кат'!$A:$T,D$1,0)</f>
        <v>Y</v>
      </c>
      <c r="E112" s="57" t="str">
        <f>VLOOKUP($A112,'Выгр Кат'!$A:$T,E$1,0)</f>
        <v>1</v>
      </c>
      <c r="F112" s="57">
        <f>VLOOKUP($A112,'Выгр Кат'!$A:$T,F$1,0)</f>
        <v>0</v>
      </c>
      <c r="G112" s="57" t="str">
        <f>VLOOKUP($A112,'Выгр Кат'!$A:$T,G$1,0)</f>
        <v>2111372421003</v>
      </c>
      <c r="H112" s="57" t="str">
        <f>VLOOKUP($A112,'Выгр Кат'!$A:$T,H$1,0)</f>
        <v>2111-3724210</v>
      </c>
      <c r="I112" s="39" t="s">
        <v>610</v>
      </c>
      <c r="J112" s="1" t="s">
        <v>526</v>
      </c>
      <c r="K112" s="47">
        <f>VLOOKUP(I112,Прайс!A:E,5,0)</f>
        <v>3000</v>
      </c>
      <c r="L112" s="7">
        <f>VLOOKUP(K112,Наценка!$A$1:$B$8,2,1)</f>
        <v>1.4</v>
      </c>
      <c r="M112" s="44">
        <f t="shared" si="22"/>
        <v>4200</v>
      </c>
      <c r="N112" s="62">
        <f t="shared" si="23"/>
        <v>4190</v>
      </c>
      <c r="O112" s="60">
        <f>VLOOKUP($A112,'Выгр Кат'!$A:$P,O$1,0)</f>
        <v>3000</v>
      </c>
      <c r="P112" s="60">
        <f>VLOOKUP($A112,'Выгр Кат'!$A:$P,P$1,0)</f>
        <v>4190</v>
      </c>
      <c r="Q112" s="73">
        <f t="shared" si="24"/>
        <v>0</v>
      </c>
      <c r="R112" s="73">
        <f t="shared" si="25"/>
        <v>0</v>
      </c>
      <c r="S112" s="97">
        <f t="shared" si="26"/>
        <v>4190</v>
      </c>
      <c r="T112" s="98">
        <f t="shared" si="27"/>
        <v>0.39666666666666672</v>
      </c>
      <c r="U112" s="98">
        <f t="shared" si="28"/>
        <v>1.5276145710928319E-2</v>
      </c>
      <c r="V112" s="98">
        <f t="shared" si="29"/>
        <v>0.41833333333333322</v>
      </c>
      <c r="W112" s="106">
        <f t="shared" si="35"/>
        <v>4255</v>
      </c>
      <c r="X112" s="102">
        <f>IFERROR(ROUND((VLOOKUP($A112,'Из ГУГЛа'!$B:$Z,X$1,0)+Z112)*Y112,),VLOOKUP($A112,'Из ГУГЛа'!$B:$Z,X$1,0))</f>
        <v>4290</v>
      </c>
      <c r="Y112" s="75">
        <v>1</v>
      </c>
      <c r="Z112" s="75">
        <v>0</v>
      </c>
      <c r="AA112" s="85">
        <v>4290</v>
      </c>
      <c r="AB112" s="63" t="s">
        <v>1215</v>
      </c>
      <c r="AC112" s="48" t="s">
        <v>790</v>
      </c>
      <c r="AD112" s="102">
        <f>IFERROR(ROUND((VLOOKUP($A112,'Из ГУГЛа'!$B:$Z,AD$1,0)+AF112)*AE112,),VLOOKUP($A112,'Из ГУГЛа'!$B:$Z,AD$1,0))</f>
        <v>0</v>
      </c>
      <c r="AE112" s="100">
        <v>1</v>
      </c>
      <c r="AF112" s="100"/>
      <c r="AG112" s="103">
        <v>4255</v>
      </c>
      <c r="AH112" s="103" t="s">
        <v>2083</v>
      </c>
      <c r="AI112" s="102">
        <f>IFERROR(ROUND((VLOOKUP($A112,'Из ГУГЛа'!$B:$Z,AI$1,0)+AK112)*AJ112,),VLOOKUP($A112,'Из ГУГЛа'!$B:$Z,AI$1,0))</f>
        <v>0</v>
      </c>
      <c r="AJ112" s="100">
        <v>1</v>
      </c>
      <c r="AK112" s="100"/>
      <c r="AL112" s="103"/>
      <c r="AM112" s="103"/>
      <c r="AN112" s="102">
        <f>IFERROR(ROUND((VLOOKUP($A112,'Из ГУГЛа'!$B:$Z,AN$1,0)+AP112)*AO112,),VLOOKUP($A112,'Из ГУГЛа'!$B:$Z,AN$1,0))</f>
        <v>0</v>
      </c>
      <c r="AO112" s="100">
        <v>1</v>
      </c>
      <c r="AP112" s="100"/>
      <c r="AQ112" s="103"/>
      <c r="AR112" s="103"/>
    </row>
    <row r="113" spans="1:44" ht="40.5" thickTop="1" thickBot="1" x14ac:dyDescent="0.3">
      <c r="A113" s="57">
        <v>144846</v>
      </c>
      <c r="B113" s="57">
        <f>VLOOKUP($A113,'Выгр Кат'!$A:$T,B$1,0)</f>
        <v>13294</v>
      </c>
      <c r="C113" s="58" t="str">
        <f>VLOOKUP($A113,'Выгр Кат'!$A:$T,C$1,0)</f>
        <v>Жгут проводов задний для ВАЗ 2112</v>
      </c>
      <c r="D113" s="57" t="str">
        <f>VLOOKUP($A113,'Выгр Кат'!$A:$T,D$1,0)</f>
        <v>Y</v>
      </c>
      <c r="E113" s="57" t="str">
        <f>VLOOKUP($A113,'Выгр Кат'!$A:$T,E$1,0)</f>
        <v>1</v>
      </c>
      <c r="F113" s="57">
        <f>VLOOKUP($A113,'Выгр Кат'!$A:$T,F$1,0)</f>
        <v>0</v>
      </c>
      <c r="G113" s="57" t="str">
        <f>VLOOKUP($A113,'Выгр Кат'!$A:$T,G$1,0)</f>
        <v>2112372421003</v>
      </c>
      <c r="H113" s="57" t="str">
        <f>VLOOKUP($A113,'Выгр Кат'!$A:$T,H$1,0)</f>
        <v>2112-3724210</v>
      </c>
      <c r="I113" s="39" t="s">
        <v>611</v>
      </c>
      <c r="J113" s="1" t="s">
        <v>526</v>
      </c>
      <c r="K113" s="47">
        <f>VLOOKUP(I113,Прайс!A:E,5,0)</f>
        <v>3000</v>
      </c>
      <c r="L113" s="7">
        <f>VLOOKUP(K113,Наценка!$A$1:$B$8,2,1)</f>
        <v>1.4</v>
      </c>
      <c r="M113" s="44">
        <f t="shared" si="22"/>
        <v>4200</v>
      </c>
      <c r="N113" s="62">
        <f t="shared" si="23"/>
        <v>4190</v>
      </c>
      <c r="O113" s="60">
        <f>VLOOKUP($A113,'Выгр Кат'!$A:$P,O$1,0)</f>
        <v>3000</v>
      </c>
      <c r="P113" s="60">
        <f>VLOOKUP($A113,'Выгр Кат'!$A:$P,P$1,0)</f>
        <v>4190</v>
      </c>
      <c r="Q113" s="73">
        <f t="shared" si="24"/>
        <v>0</v>
      </c>
      <c r="R113" s="73">
        <f t="shared" si="25"/>
        <v>0</v>
      </c>
      <c r="S113" s="97">
        <f t="shared" si="26"/>
        <v>4190</v>
      </c>
      <c r="T113" s="98">
        <f t="shared" si="27"/>
        <v>0.39666666666666672</v>
      </c>
      <c r="U113" s="98">
        <f t="shared" si="28"/>
        <v>1.5276145710928319E-2</v>
      </c>
      <c r="V113" s="98">
        <f t="shared" si="29"/>
        <v>0.41833333333333322</v>
      </c>
      <c r="W113" s="106">
        <f t="shared" si="35"/>
        <v>4255</v>
      </c>
      <c r="X113" s="102">
        <f>IFERROR(ROUND((VLOOKUP($A113,'Из ГУГЛа'!$B:$Z,X$1,0)+Z113)*Y113,),VLOOKUP($A113,'Из ГУГЛа'!$B:$Z,X$1,0))</f>
        <v>4290</v>
      </c>
      <c r="Y113" s="75">
        <v>1</v>
      </c>
      <c r="Z113" s="75">
        <v>0</v>
      </c>
      <c r="AA113" s="63">
        <v>4290</v>
      </c>
      <c r="AB113" s="63" t="s">
        <v>1215</v>
      </c>
      <c r="AC113" s="48" t="s">
        <v>1067</v>
      </c>
      <c r="AD113" s="102">
        <f>IFERROR(ROUND((VLOOKUP($A113,'Из ГУГЛа'!$B:$Z,AD$1,0)+AF113)*AE113,),VLOOKUP($A113,'Из ГУГЛа'!$B:$Z,AD$1,0))</f>
        <v>0</v>
      </c>
      <c r="AE113" s="100">
        <v>1</v>
      </c>
      <c r="AF113" s="100"/>
      <c r="AG113" s="103">
        <v>4255</v>
      </c>
      <c r="AH113" s="103" t="s">
        <v>2082</v>
      </c>
      <c r="AI113" s="102">
        <f>IFERROR(ROUND((VLOOKUP($A113,'Из ГУГЛа'!$B:$Z,AI$1,0)+AK113)*AJ113,),VLOOKUP($A113,'Из ГУГЛа'!$B:$Z,AI$1,0))</f>
        <v>0</v>
      </c>
      <c r="AJ113" s="100">
        <v>1</v>
      </c>
      <c r="AK113" s="100"/>
      <c r="AL113" s="103"/>
      <c r="AM113" s="103"/>
      <c r="AN113" s="102">
        <f>IFERROR(ROUND((VLOOKUP($A113,'Из ГУГЛа'!$B:$Z,AN$1,0)+AP113)*AO113,),VLOOKUP($A113,'Из ГУГЛа'!$B:$Z,AN$1,0))</f>
        <v>0</v>
      </c>
      <c r="AO113" s="100">
        <v>1</v>
      </c>
      <c r="AP113" s="100"/>
      <c r="AQ113" s="103"/>
      <c r="AR113" s="103"/>
    </row>
    <row r="114" spans="1:44" ht="31.5" thickTop="1" thickBot="1" x14ac:dyDescent="0.3">
      <c r="A114" s="57">
        <v>144854</v>
      </c>
      <c r="B114" s="57">
        <f>VLOOKUP($A114,'Выгр Кат'!$A:$T,B$1,0)</f>
        <v>13431</v>
      </c>
      <c r="C114" s="58" t="str">
        <f>VLOOKUP($A114,'Выгр Кат'!$A:$T,C$1,0)</f>
        <v>Жгут проводов задний для Лада Нива 4х4 5-ти дверная, карбюраторный двигатель</v>
      </c>
      <c r="D114" s="57" t="str">
        <f>VLOOKUP($A114,'Выгр Кат'!$A:$T,D$1,0)</f>
        <v>Y</v>
      </c>
      <c r="E114" s="57" t="str">
        <f>VLOOKUP($A114,'Выгр Кат'!$A:$T,E$1,0)</f>
        <v>1</v>
      </c>
      <c r="F114" s="57">
        <f>VLOOKUP($A114,'Выгр Кат'!$A:$T,F$1,0)</f>
        <v>0</v>
      </c>
      <c r="G114" s="57" t="str">
        <f>VLOOKUP($A114,'Выгр Кат'!$A:$T,G$1,0)</f>
        <v>21313724210</v>
      </c>
      <c r="H114" s="57" t="str">
        <f>VLOOKUP($A114,'Выгр Кат'!$A:$T,H$1,0)</f>
        <v>2131-3724210</v>
      </c>
      <c r="I114" s="39" t="s">
        <v>676</v>
      </c>
      <c r="J114" s="1" t="s">
        <v>526</v>
      </c>
      <c r="K114" s="47">
        <f>VLOOKUP(I114,Прайс!A:E,5,0)</f>
        <v>3500</v>
      </c>
      <c r="L114" s="7">
        <f>VLOOKUP(K114,Наценка!$A$1:$B$8,2,1)</f>
        <v>1.4</v>
      </c>
      <c r="M114" s="44">
        <f t="shared" si="22"/>
        <v>4900</v>
      </c>
      <c r="N114" s="62">
        <f t="shared" si="23"/>
        <v>4890</v>
      </c>
      <c r="O114" s="60">
        <f>VLOOKUP($A114,'Выгр Кат'!$A:$P,O$1,0)</f>
        <v>3500</v>
      </c>
      <c r="P114" s="60">
        <f>VLOOKUP($A114,'Выгр Кат'!$A:$P,P$1,0)</f>
        <v>5090</v>
      </c>
      <c r="Q114" s="73">
        <f t="shared" si="24"/>
        <v>0</v>
      </c>
      <c r="R114" s="73">
        <f t="shared" si="25"/>
        <v>200</v>
      </c>
      <c r="S114" s="97">
        <f t="shared" si="26"/>
        <v>4890</v>
      </c>
      <c r="T114" s="98">
        <f t="shared" si="27"/>
        <v>0.39714285714285724</v>
      </c>
      <c r="U114" s="98">
        <f t="shared" si="28"/>
        <v>-0.35946622185154298</v>
      </c>
      <c r="V114" s="98">
        <f t="shared" si="29"/>
        <v>2.7714285714285802E-2</v>
      </c>
      <c r="W114" s="106">
        <f t="shared" si="35"/>
        <v>3597</v>
      </c>
      <c r="X114" s="102">
        <f>IFERROR(ROUND((VLOOKUP($A114,'Из ГУГЛа'!$B:$Z,X$1,0)+Z114)*Y114,),VLOOKUP($A114,'Из ГУГЛа'!$B:$Z,X$1,0))</f>
        <v>5190</v>
      </c>
      <c r="Y114" s="75">
        <v>1</v>
      </c>
      <c r="Z114" s="75">
        <v>0</v>
      </c>
      <c r="AA114" s="63">
        <v>5190</v>
      </c>
      <c r="AB114" s="63" t="s">
        <v>1215</v>
      </c>
      <c r="AC114" s="48" t="s">
        <v>892</v>
      </c>
      <c r="AD114" s="102">
        <f>IFERROR(ROUND((VLOOKUP($A114,'Из ГУГЛа'!$B:$Z,AD$1,0)+AF114)*AE114,),VLOOKUP($A114,'Из ГУГЛа'!$B:$Z,AD$1,0))</f>
        <v>0</v>
      </c>
      <c r="AE114" s="100">
        <v>1</v>
      </c>
      <c r="AF114" s="100"/>
      <c r="AG114" s="103">
        <v>3597</v>
      </c>
      <c r="AH114" s="103" t="s">
        <v>1959</v>
      </c>
      <c r="AI114" s="102">
        <f>IFERROR(ROUND((VLOOKUP($A114,'Из ГУГЛа'!$B:$Z,AI$1,0)+AK114)*AJ114,),VLOOKUP($A114,'Из ГУГЛа'!$B:$Z,AI$1,0))</f>
        <v>0</v>
      </c>
      <c r="AJ114" s="100">
        <v>1</v>
      </c>
      <c r="AK114" s="100"/>
      <c r="AL114" s="103"/>
      <c r="AM114" s="103"/>
      <c r="AN114" s="102">
        <f>IFERROR(ROUND((VLOOKUP($A114,'Из ГУГЛа'!$B:$Z,AN$1,0)+AP114)*AO114,),VLOOKUP($A114,'Из ГУГЛа'!$B:$Z,AN$1,0))</f>
        <v>0</v>
      </c>
      <c r="AO114" s="100">
        <v>1</v>
      </c>
      <c r="AP114" s="100"/>
      <c r="AQ114" s="103"/>
      <c r="AR114" s="103"/>
    </row>
    <row r="115" spans="1:44" ht="31.5" thickTop="1" thickBot="1" x14ac:dyDescent="0.3">
      <c r="A115" s="57">
        <v>144927</v>
      </c>
      <c r="B115" s="57">
        <f>VLOOKUP($A115,'Выгр Кат'!$A:$T,B$1,0)</f>
        <v>13418</v>
      </c>
      <c r="C115" s="58" t="str">
        <f>VLOOKUP($A115,'Выгр Кат'!$A:$T,C$1,0)</f>
        <v>Жгут проводов панели приборов 31631-3724010-10 на УАЗ Патриот</v>
      </c>
      <c r="D115" s="57" t="str">
        <f>VLOOKUP($A115,'Выгр Кат'!$A:$T,D$1,0)</f>
        <v>Y</v>
      </c>
      <c r="E115" s="57" t="str">
        <f>VLOOKUP($A115,'Выгр Кат'!$A:$T,E$1,0)</f>
        <v>1</v>
      </c>
      <c r="F115" s="57">
        <f>VLOOKUP($A115,'Выгр Кат'!$A:$T,F$1,0)</f>
        <v>0</v>
      </c>
      <c r="G115" s="57">
        <f>VLOOKUP($A115,'Выгр Кат'!$A:$T,G$1,0)</f>
        <v>0</v>
      </c>
      <c r="H115" s="57">
        <f>VLOOKUP($A115,'Выгр Кат'!$A:$T,H$1,0)</f>
        <v>0</v>
      </c>
      <c r="I115" s="64" t="s">
        <v>169</v>
      </c>
      <c r="J115" s="1" t="s">
        <v>526</v>
      </c>
      <c r="K115" s="46">
        <f>O115</f>
        <v>3250</v>
      </c>
      <c r="L115" s="7">
        <f>VLOOKUP(K115,Наценка!$A$1:$B$8,2,1)</f>
        <v>1.4</v>
      </c>
      <c r="M115" s="44">
        <f t="shared" si="22"/>
        <v>4550</v>
      </c>
      <c r="N115" s="62">
        <f t="shared" si="23"/>
        <v>4590</v>
      </c>
      <c r="O115" s="60">
        <f>VLOOKUP($A115,'Выгр Кат'!$A:$P,O$1,0)</f>
        <v>3250</v>
      </c>
      <c r="P115" s="60">
        <f>VLOOKUP($A115,'Выгр Кат'!$A:$P,P$1,0)</f>
        <v>4590</v>
      </c>
      <c r="Q115" s="73">
        <f t="shared" si="24"/>
        <v>0</v>
      </c>
      <c r="R115" s="73">
        <f t="shared" si="25"/>
        <v>0</v>
      </c>
      <c r="S115" s="97">
        <f t="shared" si="26"/>
        <v>4590</v>
      </c>
      <c r="T115" s="98">
        <f t="shared" si="27"/>
        <v>0.41230769230769226</v>
      </c>
      <c r="U115" s="98" t="str">
        <f t="shared" si="28"/>
        <v/>
      </c>
      <c r="V115" s="98" t="str">
        <f t="shared" si="29"/>
        <v/>
      </c>
      <c r="W115" s="99"/>
      <c r="X115" s="102">
        <f>IFERROR(ROUND((VLOOKUP($A115,'Из ГУГЛа'!$B:$Z,X$1,0)+Z115)*Y115,),VLOOKUP($A115,'Из ГУГЛа'!$B:$Z,X$1,0))</f>
        <v>4590</v>
      </c>
      <c r="Y115" s="75">
        <v>1</v>
      </c>
      <c r="Z115" s="75">
        <v>0</v>
      </c>
      <c r="AA115" s="63" t="s">
        <v>1069</v>
      </c>
      <c r="AB115" s="80"/>
      <c r="AC115" s="48" t="s">
        <v>1068</v>
      </c>
      <c r="AD115" s="102">
        <f>IFERROR(ROUND((VLOOKUP($A115,'Из ГУГЛа'!$B:$Z,AD$1,0)+AF115)*AE115,),VLOOKUP($A115,'Из ГУГЛа'!$B:$Z,AD$1,0))</f>
        <v>0</v>
      </c>
      <c r="AE115" s="100">
        <v>1</v>
      </c>
      <c r="AF115" s="100"/>
      <c r="AG115" s="103" t="s">
        <v>1017</v>
      </c>
      <c r="AH115" s="103"/>
      <c r="AI115" s="102">
        <f>IFERROR(ROUND((VLOOKUP($A115,'Из ГУГЛа'!$B:$Z,AI$1,0)+AK115)*AJ115,),VLOOKUP($A115,'Из ГУГЛа'!$B:$Z,AI$1,0))</f>
        <v>0</v>
      </c>
      <c r="AJ115" s="100">
        <v>1</v>
      </c>
      <c r="AK115" s="100"/>
      <c r="AL115" s="103"/>
      <c r="AM115" s="103"/>
      <c r="AN115" s="102">
        <f>IFERROR(ROUND((VLOOKUP($A115,'Из ГУГЛа'!$B:$Z,AN$1,0)+AP115)*AO115,),VLOOKUP($A115,'Из ГУГЛа'!$B:$Z,AN$1,0))</f>
        <v>0</v>
      </c>
      <c r="AO115" s="100">
        <v>1</v>
      </c>
      <c r="AP115" s="100"/>
      <c r="AQ115" s="103"/>
      <c r="AR115" s="103"/>
    </row>
    <row r="116" spans="1:44" ht="27.75" thickTop="1" thickBot="1" x14ac:dyDescent="0.3">
      <c r="A116" s="57">
        <v>164568</v>
      </c>
      <c r="B116" s="57">
        <f>VLOOKUP($A116,'Выгр Кат'!$A:$T,B$1,0)</f>
        <v>10142</v>
      </c>
      <c r="C116" s="58" t="str">
        <f>VLOOKUP($A116,'Выгр Кат'!$A:$T,C$1,0)</f>
        <v>Монтажный блок в сборе для Шевроле Нива</v>
      </c>
      <c r="D116" s="57" t="str">
        <f>VLOOKUP($A116,'Выгр Кат'!$A:$T,D$1,0)</f>
        <v>Y</v>
      </c>
      <c r="E116" s="57" t="str">
        <f>VLOOKUP($A116,'Выгр Кат'!$A:$T,E$1,0)</f>
        <v>1ск6</v>
      </c>
      <c r="F116" s="57" t="str">
        <f>VLOOKUP($A116,'Выгр Кат'!$A:$T,F$1,0)</f>
        <v>394.3722М</v>
      </c>
      <c r="G116" s="57" t="str">
        <f>VLOOKUP($A116,'Выгр Кат'!$A:$T,G$1,0)</f>
        <v>21230372201022</v>
      </c>
      <c r="H116" s="57" t="str">
        <f>VLOOKUP($A116,'Выгр Кат'!$A:$T,H$1,0)</f>
        <v>2123-3722010</v>
      </c>
      <c r="I116" s="64"/>
      <c r="J116" s="1" t="s">
        <v>526</v>
      </c>
      <c r="K116" s="46">
        <f>O116</f>
        <v>5000</v>
      </c>
      <c r="L116" s="7">
        <f>VLOOKUP(K116,Наценка!$A$1:$B$8,2,1)</f>
        <v>1.32</v>
      </c>
      <c r="M116" s="44">
        <f t="shared" si="22"/>
        <v>6600</v>
      </c>
      <c r="N116" s="62">
        <f t="shared" si="23"/>
        <v>6590</v>
      </c>
      <c r="O116" s="60">
        <f>VLOOKUP($A116,'Выгр Кат'!$A:$P,O$1,0)</f>
        <v>5000</v>
      </c>
      <c r="P116" s="60">
        <f>VLOOKUP($A116,'Выгр Кат'!$A:$P,P$1,0)</f>
        <v>7790</v>
      </c>
      <c r="Q116" s="73">
        <f t="shared" si="24"/>
        <v>0</v>
      </c>
      <c r="R116" s="73">
        <f t="shared" si="25"/>
        <v>1200</v>
      </c>
      <c r="S116" s="97">
        <f t="shared" si="26"/>
        <v>6590</v>
      </c>
      <c r="T116" s="98">
        <f t="shared" si="27"/>
        <v>0.31800000000000006</v>
      </c>
      <c r="U116" s="98">
        <f t="shared" si="28"/>
        <v>0.12934337428986656</v>
      </c>
      <c r="V116" s="98">
        <f t="shared" si="29"/>
        <v>0.51380000000000003</v>
      </c>
      <c r="W116" s="106">
        <f>MIN(AA116,AG116,AL116,AQ116)</f>
        <v>7569</v>
      </c>
      <c r="X116" s="102">
        <f>IFERROR(ROUND((VLOOKUP($A116,'Из ГУГЛа'!$B:$Z,X$1,0)+Z116)*Y116,),VLOOKUP($A116,'Из ГУГЛа'!$B:$Z,X$1,0))</f>
        <v>7890</v>
      </c>
      <c r="Y116" s="75">
        <v>1</v>
      </c>
      <c r="Z116" s="75">
        <v>0</v>
      </c>
      <c r="AA116" s="63">
        <v>7890</v>
      </c>
      <c r="AB116" s="63" t="s">
        <v>1215</v>
      </c>
      <c r="AC116" s="48" t="s">
        <v>1070</v>
      </c>
      <c r="AD116" s="102">
        <f>IFERROR(ROUND((VLOOKUP($A116,'Из ГУГЛа'!$B:$Z,AD$1,0)+AF116)*AE116,),VLOOKUP($A116,'Из ГУГЛа'!$B:$Z,AD$1,0))</f>
        <v>0</v>
      </c>
      <c r="AE116" s="100">
        <v>1</v>
      </c>
      <c r="AF116" s="100"/>
      <c r="AG116" s="103">
        <v>7569</v>
      </c>
      <c r="AH116" s="103" t="s">
        <v>2009</v>
      </c>
      <c r="AI116" s="102">
        <f>IFERROR(ROUND((VLOOKUP($A116,'Из ГУГЛа'!$B:$Z,AI$1,0)+AK116)*AJ116,),VLOOKUP($A116,'Из ГУГЛа'!$B:$Z,AI$1,0))</f>
        <v>0</v>
      </c>
      <c r="AJ116" s="100">
        <v>1</v>
      </c>
      <c r="AK116" s="100"/>
      <c r="AL116" s="103"/>
      <c r="AM116" s="103"/>
      <c r="AN116" s="102">
        <f>IFERROR(ROUND((VLOOKUP($A116,'Из ГУГЛа'!$B:$Z,AN$1,0)+AP116)*AO116,),VLOOKUP($A116,'Из ГУГЛа'!$B:$Z,AN$1,0))</f>
        <v>0</v>
      </c>
      <c r="AO116" s="100">
        <v>1</v>
      </c>
      <c r="AP116" s="100"/>
      <c r="AQ116" s="103"/>
      <c r="AR116" s="103"/>
    </row>
    <row r="117" spans="1:44" ht="31.5" thickTop="1" thickBot="1" x14ac:dyDescent="0.3">
      <c r="A117" s="57">
        <v>136869</v>
      </c>
      <c r="B117" s="57">
        <f>VLOOKUP($A117,'Выгр Кат'!$A:$T,B$1,0)</f>
        <v>3980</v>
      </c>
      <c r="C117" s="58" t="str">
        <f>VLOOKUP($A117,'Выгр Кат'!$A:$T,C$1,0)</f>
        <v>Блок монтажный для ВАЗ 2104, 2105, 2107 с карбюраторным двигателем</v>
      </c>
      <c r="D117" s="57" t="str">
        <f>VLOOKUP($A117,'Выгр Кат'!$A:$T,D$1,0)</f>
        <v>Y</v>
      </c>
      <c r="E117" s="57" t="str">
        <f>VLOOKUP($A117,'Выгр Кат'!$A:$T,E$1,0)</f>
        <v>1</v>
      </c>
      <c r="F117" s="57" t="str">
        <f>VLOOKUP($A117,'Выгр Кат'!$A:$T,F$1,0)</f>
        <v>402.3722</v>
      </c>
      <c r="G117" s="57" t="str">
        <f>VLOOKUP($A117,'Выгр Кат'!$A:$T,G$1,0)</f>
        <v>2105372201022</v>
      </c>
      <c r="H117" s="57" t="str">
        <f>VLOOKUP($A117,'Выгр Кат'!$A:$T,H$1,0)</f>
        <v>2105-3722010</v>
      </c>
      <c r="I117" s="64"/>
      <c r="J117" s="1" t="s">
        <v>526</v>
      </c>
      <c r="K117" s="46">
        <f>O117</f>
        <v>5500</v>
      </c>
      <c r="L117" s="7">
        <f>VLOOKUP(K117,Наценка!$A$1:$B$8,2,1)</f>
        <v>1.32</v>
      </c>
      <c r="M117" s="44">
        <f t="shared" si="22"/>
        <v>7260</v>
      </c>
      <c r="N117" s="62">
        <f t="shared" si="23"/>
        <v>7290</v>
      </c>
      <c r="O117" s="60">
        <f>VLOOKUP($A117,'Выгр Кат'!$A:$P,O$1,0)</f>
        <v>5500</v>
      </c>
      <c r="P117" s="60">
        <f>VLOOKUP($A117,'Выгр Кат'!$A:$P,P$1,0)</f>
        <v>7290</v>
      </c>
      <c r="Q117" s="73">
        <f t="shared" si="24"/>
        <v>0</v>
      </c>
      <c r="R117" s="73">
        <f t="shared" si="25"/>
        <v>0</v>
      </c>
      <c r="S117" s="97">
        <f t="shared" si="26"/>
        <v>7290</v>
      </c>
      <c r="T117" s="98">
        <f t="shared" si="27"/>
        <v>0.32545454545454544</v>
      </c>
      <c r="U117" s="98" t="str">
        <f t="shared" si="28"/>
        <v/>
      </c>
      <c r="V117" s="98" t="str">
        <f t="shared" si="29"/>
        <v/>
      </c>
      <c r="W117" s="103"/>
      <c r="X117" s="102">
        <f>IFERROR(ROUND((VLOOKUP($A117,'Из ГУГЛа'!$B:$Z,X$1,0)+Z117)*Y117,),VLOOKUP($A117,'Из ГУГЛа'!$B:$Z,X$1,0))</f>
        <v>5190</v>
      </c>
      <c r="Y117" s="75">
        <v>1</v>
      </c>
      <c r="Z117" s="75">
        <v>0</v>
      </c>
      <c r="AA117" s="63">
        <v>5190</v>
      </c>
      <c r="AB117" s="63" t="s">
        <v>1215</v>
      </c>
      <c r="AC117" s="48" t="s">
        <v>1071</v>
      </c>
      <c r="AD117" s="102">
        <f>IFERROR(ROUND((VLOOKUP($A117,'Из ГУГЛа'!$B:$Z,AD$1,0)+AF117)*AE117,),VLOOKUP($A117,'Из ГУГЛа'!$B:$Z,AD$1,0))</f>
        <v>0</v>
      </c>
      <c r="AE117" s="100">
        <v>1</v>
      </c>
      <c r="AF117" s="100"/>
      <c r="AG117" s="103" t="s">
        <v>1017</v>
      </c>
      <c r="AH117" s="103"/>
      <c r="AI117" s="102">
        <f>IFERROR(ROUND((VLOOKUP($A117,'Из ГУГЛа'!$B:$Z,AI$1,0)+AK117)*AJ117,),VLOOKUP($A117,'Из ГУГЛа'!$B:$Z,AI$1,0))</f>
        <v>0</v>
      </c>
      <c r="AJ117" s="100">
        <v>1</v>
      </c>
      <c r="AK117" s="100"/>
      <c r="AL117" s="103"/>
      <c r="AM117" s="103"/>
      <c r="AN117" s="102">
        <f>IFERROR(ROUND((VLOOKUP($A117,'Из ГУГЛа'!$B:$Z,AN$1,0)+AP117)*AO117,),VLOOKUP($A117,'Из ГУГЛа'!$B:$Z,AN$1,0))</f>
        <v>0</v>
      </c>
      <c r="AO117" s="100">
        <v>1</v>
      </c>
      <c r="AP117" s="100"/>
      <c r="AQ117" s="103"/>
      <c r="AR117" s="103"/>
    </row>
    <row r="118" spans="1:44" ht="27.75" thickTop="1" thickBot="1" x14ac:dyDescent="0.3">
      <c r="A118" s="57">
        <v>164570</v>
      </c>
      <c r="B118" s="57">
        <f>VLOOKUP($A118,'Выгр Кат'!$A:$T,B$1,0)</f>
        <v>3983</v>
      </c>
      <c r="C118" s="58" t="str">
        <f>VLOOKUP($A118,'Выгр Кат'!$A:$T,C$1,0)</f>
        <v>Монтажный блок для ВАЗ 2110-2112</v>
      </c>
      <c r="D118" s="57" t="str">
        <f>VLOOKUP($A118,'Выгр Кат'!$A:$T,D$1,0)</f>
        <v>Y</v>
      </c>
      <c r="E118" s="57" t="str">
        <f>VLOOKUP($A118,'Выгр Кат'!$A:$T,E$1,0)</f>
        <v>1</v>
      </c>
      <c r="F118" s="57" t="str">
        <f>VLOOKUP($A118,'Выгр Кат'!$A:$T,F$1,0)</f>
        <v>393.3722М</v>
      </c>
      <c r="G118" s="57" t="str">
        <f>VLOOKUP($A118,'Выгр Кат'!$A:$T,G$1,0)</f>
        <v>2110372201022</v>
      </c>
      <c r="H118" s="57" t="str">
        <f>VLOOKUP($A118,'Выгр Кат'!$A:$T,H$1,0)</f>
        <v>2110-3722010</v>
      </c>
      <c r="I118" s="64"/>
      <c r="J118" s="1" t="s">
        <v>526</v>
      </c>
      <c r="K118" s="46">
        <f>O118</f>
        <v>4500</v>
      </c>
      <c r="L118" s="7">
        <f>VLOOKUP(K118,Наценка!$A$1:$B$8,2,1)</f>
        <v>1.4</v>
      </c>
      <c r="M118" s="44">
        <f t="shared" si="22"/>
        <v>6300</v>
      </c>
      <c r="N118" s="62">
        <f t="shared" si="23"/>
        <v>6290</v>
      </c>
      <c r="O118" s="60">
        <f>VLOOKUP($A118,'Выгр Кат'!$A:$P,O$1,0)</f>
        <v>4500</v>
      </c>
      <c r="P118" s="60">
        <f>VLOOKUP($A118,'Выгр Кат'!$A:$P,P$1,0)</f>
        <v>5790</v>
      </c>
      <c r="Q118" s="73">
        <f t="shared" si="24"/>
        <v>0</v>
      </c>
      <c r="R118" s="73">
        <f t="shared" si="25"/>
        <v>-500</v>
      </c>
      <c r="S118" s="97">
        <f t="shared" si="26"/>
        <v>6290</v>
      </c>
      <c r="T118" s="98">
        <f t="shared" si="27"/>
        <v>0.39777777777777779</v>
      </c>
      <c r="U118" s="98">
        <f t="shared" si="28"/>
        <v>-6.7911714770797965E-2</v>
      </c>
      <c r="V118" s="98">
        <f t="shared" si="29"/>
        <v>0.30888888888888899</v>
      </c>
      <c r="W118" s="106">
        <f t="shared" ref="W118:W119" si="36">MIN(AA118,AG118,AL118,AQ118)</f>
        <v>5890</v>
      </c>
      <c r="X118" s="102">
        <f>IFERROR(ROUND((VLOOKUP($A118,'Из ГУГЛа'!$B:$Z,X$1,0)+Z118)*Y118,),VLOOKUP($A118,'Из ГУГЛа'!$B:$Z,X$1,0))</f>
        <v>5890</v>
      </c>
      <c r="Y118" s="75">
        <v>1</v>
      </c>
      <c r="Z118" s="75">
        <v>0</v>
      </c>
      <c r="AA118" s="63">
        <v>5890</v>
      </c>
      <c r="AB118" s="63" t="s">
        <v>1215</v>
      </c>
      <c r="AC118" s="48" t="s">
        <v>1072</v>
      </c>
      <c r="AD118" s="102">
        <f>IFERROR(ROUND((VLOOKUP($A118,'Из ГУГЛа'!$B:$Z,AD$1,0)+AF118)*AE118,),VLOOKUP($A118,'Из ГУГЛа'!$B:$Z,AD$1,0))</f>
        <v>0</v>
      </c>
      <c r="AE118" s="100">
        <v>1</v>
      </c>
      <c r="AF118" s="100"/>
      <c r="AG118" s="103">
        <v>11513</v>
      </c>
      <c r="AH118" s="103" t="s">
        <v>2011</v>
      </c>
      <c r="AI118" s="102">
        <f>IFERROR(ROUND((VLOOKUP($A118,'Из ГУГЛа'!$B:$Z,AI$1,0)+AK118)*AJ118,),VLOOKUP($A118,'Из ГУГЛа'!$B:$Z,AI$1,0))</f>
        <v>0</v>
      </c>
      <c r="AJ118" s="100">
        <v>1</v>
      </c>
      <c r="AK118" s="100"/>
      <c r="AL118" s="103"/>
      <c r="AM118" s="103"/>
      <c r="AN118" s="102">
        <f>IFERROR(ROUND((VLOOKUP($A118,'Из ГУГЛа'!$B:$Z,AN$1,0)+AP118)*AO118,),VLOOKUP($A118,'Из ГУГЛа'!$B:$Z,AN$1,0))</f>
        <v>0</v>
      </c>
      <c r="AO118" s="100">
        <v>1</v>
      </c>
      <c r="AP118" s="100"/>
      <c r="AQ118" s="103"/>
      <c r="AR118" s="103"/>
    </row>
    <row r="119" spans="1:44" ht="53.25" thickTop="1" thickBot="1" x14ac:dyDescent="0.3">
      <c r="A119" s="57">
        <v>144901</v>
      </c>
      <c r="B119" s="57">
        <f>VLOOKUP($A119,'Выгр Кат'!$A:$T,B$1,0)</f>
        <v>13277</v>
      </c>
      <c r="C119" s="58" t="str">
        <f>VLOOKUP($A119,'Выгр Кат'!$A:$T,C$1,0)</f>
        <v>Жгут проводов моторного отсека для ВАЗ 2108-21099 карбюраторный двигатель</v>
      </c>
      <c r="D119" s="57" t="str">
        <f>VLOOKUP($A119,'Выгр Кат'!$A:$T,D$1,0)</f>
        <v>Y</v>
      </c>
      <c r="E119" s="57" t="str">
        <f>VLOOKUP($A119,'Выгр Кат'!$A:$T,E$1,0)</f>
        <v>1</v>
      </c>
      <c r="F119" s="57">
        <f>VLOOKUP($A119,'Выгр Кат'!$A:$T,F$1,0)</f>
        <v>0</v>
      </c>
      <c r="G119" s="57" t="str">
        <f>VLOOKUP($A119,'Выгр Кат'!$A:$T,G$1,0)</f>
        <v>210803724010</v>
      </c>
      <c r="H119" s="57" t="str">
        <f>VLOOKUP($A119,'Выгр Кат'!$A:$T,H$1,0)</f>
        <v>2108-3724010</v>
      </c>
      <c r="I119" s="39" t="s">
        <v>864</v>
      </c>
      <c r="J119" s="1" t="s">
        <v>526</v>
      </c>
      <c r="K119" s="47">
        <f>VLOOKUP(I119,Прайс!A:E,5,0)</f>
        <v>5000</v>
      </c>
      <c r="L119" s="7">
        <f>VLOOKUP(K119,Наценка!$A$1:$B$8,2,1)</f>
        <v>1.32</v>
      </c>
      <c r="M119" s="44">
        <f t="shared" si="22"/>
        <v>6600</v>
      </c>
      <c r="N119" s="62">
        <f t="shared" si="23"/>
        <v>6590</v>
      </c>
      <c r="O119" s="60">
        <f>VLOOKUP($A119,'Выгр Кат'!$A:$P,O$1,0)</f>
        <v>4250</v>
      </c>
      <c r="P119" s="60">
        <f>VLOOKUP($A119,'Выгр Кат'!$A:$P,P$1,0)</f>
        <v>6190</v>
      </c>
      <c r="Q119" s="73">
        <f t="shared" si="24"/>
        <v>-750</v>
      </c>
      <c r="R119" s="73">
        <f t="shared" si="25"/>
        <v>-400</v>
      </c>
      <c r="S119" s="97">
        <f t="shared" si="26"/>
        <v>6590</v>
      </c>
      <c r="T119" s="98">
        <f t="shared" si="27"/>
        <v>0.31800000000000006</v>
      </c>
      <c r="U119" s="98">
        <f t="shared" si="28"/>
        <v>-4.7694753577106522E-2</v>
      </c>
      <c r="V119" s="98">
        <f t="shared" si="29"/>
        <v>0.25800000000000001</v>
      </c>
      <c r="W119" s="106">
        <f t="shared" si="36"/>
        <v>6290</v>
      </c>
      <c r="X119" s="102">
        <f>IFERROR(ROUND((VLOOKUP($A119,'Из ГУГЛа'!$B:$Z,X$1,0)+Z119)*Y119,),VLOOKUP($A119,'Из ГУГЛа'!$B:$Z,X$1,0))</f>
        <v>6290</v>
      </c>
      <c r="Y119" s="75">
        <v>1</v>
      </c>
      <c r="Z119" s="75">
        <v>0</v>
      </c>
      <c r="AA119" s="63">
        <v>6290</v>
      </c>
      <c r="AB119" s="63" t="s">
        <v>1215</v>
      </c>
      <c r="AC119" s="48" t="s">
        <v>1073</v>
      </c>
      <c r="AD119" s="102">
        <f>IFERROR(ROUND((VLOOKUP($A119,'Из ГУГЛа'!$B:$Z,AD$1,0)+AF119)*AE119,),VLOOKUP($A119,'Из ГУГЛа'!$B:$Z,AD$1,0))</f>
        <v>0</v>
      </c>
      <c r="AE119" s="100">
        <v>1</v>
      </c>
      <c r="AF119" s="100"/>
      <c r="AG119" s="103">
        <v>6924</v>
      </c>
      <c r="AH119" s="103" t="s">
        <v>1954</v>
      </c>
      <c r="AI119" s="102">
        <f>IFERROR(ROUND((VLOOKUP($A119,'Из ГУГЛа'!$B:$Z,AI$1,0)+AK119)*AJ119,),VLOOKUP($A119,'Из ГУГЛа'!$B:$Z,AI$1,0))</f>
        <v>0</v>
      </c>
      <c r="AJ119" s="100">
        <v>1</v>
      </c>
      <c r="AK119" s="100"/>
      <c r="AL119" s="103"/>
      <c r="AM119" s="103"/>
      <c r="AN119" s="102">
        <f>IFERROR(ROUND((VLOOKUP($A119,'Из ГУГЛа'!$B:$Z,AN$1,0)+AP119)*AO119,),VLOOKUP($A119,'Из ГУГЛа'!$B:$Z,AN$1,0))</f>
        <v>0</v>
      </c>
      <c r="AO119" s="100">
        <v>1</v>
      </c>
      <c r="AP119" s="100"/>
      <c r="AQ119" s="103"/>
      <c r="AR119" s="103"/>
    </row>
    <row r="120" spans="1:44" ht="31.5" thickTop="1" thickBot="1" x14ac:dyDescent="0.3">
      <c r="A120" s="57">
        <v>144900</v>
      </c>
      <c r="B120" s="57">
        <f>VLOOKUP($A120,'Выгр Кат'!$A:$T,B$1,0)</f>
        <v>18633</v>
      </c>
      <c r="C120" s="58" t="str">
        <f>VLOOKUP($A120,'Выгр Кат'!$A:$T,C$1,0)</f>
        <v>Жгут проводов моторного отсека для ВАЗ 2108-21099 инжекторный двигатель</v>
      </c>
      <c r="D120" s="57" t="str">
        <f>VLOOKUP($A120,'Выгр Кат'!$A:$T,D$1,0)</f>
        <v>Y</v>
      </c>
      <c r="E120" s="57" t="str">
        <f>VLOOKUP($A120,'Выгр Кат'!$A:$T,E$1,0)</f>
        <v>1</v>
      </c>
      <c r="F120" s="57">
        <f>VLOOKUP($A120,'Выгр Кат'!$A:$T,F$1,0)</f>
        <v>0</v>
      </c>
      <c r="G120" s="57">
        <f>VLOOKUP($A120,'Выгр Кат'!$A:$T,G$1,0)</f>
        <v>0</v>
      </c>
      <c r="H120" s="57">
        <f>VLOOKUP($A120,'Выгр Кат'!$A:$T,H$1,0)</f>
        <v>0</v>
      </c>
      <c r="I120" s="64"/>
      <c r="J120" s="1" t="s">
        <v>526</v>
      </c>
      <c r="K120" s="46">
        <f>O120</f>
        <v>3850</v>
      </c>
      <c r="L120" s="7">
        <f>VLOOKUP(K120,Наценка!$A$1:$B$8,2,1)</f>
        <v>1.4</v>
      </c>
      <c r="M120" s="44">
        <f t="shared" si="22"/>
        <v>5390</v>
      </c>
      <c r="N120" s="62">
        <f t="shared" si="23"/>
        <v>5390</v>
      </c>
      <c r="O120" s="60">
        <f>VLOOKUP($A120,'Выгр Кат'!$A:$P,O$1,0)</f>
        <v>3850</v>
      </c>
      <c r="P120" s="60">
        <f>VLOOKUP($A120,'Выгр Кат'!$A:$P,P$1,0)</f>
        <v>5390</v>
      </c>
      <c r="Q120" s="73">
        <f t="shared" si="24"/>
        <v>0</v>
      </c>
      <c r="R120" s="73">
        <f t="shared" si="25"/>
        <v>0</v>
      </c>
      <c r="S120" s="97">
        <f t="shared" si="26"/>
        <v>5390</v>
      </c>
      <c r="T120" s="98">
        <f t="shared" si="27"/>
        <v>0.39999999999999991</v>
      </c>
      <c r="U120" s="98" t="str">
        <f t="shared" si="28"/>
        <v/>
      </c>
      <c r="V120" s="98" t="str">
        <f t="shared" si="29"/>
        <v/>
      </c>
      <c r="W120" s="99"/>
      <c r="X120" s="102" t="str">
        <f>IFERROR(ROUND((VLOOKUP($A120,'Из ГУГЛа'!$B:$Z,X$1,0)+Z120)*Y120,),VLOOKUP($A120,'Из ГУГЛа'!$B:$Z,X$1,0))</f>
        <v/>
      </c>
      <c r="Y120" s="75">
        <v>1</v>
      </c>
      <c r="Z120" s="75">
        <v>0</v>
      </c>
      <c r="AA120" s="63" t="s">
        <v>1111</v>
      </c>
      <c r="AB120" s="80"/>
      <c r="AD120" s="102">
        <f>IFERROR(ROUND((VLOOKUP($A120,'Из ГУГЛа'!$B:$Z,AD$1,0)+AF120)*AE120,),VLOOKUP($A120,'Из ГУГЛа'!$B:$Z,AD$1,0))</f>
        <v>0</v>
      </c>
      <c r="AE120" s="100">
        <v>1</v>
      </c>
      <c r="AF120" s="100"/>
      <c r="AG120" s="103" t="s">
        <v>1017</v>
      </c>
      <c r="AH120" s="103"/>
      <c r="AI120" s="102">
        <f>IFERROR(ROUND((VLOOKUP($A120,'Из ГУГЛа'!$B:$Z,AI$1,0)+AK120)*AJ120,),VLOOKUP($A120,'Из ГУГЛа'!$B:$Z,AI$1,0))</f>
        <v>0</v>
      </c>
      <c r="AJ120" s="100">
        <v>1</v>
      </c>
      <c r="AK120" s="100"/>
      <c r="AL120" s="103"/>
      <c r="AM120" s="103"/>
      <c r="AN120" s="102">
        <f>IFERROR(ROUND((VLOOKUP($A120,'Из ГУГЛа'!$B:$Z,AN$1,0)+AP120)*AO120,),VLOOKUP($A120,'Из ГУГЛа'!$B:$Z,AN$1,0))</f>
        <v>0</v>
      </c>
      <c r="AO120" s="100">
        <v>1</v>
      </c>
      <c r="AP120" s="100"/>
      <c r="AQ120" s="103"/>
      <c r="AR120" s="103"/>
    </row>
    <row r="121" spans="1:44" ht="53.25" thickTop="1" thickBot="1" x14ac:dyDescent="0.3">
      <c r="A121" s="57">
        <v>164579</v>
      </c>
      <c r="B121" s="57">
        <f>VLOOKUP($A121,'Выгр Кат'!$A:$T,B$1,0)</f>
        <v>13370</v>
      </c>
      <c r="C121" s="58" t="str">
        <f>VLOOKUP($A121,'Выгр Кат'!$A:$T,C$1,0)</f>
        <v>Монтажный набор для подключения лобового стекла с обогревом для Лада Калина 2, Гранта</v>
      </c>
      <c r="D121" s="57" t="str">
        <f>VLOOKUP($A121,'Выгр Кат'!$A:$T,D$1,0)</f>
        <v>Y</v>
      </c>
      <c r="E121" s="57" t="str">
        <f>VLOOKUP($A121,'Выгр Кат'!$A:$T,E$1,0)</f>
        <v>1</v>
      </c>
      <c r="F121" s="57">
        <f>VLOOKUP($A121,'Выгр Кат'!$A:$T,F$1,0)</f>
        <v>0</v>
      </c>
      <c r="G121" s="57">
        <f>VLOOKUP($A121,'Выгр Кат'!$A:$T,G$1,0)</f>
        <v>0</v>
      </c>
      <c r="H121" s="57">
        <f>VLOOKUP($A121,'Выгр Кат'!$A:$T,H$1,0)</f>
        <v>0</v>
      </c>
      <c r="I121" s="39" t="s">
        <v>723</v>
      </c>
      <c r="J121" s="1" t="s">
        <v>526</v>
      </c>
      <c r="K121" s="47">
        <f>VLOOKUP(I121,Прайс!A:E,5,0)</f>
        <v>4000</v>
      </c>
      <c r="L121" s="7">
        <f>VLOOKUP(K121,Наценка!$A$1:$B$8,2,1)</f>
        <v>1.4</v>
      </c>
      <c r="M121" s="44">
        <f t="shared" si="22"/>
        <v>5600</v>
      </c>
      <c r="N121" s="62">
        <f t="shared" si="23"/>
        <v>5590</v>
      </c>
      <c r="O121" s="60">
        <f>VLOOKUP($A121,'Выгр Кат'!$A:$P,O$1,0)</f>
        <v>4000</v>
      </c>
      <c r="P121" s="60">
        <f>VLOOKUP($A121,'Выгр Кат'!$A:$P,P$1,0)</f>
        <v>5590</v>
      </c>
      <c r="Q121" s="73">
        <f t="shared" si="24"/>
        <v>0</v>
      </c>
      <c r="R121" s="73">
        <f t="shared" si="25"/>
        <v>0</v>
      </c>
      <c r="S121" s="97">
        <f t="shared" si="26"/>
        <v>5590</v>
      </c>
      <c r="T121" s="98">
        <f t="shared" si="27"/>
        <v>0.39749999999999996</v>
      </c>
      <c r="U121" s="98">
        <f t="shared" si="28"/>
        <v>-0.36942675159235666</v>
      </c>
      <c r="V121" s="98">
        <f t="shared" si="29"/>
        <v>2.0499999999999963E-2</v>
      </c>
      <c r="W121" s="106">
        <f t="shared" ref="W121:W124" si="37">MIN(AA121,AG121,AL121,AQ121)</f>
        <v>4082</v>
      </c>
      <c r="X121" s="102">
        <f>IFERROR(ROUND((VLOOKUP($A121,'Из ГУГЛа'!$B:$Z,X$1,0)+Z121)*Y121,),VLOOKUP($A121,'Из ГУГЛа'!$B:$Z,X$1,0))</f>
        <v>5690</v>
      </c>
      <c r="Y121" s="75">
        <v>1</v>
      </c>
      <c r="Z121" s="75">
        <v>0</v>
      </c>
      <c r="AA121" s="63">
        <v>5690</v>
      </c>
      <c r="AB121" s="63" t="s">
        <v>1215</v>
      </c>
      <c r="AC121" s="48" t="s">
        <v>1109</v>
      </c>
      <c r="AD121" s="102">
        <f>IFERROR(ROUND((VLOOKUP($A121,'Из ГУГЛа'!$B:$Z,AD$1,0)+AF121)*AE121,),VLOOKUP($A121,'Из ГУГЛа'!$B:$Z,AD$1,0))</f>
        <v>0</v>
      </c>
      <c r="AE121" s="100">
        <v>1</v>
      </c>
      <c r="AF121" s="100"/>
      <c r="AG121" s="103">
        <v>4082</v>
      </c>
      <c r="AH121" s="103" t="s">
        <v>2012</v>
      </c>
      <c r="AI121" s="102">
        <f>IFERROR(ROUND((VLOOKUP($A121,'Из ГУГЛа'!$B:$Z,AI$1,0)+AK121)*AJ121,),VLOOKUP($A121,'Из ГУГЛа'!$B:$Z,AI$1,0))</f>
        <v>0</v>
      </c>
      <c r="AJ121" s="100">
        <v>1</v>
      </c>
      <c r="AK121" s="100"/>
      <c r="AL121" s="103"/>
      <c r="AM121" s="103"/>
      <c r="AN121" s="102">
        <f>IFERROR(ROUND((VLOOKUP($A121,'Из ГУГЛа'!$B:$Z,AN$1,0)+AP121)*AO121,),VLOOKUP($A121,'Из ГУГЛа'!$B:$Z,AN$1,0))</f>
        <v>0</v>
      </c>
      <c r="AO121" s="100">
        <v>1</v>
      </c>
      <c r="AP121" s="100"/>
      <c r="AQ121" s="103"/>
      <c r="AR121" s="103"/>
    </row>
    <row r="122" spans="1:44" ht="40.5" thickTop="1" thickBot="1" x14ac:dyDescent="0.3">
      <c r="A122" s="57">
        <v>201274</v>
      </c>
      <c r="B122" s="57">
        <f>VLOOKUP($A122,'Выгр Кат'!$A:$T,B$1,0)</f>
        <v>13259</v>
      </c>
      <c r="C122" s="58" t="str">
        <f>VLOOKUP($A122,'Выгр Кат'!$A:$T,C$1,0)</f>
        <v>Жгут проводов под капот передняя часть для ВАЗ 2106</v>
      </c>
      <c r="D122" s="57" t="str">
        <f>VLOOKUP($A122,'Выгр Кат'!$A:$T,D$1,0)</f>
        <v>Y</v>
      </c>
      <c r="E122" s="57" t="str">
        <f>VLOOKUP($A122,'Выгр Кат'!$A:$T,E$1,0)</f>
        <v>1</v>
      </c>
      <c r="F122" s="57">
        <f>VLOOKUP($A122,'Выгр Кат'!$A:$T,F$1,0)</f>
        <v>0</v>
      </c>
      <c r="G122" s="57" t="str">
        <f>VLOOKUP($A122,'Выгр Кат'!$A:$T,G$1,0)</f>
        <v>2106372400880</v>
      </c>
      <c r="H122" s="57" t="str">
        <f>VLOOKUP($A122,'Выгр Кат'!$A:$T,H$1,0)</f>
        <v>2106-3724008</v>
      </c>
      <c r="I122" s="39" t="s">
        <v>586</v>
      </c>
      <c r="J122" s="1" t="s">
        <v>526</v>
      </c>
      <c r="K122" s="47">
        <f>VLOOKUP(I122,Прайс!A:E,5,0)</f>
        <v>6500</v>
      </c>
      <c r="L122" s="7">
        <f>VLOOKUP(K122,Наценка!$A$1:$B$8,2,1)</f>
        <v>1.32</v>
      </c>
      <c r="M122" s="44">
        <f t="shared" si="22"/>
        <v>8580</v>
      </c>
      <c r="N122" s="62">
        <f t="shared" si="23"/>
        <v>8590</v>
      </c>
      <c r="O122" s="60">
        <f>VLOOKUP($A122,'Выгр Кат'!$A:$P,O$1,0)</f>
        <v>6000</v>
      </c>
      <c r="P122" s="60">
        <f>VLOOKUP($A122,'Выгр Кат'!$A:$P,P$1,0)</f>
        <v>8790</v>
      </c>
      <c r="Q122" s="73">
        <f t="shared" si="24"/>
        <v>-500</v>
      </c>
      <c r="R122" s="73">
        <f t="shared" si="25"/>
        <v>200</v>
      </c>
      <c r="S122" s="97">
        <f t="shared" si="26"/>
        <v>8590</v>
      </c>
      <c r="T122" s="98">
        <f t="shared" si="27"/>
        <v>0.32153846153846155</v>
      </c>
      <c r="U122" s="98">
        <f t="shared" si="28"/>
        <v>2.375269917036027E-2</v>
      </c>
      <c r="V122" s="98">
        <f t="shared" si="29"/>
        <v>0.35369230769230775</v>
      </c>
      <c r="W122" s="106">
        <f t="shared" si="37"/>
        <v>8799</v>
      </c>
      <c r="X122" s="102">
        <f>IFERROR(ROUND((VLOOKUP($A122,'Из ГУГЛа'!$B:$Z,X$1,0)+Z122)*Y122,),VLOOKUP($A122,'Из ГУГЛа'!$B:$Z,X$1,0))</f>
        <v>8890</v>
      </c>
      <c r="Y122" s="75">
        <v>1</v>
      </c>
      <c r="Z122" s="75">
        <v>0</v>
      </c>
      <c r="AA122" s="63">
        <v>8890</v>
      </c>
      <c r="AB122" s="63" t="s">
        <v>1215</v>
      </c>
      <c r="AC122" s="48" t="s">
        <v>791</v>
      </c>
      <c r="AD122" s="102">
        <f>IFERROR(ROUND((VLOOKUP($A122,'Из ГУГЛа'!$B:$Z,AD$1,0)+AF122)*AE122,),VLOOKUP($A122,'Из ГУГЛа'!$B:$Z,AD$1,0))</f>
        <v>0</v>
      </c>
      <c r="AE122" s="100">
        <v>1</v>
      </c>
      <c r="AF122" s="100"/>
      <c r="AG122" s="103">
        <v>8799</v>
      </c>
      <c r="AH122" s="103" t="s">
        <v>2013</v>
      </c>
      <c r="AI122" s="102">
        <f>IFERROR(ROUND((VLOOKUP($A122,'Из ГУГЛа'!$B:$Z,AI$1,0)+AK122)*AJ122,),VLOOKUP($A122,'Из ГУГЛа'!$B:$Z,AI$1,0))</f>
        <v>0</v>
      </c>
      <c r="AJ122" s="100">
        <v>1</v>
      </c>
      <c r="AK122" s="100"/>
      <c r="AL122" s="103"/>
      <c r="AM122" s="103"/>
      <c r="AN122" s="102">
        <f>IFERROR(ROUND((VLOOKUP($A122,'Из ГУГЛа'!$B:$Z,AN$1,0)+AP122)*AO122,),VLOOKUP($A122,'Из ГУГЛа'!$B:$Z,AN$1,0))</f>
        <v>0</v>
      </c>
      <c r="AO122" s="100">
        <v>1</v>
      </c>
      <c r="AP122" s="100"/>
      <c r="AQ122" s="103"/>
      <c r="AR122" s="103"/>
    </row>
    <row r="123" spans="1:44" ht="31.5" thickTop="1" thickBot="1" x14ac:dyDescent="0.3">
      <c r="A123" s="57">
        <v>136867</v>
      </c>
      <c r="B123" s="57">
        <f>VLOOKUP($A123,'Выгр Кат'!$A:$T,B$1,0)</f>
        <v>17719</v>
      </c>
      <c r="C123" s="58" t="str">
        <f>VLOOKUP($A123,'Выгр Кат'!$A:$T,C$1,0)</f>
        <v>Блок монтажный АВАР нового образца для ВАЗ 2105</v>
      </c>
      <c r="D123" s="57" t="str">
        <f>VLOOKUP($A123,'Выгр Кат'!$A:$T,D$1,0)</f>
        <v>Y</v>
      </c>
      <c r="E123" s="57" t="str">
        <f>VLOOKUP($A123,'Выгр Кат'!$A:$T,E$1,0)</f>
        <v>1</v>
      </c>
      <c r="F123" s="57" t="str">
        <f>VLOOKUP($A123,'Выгр Кат'!$A:$T,F$1,0)</f>
        <v>402.3722</v>
      </c>
      <c r="G123" s="57" t="str">
        <f>VLOOKUP($A123,'Выгр Кат'!$A:$T,G$1,0)</f>
        <v>2105372202002</v>
      </c>
      <c r="H123" s="57" t="str">
        <f>VLOOKUP($A123,'Выгр Кат'!$A:$T,H$1,0)</f>
        <v>2105-3722020</v>
      </c>
      <c r="I123" s="64"/>
      <c r="J123" s="1" t="s">
        <v>526</v>
      </c>
      <c r="K123" s="46">
        <f>O123</f>
        <v>5000</v>
      </c>
      <c r="L123" s="7">
        <f>VLOOKUP(K123,Наценка!$A$1:$B$8,2,1)</f>
        <v>1.32</v>
      </c>
      <c r="M123" s="44">
        <f t="shared" si="22"/>
        <v>6600</v>
      </c>
      <c r="N123" s="62">
        <f t="shared" si="23"/>
        <v>6590</v>
      </c>
      <c r="O123" s="60">
        <f>VLOOKUP($A123,'Выгр Кат'!$A:$P,O$1,0)</f>
        <v>5000</v>
      </c>
      <c r="P123" s="60">
        <f>VLOOKUP($A123,'Выгр Кат'!$A:$P,P$1,0)</f>
        <v>6590</v>
      </c>
      <c r="Q123" s="73">
        <f t="shared" si="24"/>
        <v>0</v>
      </c>
      <c r="R123" s="73">
        <f t="shared" si="25"/>
        <v>0</v>
      </c>
      <c r="S123" s="97">
        <f t="shared" si="26"/>
        <v>6590</v>
      </c>
      <c r="T123" s="98">
        <f t="shared" si="27"/>
        <v>0.31800000000000006</v>
      </c>
      <c r="U123" s="98">
        <f t="shared" si="28"/>
        <v>-0.26974951830443161</v>
      </c>
      <c r="V123" s="98">
        <f t="shared" si="29"/>
        <v>3.8000000000000034E-2</v>
      </c>
      <c r="W123" s="106">
        <f t="shared" si="37"/>
        <v>5190</v>
      </c>
      <c r="X123" s="102">
        <f>IFERROR(ROUND((VLOOKUP($A123,'Из ГУГЛа'!$B:$Z,X$1,0)+Z123)*Y123,),VLOOKUP($A123,'Из ГУГЛа'!$B:$Z,X$1,0))</f>
        <v>5190</v>
      </c>
      <c r="Y123" s="75">
        <v>1</v>
      </c>
      <c r="Z123" s="75">
        <v>0</v>
      </c>
      <c r="AA123" s="63">
        <v>5190</v>
      </c>
      <c r="AB123" s="63" t="s">
        <v>1215</v>
      </c>
      <c r="AC123" s="48" t="s">
        <v>1071</v>
      </c>
      <c r="AD123" s="102">
        <f>IFERROR(ROUND((VLOOKUP($A123,'Из ГУГЛа'!$B:$Z,AD$1,0)+AF123)*AE123,),VLOOKUP($A123,'Из ГУГЛа'!$B:$Z,AD$1,0))</f>
        <v>0</v>
      </c>
      <c r="AE123" s="100">
        <v>1</v>
      </c>
      <c r="AF123" s="100"/>
      <c r="AG123" s="103">
        <v>5586</v>
      </c>
      <c r="AH123" s="103" t="s">
        <v>2010</v>
      </c>
      <c r="AI123" s="102">
        <f>IFERROR(ROUND((VLOOKUP($A123,'Из ГУГЛа'!$B:$Z,AI$1,0)+AK123)*AJ123,),VLOOKUP($A123,'Из ГУГЛа'!$B:$Z,AI$1,0))</f>
        <v>0</v>
      </c>
      <c r="AJ123" s="100">
        <v>1</v>
      </c>
      <c r="AK123" s="100"/>
      <c r="AL123" s="103"/>
      <c r="AM123" s="103"/>
      <c r="AN123" s="102">
        <f>IFERROR(ROUND((VLOOKUP($A123,'Из ГУГЛа'!$B:$Z,AN$1,0)+AP123)*AO123,),VLOOKUP($A123,'Из ГУГЛа'!$B:$Z,AN$1,0))</f>
        <v>0</v>
      </c>
      <c r="AO123" s="100">
        <v>1</v>
      </c>
      <c r="AP123" s="100"/>
      <c r="AQ123" s="103"/>
      <c r="AR123" s="103"/>
    </row>
    <row r="124" spans="1:44" ht="31.5" thickTop="1" thickBot="1" x14ac:dyDescent="0.3">
      <c r="A124" s="57">
        <v>136868</v>
      </c>
      <c r="B124" s="57">
        <f>VLOOKUP($A124,'Выгр Кат'!$A:$T,B$1,0)</f>
        <v>12192</v>
      </c>
      <c r="C124" s="58" t="str">
        <f>VLOOKUP($A124,'Выгр Кат'!$A:$T,C$1,0)</f>
        <v>Блок монтажный для ВАЗ 2104-2107 с инжекторным двигателем</v>
      </c>
      <c r="D124" s="57" t="str">
        <f>VLOOKUP($A124,'Выгр Кат'!$A:$T,D$1,0)</f>
        <v>Y</v>
      </c>
      <c r="E124" s="57" t="str">
        <f>VLOOKUP($A124,'Выгр Кат'!$A:$T,E$1,0)</f>
        <v>1</v>
      </c>
      <c r="F124" s="57" t="str">
        <f>VLOOKUP($A124,'Выгр Кат'!$A:$T,F$1,0)</f>
        <v>521.3722</v>
      </c>
      <c r="G124" s="57" t="str">
        <f>VLOOKUP($A124,'Выгр Кат'!$A:$T,G$1,0)</f>
        <v>21073722010</v>
      </c>
      <c r="H124" s="57" t="str">
        <f>VLOOKUP($A124,'Выгр Кат'!$A:$T,H$1,0)</f>
        <v>2107-3722010</v>
      </c>
      <c r="I124" s="64"/>
      <c r="J124" s="1" t="s">
        <v>526</v>
      </c>
      <c r="K124" s="46">
        <f>O124</f>
        <v>4500</v>
      </c>
      <c r="L124" s="7">
        <f>VLOOKUP(K124,Наценка!$A$1:$B$8,2,1)</f>
        <v>1.4</v>
      </c>
      <c r="M124" s="44">
        <f t="shared" si="22"/>
        <v>6300</v>
      </c>
      <c r="N124" s="62">
        <f t="shared" si="23"/>
        <v>6290</v>
      </c>
      <c r="O124" s="60">
        <f>VLOOKUP($A124,'Выгр Кат'!$A:$P,O$1,0)</f>
        <v>4500</v>
      </c>
      <c r="P124" s="60">
        <f>VLOOKUP($A124,'Выгр Кат'!$A:$P,P$1,0)</f>
        <v>7090</v>
      </c>
      <c r="Q124" s="73">
        <f t="shared" si="24"/>
        <v>0</v>
      </c>
      <c r="R124" s="73">
        <f t="shared" si="25"/>
        <v>800</v>
      </c>
      <c r="S124" s="97">
        <f t="shared" si="26"/>
        <v>6290</v>
      </c>
      <c r="T124" s="98">
        <f t="shared" si="27"/>
        <v>0.39777777777777779</v>
      </c>
      <c r="U124" s="98">
        <f t="shared" si="28"/>
        <v>-7.264665757162346E-2</v>
      </c>
      <c r="V124" s="98">
        <f t="shared" si="29"/>
        <v>0.30311111111111111</v>
      </c>
      <c r="W124" s="106">
        <f t="shared" si="37"/>
        <v>5864</v>
      </c>
      <c r="X124" s="102">
        <f>IFERROR(ROUND((VLOOKUP($A124,'Из ГУГЛа'!$B:$Z,X$1,0)+Z124)*Y124,),VLOOKUP($A124,'Из ГУГЛа'!$B:$Z,X$1,0))</f>
        <v>7190</v>
      </c>
      <c r="Y124" s="75">
        <v>1</v>
      </c>
      <c r="Z124" s="75">
        <v>0</v>
      </c>
      <c r="AA124" s="63">
        <v>7190</v>
      </c>
      <c r="AB124" s="63" t="s">
        <v>1215</v>
      </c>
      <c r="AC124" s="48" t="s">
        <v>1074</v>
      </c>
      <c r="AD124" s="102">
        <f>IFERROR(ROUND((VLOOKUP($A124,'Из ГУГЛа'!$B:$Z,AD$1,0)+AF124)*AE124,),VLOOKUP($A124,'Из ГУГЛа'!$B:$Z,AD$1,0))</f>
        <v>0</v>
      </c>
      <c r="AE124" s="100">
        <v>1</v>
      </c>
      <c r="AF124" s="100"/>
      <c r="AG124" s="103">
        <v>5864</v>
      </c>
      <c r="AH124" s="103" t="s">
        <v>2014</v>
      </c>
      <c r="AI124" s="102">
        <f>IFERROR(ROUND((VLOOKUP($A124,'Из ГУГЛа'!$B:$Z,AI$1,0)+AK124)*AJ124,),VLOOKUP($A124,'Из ГУГЛа'!$B:$Z,AI$1,0))</f>
        <v>0</v>
      </c>
      <c r="AJ124" s="100">
        <v>1</v>
      </c>
      <c r="AK124" s="100"/>
      <c r="AL124" s="103"/>
      <c r="AM124" s="103"/>
      <c r="AN124" s="102">
        <f>IFERROR(ROUND((VLOOKUP($A124,'Из ГУГЛа'!$B:$Z,AN$1,0)+AP124)*AO124,),VLOOKUP($A124,'Из ГУГЛа'!$B:$Z,AN$1,0))</f>
        <v>0</v>
      </c>
      <c r="AO124" s="100">
        <v>1</v>
      </c>
      <c r="AP124" s="100"/>
      <c r="AQ124" s="103"/>
      <c r="AR124" s="103"/>
    </row>
    <row r="125" spans="1:44" ht="31.5" thickTop="1" thickBot="1" x14ac:dyDescent="0.3">
      <c r="A125" s="57">
        <v>144954</v>
      </c>
      <c r="B125" s="57">
        <f>VLOOKUP($A125,'Выгр Кат'!$A:$T,B$1,0)</f>
        <v>13335</v>
      </c>
      <c r="C125" s="58" t="str">
        <f>VLOOKUP($A125,'Выгр Кат'!$A:$T,C$1,0)</f>
        <v>Жгут проводов салона задний для Лада Гранта, Калина 2</v>
      </c>
      <c r="D125" s="57" t="str">
        <f>VLOOKUP($A125,'Выгр Кат'!$A:$T,D$1,0)</f>
        <v>Y</v>
      </c>
      <c r="E125" s="57" t="str">
        <f>VLOOKUP($A125,'Выгр Кат'!$A:$T,E$1,0)</f>
        <v>1</v>
      </c>
      <c r="F125" s="57">
        <f>VLOOKUP($A125,'Выгр Кат'!$A:$T,F$1,0)</f>
        <v>0</v>
      </c>
      <c r="G125" s="57" t="str">
        <f>VLOOKUP($A125,'Выгр Кат'!$A:$T,G$1,0)</f>
        <v>21922372421000</v>
      </c>
      <c r="H125" s="57" t="str">
        <f>VLOOKUP($A125,'Выгр Кат'!$A:$T,H$1,0)</f>
        <v>21922-3724210</v>
      </c>
      <c r="I125" s="39"/>
      <c r="J125" s="1" t="s">
        <v>526</v>
      </c>
      <c r="K125" s="46">
        <f>O125</f>
        <v>4500</v>
      </c>
      <c r="L125" s="7">
        <f>VLOOKUP(K125,Наценка!$A$1:$B$8,2,1)</f>
        <v>1.4</v>
      </c>
      <c r="M125" s="44">
        <f t="shared" si="22"/>
        <v>6300</v>
      </c>
      <c r="N125" s="62">
        <f t="shared" si="23"/>
        <v>6290</v>
      </c>
      <c r="O125" s="60">
        <f>VLOOKUP($A125,'Выгр Кат'!$A:$P,O$1,0)</f>
        <v>4500</v>
      </c>
      <c r="P125" s="60">
        <f>VLOOKUP($A125,'Выгр Кат'!$A:$P,P$1,0)</f>
        <v>8690</v>
      </c>
      <c r="Q125" s="73">
        <f t="shared" si="24"/>
        <v>0</v>
      </c>
      <c r="R125" s="73">
        <f t="shared" si="25"/>
        <v>2400</v>
      </c>
      <c r="S125" s="97">
        <f t="shared" si="26"/>
        <v>6290</v>
      </c>
      <c r="T125" s="98">
        <f t="shared" si="27"/>
        <v>0.39777777777777779</v>
      </c>
      <c r="U125" s="98" t="str">
        <f t="shared" si="28"/>
        <v/>
      </c>
      <c r="V125" s="98" t="str">
        <f t="shared" si="29"/>
        <v/>
      </c>
      <c r="W125" s="103"/>
      <c r="X125" s="102">
        <f>IFERROR(ROUND((VLOOKUP($A125,'Из ГУГЛа'!$B:$Z,X$1,0)+Z125)*Y125,),VLOOKUP($A125,'Из ГУГЛа'!$B:$Z,X$1,0))</f>
        <v>8790</v>
      </c>
      <c r="Y125" s="75">
        <v>1</v>
      </c>
      <c r="Z125" s="75">
        <v>0</v>
      </c>
      <c r="AA125" s="63">
        <v>8790</v>
      </c>
      <c r="AB125" s="63" t="s">
        <v>1215</v>
      </c>
      <c r="AC125" s="48" t="s">
        <v>1147</v>
      </c>
      <c r="AD125" s="102">
        <f>IFERROR(ROUND((VLOOKUP($A125,'Из ГУГЛа'!$B:$Z,AD$1,0)+AF125)*AE125,),VLOOKUP($A125,'Из ГУГЛа'!$B:$Z,AD$1,0))</f>
        <v>0</v>
      </c>
      <c r="AE125" s="100">
        <v>1</v>
      </c>
      <c r="AF125" s="100"/>
      <c r="AG125" s="103" t="s">
        <v>1017</v>
      </c>
      <c r="AH125" s="103"/>
      <c r="AI125" s="102">
        <f>IFERROR(ROUND((VLOOKUP($A125,'Из ГУГЛа'!$B:$Z,AI$1,0)+AK125)*AJ125,),VLOOKUP($A125,'Из ГУГЛа'!$B:$Z,AI$1,0))</f>
        <v>0</v>
      </c>
      <c r="AJ125" s="100">
        <v>1</v>
      </c>
      <c r="AK125" s="100"/>
      <c r="AL125" s="103"/>
      <c r="AM125" s="103"/>
      <c r="AN125" s="102">
        <f>IFERROR(ROUND((VLOOKUP($A125,'Из ГУГЛа'!$B:$Z,AN$1,0)+AP125)*AO125,),VLOOKUP($A125,'Из ГУГЛа'!$B:$Z,AN$1,0))</f>
        <v>0</v>
      </c>
      <c r="AO125" s="100">
        <v>1</v>
      </c>
      <c r="AP125" s="100"/>
      <c r="AQ125" s="103"/>
      <c r="AR125" s="103"/>
    </row>
    <row r="126" spans="1:44" ht="27.75" thickTop="1" thickBot="1" x14ac:dyDescent="0.3">
      <c r="A126" s="57">
        <v>144860</v>
      </c>
      <c r="B126" s="57">
        <f>VLOOKUP($A126,'Выгр Кат'!$A:$T,B$1,0)</f>
        <v>13366</v>
      </c>
      <c r="C126" s="58" t="str">
        <f>VLOOKUP($A126,'Выгр Кат'!$A:$T,C$1,0)</f>
        <v>Жгут проводов задний для Лада Гранта седан</v>
      </c>
      <c r="D126" s="57" t="str">
        <f>VLOOKUP($A126,'Выгр Кат'!$A:$T,D$1,0)</f>
        <v>Y</v>
      </c>
      <c r="E126" s="57" t="str">
        <f>VLOOKUP($A126,'Выгр Кат'!$A:$T,E$1,0)</f>
        <v>1</v>
      </c>
      <c r="F126" s="57">
        <f>VLOOKUP($A126,'Выгр Кат'!$A:$T,F$1,0)</f>
        <v>0</v>
      </c>
      <c r="G126" s="57" t="str">
        <f>VLOOKUP($A126,'Выгр Кат'!$A:$T,G$1,0)</f>
        <v>21903724210</v>
      </c>
      <c r="H126" s="57" t="str">
        <f>VLOOKUP($A126,'Выгр Кат'!$A:$T,H$1,0)</f>
        <v>2190-3724210</v>
      </c>
      <c r="I126" s="39" t="s">
        <v>719</v>
      </c>
      <c r="J126" s="1" t="s">
        <v>526</v>
      </c>
      <c r="K126" s="47">
        <f>VLOOKUP(I126,Прайс!A:E,5,0)</f>
        <v>5500</v>
      </c>
      <c r="L126" s="7">
        <f>VLOOKUP(K126,Наценка!$A$1:$B$8,2,1)</f>
        <v>1.32</v>
      </c>
      <c r="M126" s="44">
        <f t="shared" si="22"/>
        <v>7260</v>
      </c>
      <c r="N126" s="62">
        <f t="shared" si="23"/>
        <v>7290</v>
      </c>
      <c r="O126" s="60">
        <f>VLOOKUP($A126,'Выгр Кат'!$A:$P,O$1,0)</f>
        <v>5000</v>
      </c>
      <c r="P126" s="60">
        <f>VLOOKUP($A126,'Выгр Кат'!$A:$P,P$1,0)</f>
        <v>7090</v>
      </c>
      <c r="Q126" s="73">
        <f t="shared" si="24"/>
        <v>-500</v>
      </c>
      <c r="R126" s="73">
        <f t="shared" si="25"/>
        <v>-200</v>
      </c>
      <c r="S126" s="97">
        <f t="shared" si="26"/>
        <v>7290</v>
      </c>
      <c r="T126" s="98">
        <f t="shared" si="27"/>
        <v>0.32545454545454544</v>
      </c>
      <c r="U126" s="98">
        <f t="shared" si="28"/>
        <v>-0.15787801778907243</v>
      </c>
      <c r="V126" s="98">
        <f t="shared" si="29"/>
        <v>0.14472727272727282</v>
      </c>
      <c r="W126" s="106">
        <f t="shared" ref="W126:W141" si="38">MIN(AA126,AG126,AL126,AQ126)</f>
        <v>6296</v>
      </c>
      <c r="X126" s="102">
        <f>IFERROR(ROUND((VLOOKUP($A126,'Из ГУГЛа'!$B:$Z,X$1,0)+Z126)*Y126,),VLOOKUP($A126,'Из ГУГЛа'!$B:$Z,X$1,0))</f>
        <v>7190</v>
      </c>
      <c r="Y126" s="75">
        <v>1</v>
      </c>
      <c r="Z126" s="75">
        <v>0</v>
      </c>
      <c r="AA126" s="63">
        <v>7190</v>
      </c>
      <c r="AB126" s="63" t="s">
        <v>1215</v>
      </c>
      <c r="AC126" s="48" t="s">
        <v>1108</v>
      </c>
      <c r="AD126" s="102">
        <f>IFERROR(ROUND((VLOOKUP($A126,'Из ГУГЛа'!$B:$Z,AD$1,0)+AF126)*AE126,),VLOOKUP($A126,'Из ГУГЛа'!$B:$Z,AD$1,0))</f>
        <v>0</v>
      </c>
      <c r="AE126" s="100">
        <v>1</v>
      </c>
      <c r="AF126" s="100"/>
      <c r="AG126" s="103">
        <v>6296</v>
      </c>
      <c r="AH126" s="103" t="s">
        <v>2015</v>
      </c>
      <c r="AI126" s="102">
        <f>IFERROR(ROUND((VLOOKUP($A126,'Из ГУГЛа'!$B:$Z,AI$1,0)+AK126)*AJ126,),VLOOKUP($A126,'Из ГУГЛа'!$B:$Z,AI$1,0))</f>
        <v>0</v>
      </c>
      <c r="AJ126" s="100">
        <v>1</v>
      </c>
      <c r="AK126" s="100"/>
      <c r="AL126" s="103"/>
      <c r="AM126" s="103"/>
      <c r="AN126" s="102">
        <f>IFERROR(ROUND((VLOOKUP($A126,'Из ГУГЛа'!$B:$Z,AN$1,0)+AP126)*AO126,),VLOOKUP($A126,'Из ГУГЛа'!$B:$Z,AN$1,0))</f>
        <v>0</v>
      </c>
      <c r="AO126" s="100">
        <v>1</v>
      </c>
      <c r="AP126" s="100"/>
      <c r="AQ126" s="103"/>
      <c r="AR126" s="103"/>
    </row>
    <row r="127" spans="1:44" ht="27.75" thickTop="1" thickBot="1" x14ac:dyDescent="0.3">
      <c r="A127" s="57">
        <v>144953</v>
      </c>
      <c r="B127" s="57">
        <f>VLOOKUP($A127,'Выгр Кат'!$A:$T,B$1,0)</f>
        <v>13314</v>
      </c>
      <c r="C127" s="58" t="str">
        <f>VLOOKUP($A127,'Выгр Кат'!$A:$T,C$1,0)</f>
        <v>Жгут проводов салона для Лада Калина</v>
      </c>
      <c r="D127" s="57" t="str">
        <f>VLOOKUP($A127,'Выгр Кат'!$A:$T,D$1,0)</f>
        <v>Y</v>
      </c>
      <c r="E127" s="57" t="str">
        <f>VLOOKUP($A127,'Выгр Кат'!$A:$T,E$1,0)</f>
        <v>1</v>
      </c>
      <c r="F127" s="57">
        <f>VLOOKUP($A127,'Выгр Кат'!$A:$T,F$1,0)</f>
        <v>0</v>
      </c>
      <c r="G127" s="57" t="str">
        <f>VLOOKUP($A127,'Выгр Кат'!$A:$T,G$1,0)</f>
        <v>11173724210</v>
      </c>
      <c r="H127" s="57" t="str">
        <f>VLOOKUP($A127,'Выгр Кат'!$A:$T,H$1,0)</f>
        <v>1117-3724210</v>
      </c>
      <c r="I127" s="39" t="s">
        <v>643</v>
      </c>
      <c r="J127" s="1" t="s">
        <v>526</v>
      </c>
      <c r="K127" s="47">
        <f>VLOOKUP(I127,Прайс!A:E,5,0)</f>
        <v>5000</v>
      </c>
      <c r="L127" s="7">
        <f>VLOOKUP(K127,Наценка!$A$1:$B$8,2,1)</f>
        <v>1.32</v>
      </c>
      <c r="M127" s="44">
        <f t="shared" si="22"/>
        <v>6600</v>
      </c>
      <c r="N127" s="62">
        <f t="shared" si="23"/>
        <v>6590</v>
      </c>
      <c r="O127" s="60">
        <f>VLOOKUP($A127,'Выгр Кат'!$A:$P,O$1,0)</f>
        <v>5000</v>
      </c>
      <c r="P127" s="60">
        <f>VLOOKUP($A127,'Выгр Кат'!$A:$P,P$1,0)</f>
        <v>7090</v>
      </c>
      <c r="Q127" s="73">
        <f t="shared" si="24"/>
        <v>0</v>
      </c>
      <c r="R127" s="73">
        <f t="shared" si="25"/>
        <v>500</v>
      </c>
      <c r="S127" s="97">
        <f t="shared" si="26"/>
        <v>6590</v>
      </c>
      <c r="T127" s="98">
        <f t="shared" si="27"/>
        <v>0.31800000000000006</v>
      </c>
      <c r="U127" s="98">
        <f t="shared" si="28"/>
        <v>8.3449235048678724E-2</v>
      </c>
      <c r="V127" s="98">
        <f t="shared" si="29"/>
        <v>0.43799999999999994</v>
      </c>
      <c r="W127" s="106">
        <f t="shared" si="38"/>
        <v>7190</v>
      </c>
      <c r="X127" s="102">
        <f>IFERROR(ROUND((VLOOKUP($A127,'Из ГУГЛа'!$B:$Z,X$1,0)+Z127)*Y127,),VLOOKUP($A127,'Из ГУГЛа'!$B:$Z,X$1,0))</f>
        <v>7190</v>
      </c>
      <c r="Y127" s="75">
        <v>1</v>
      </c>
      <c r="Z127" s="75">
        <v>0</v>
      </c>
      <c r="AA127" s="63">
        <v>7190</v>
      </c>
      <c r="AB127" s="63" t="s">
        <v>1215</v>
      </c>
      <c r="AC127" s="48" t="s">
        <v>1107</v>
      </c>
      <c r="AD127" s="102">
        <f>IFERROR(ROUND((VLOOKUP($A127,'Из ГУГЛа'!$B:$Z,AD$1,0)+AF127)*AE127,),VLOOKUP($A127,'Из ГУГЛа'!$B:$Z,AD$1,0))</f>
        <v>0</v>
      </c>
      <c r="AE127" s="100">
        <v>1</v>
      </c>
      <c r="AF127" s="100"/>
      <c r="AG127" s="103">
        <v>7573</v>
      </c>
      <c r="AH127" s="103" t="s">
        <v>2016</v>
      </c>
      <c r="AI127" s="102">
        <f>IFERROR(ROUND((VLOOKUP($A127,'Из ГУГЛа'!$B:$Z,AI$1,0)+AK127)*AJ127,),VLOOKUP($A127,'Из ГУГЛа'!$B:$Z,AI$1,0))</f>
        <v>0</v>
      </c>
      <c r="AJ127" s="100">
        <v>1</v>
      </c>
      <c r="AK127" s="100"/>
      <c r="AL127" s="103"/>
      <c r="AM127" s="103"/>
      <c r="AN127" s="102">
        <f>IFERROR(ROUND((VLOOKUP($A127,'Из ГУГЛа'!$B:$Z,AN$1,0)+AP127)*AO127,),VLOOKUP($A127,'Из ГУГЛа'!$B:$Z,AN$1,0))</f>
        <v>0</v>
      </c>
      <c r="AO127" s="100">
        <v>1</v>
      </c>
      <c r="AP127" s="100"/>
      <c r="AQ127" s="103"/>
      <c r="AR127" s="103"/>
    </row>
    <row r="128" spans="1:44" ht="27.75" thickTop="1" thickBot="1" x14ac:dyDescent="0.3">
      <c r="A128" s="57">
        <v>144838</v>
      </c>
      <c r="B128" s="57">
        <f>VLOOKUP($A128,'Выгр Кат'!$A:$T,B$1,0)</f>
        <v>13317</v>
      </c>
      <c r="C128" s="58" t="str">
        <f>VLOOKUP($A128,'Выгр Кат'!$A:$T,C$1,0)</f>
        <v>Жгут проводов задний для Лада Калина седан</v>
      </c>
      <c r="D128" s="57" t="str">
        <f>VLOOKUP($A128,'Выгр Кат'!$A:$T,D$1,0)</f>
        <v>Y</v>
      </c>
      <c r="E128" s="57" t="str">
        <f>VLOOKUP($A128,'Выгр Кат'!$A:$T,E$1,0)</f>
        <v>1</v>
      </c>
      <c r="F128" s="57">
        <f>VLOOKUP($A128,'Выгр Кат'!$A:$T,F$1,0)</f>
        <v>0</v>
      </c>
      <c r="G128" s="57" t="str">
        <f>VLOOKUP($A128,'Выгр Кат'!$A:$T,G$1,0)</f>
        <v>11183724210</v>
      </c>
      <c r="H128" s="57" t="str">
        <f>VLOOKUP($A128,'Выгр Кат'!$A:$T,H$1,0)</f>
        <v>1118-3724210</v>
      </c>
      <c r="I128" s="39" t="s">
        <v>648</v>
      </c>
      <c r="J128" s="1" t="s">
        <v>526</v>
      </c>
      <c r="K128" s="47">
        <f>VLOOKUP(I128,Прайс!A:E,5,0)</f>
        <v>4500</v>
      </c>
      <c r="L128" s="7">
        <f>VLOOKUP(K128,Наценка!$A$1:$B$8,2,1)</f>
        <v>1.4</v>
      </c>
      <c r="M128" s="44">
        <f t="shared" si="22"/>
        <v>6300</v>
      </c>
      <c r="N128" s="62">
        <f t="shared" si="23"/>
        <v>6290</v>
      </c>
      <c r="O128" s="60">
        <f>VLOOKUP($A128,'Выгр Кат'!$A:$P,O$1,0)</f>
        <v>4500</v>
      </c>
      <c r="P128" s="60">
        <f>VLOOKUP($A128,'Выгр Кат'!$A:$P,P$1,0)</f>
        <v>6290</v>
      </c>
      <c r="Q128" s="73">
        <f t="shared" si="24"/>
        <v>0</v>
      </c>
      <c r="R128" s="73">
        <f t="shared" si="25"/>
        <v>0</v>
      </c>
      <c r="S128" s="97">
        <f t="shared" si="26"/>
        <v>6290</v>
      </c>
      <c r="T128" s="98">
        <f t="shared" si="27"/>
        <v>0.39777777777777779</v>
      </c>
      <c r="U128" s="98">
        <f t="shared" si="28"/>
        <v>1.5649452269170579E-2</v>
      </c>
      <c r="V128" s="98">
        <f t="shared" si="29"/>
        <v>0.41999999999999993</v>
      </c>
      <c r="W128" s="106">
        <f t="shared" si="38"/>
        <v>6390</v>
      </c>
      <c r="X128" s="102">
        <f>IFERROR(ROUND((VLOOKUP($A128,'Из ГУГЛа'!$B:$Z,X$1,0)+Z128)*Y128,),VLOOKUP($A128,'Из ГУГЛа'!$B:$Z,X$1,0))</f>
        <v>6390</v>
      </c>
      <c r="Y128" s="75">
        <v>1</v>
      </c>
      <c r="Z128" s="75">
        <v>0</v>
      </c>
      <c r="AA128" s="63">
        <v>6390</v>
      </c>
      <c r="AB128" s="63" t="s">
        <v>1215</v>
      </c>
      <c r="AC128" s="48" t="s">
        <v>1075</v>
      </c>
      <c r="AD128" s="102">
        <f>IFERROR(ROUND((VLOOKUP($A128,'Из ГУГЛа'!$B:$Z,AD$1,0)+AF128)*AE128,),VLOOKUP($A128,'Из ГУГЛа'!$B:$Z,AD$1,0))</f>
        <v>0</v>
      </c>
      <c r="AE128" s="100">
        <v>1</v>
      </c>
      <c r="AF128" s="100"/>
      <c r="AG128" s="103">
        <v>6852</v>
      </c>
      <c r="AH128" s="103" t="s">
        <v>2017</v>
      </c>
      <c r="AI128" s="102">
        <f>IFERROR(ROUND((VLOOKUP($A128,'Из ГУГЛа'!$B:$Z,AI$1,0)+AK128)*AJ128,),VLOOKUP($A128,'Из ГУГЛа'!$B:$Z,AI$1,0))</f>
        <v>0</v>
      </c>
      <c r="AJ128" s="100">
        <v>1</v>
      </c>
      <c r="AK128" s="100"/>
      <c r="AL128" s="103"/>
      <c r="AM128" s="103"/>
      <c r="AN128" s="102">
        <f>IFERROR(ROUND((VLOOKUP($A128,'Из ГУГЛа'!$B:$Z,AN$1,0)+AP128)*AO128,),VLOOKUP($A128,'Из ГУГЛа'!$B:$Z,AN$1,0))</f>
        <v>0</v>
      </c>
      <c r="AO128" s="100">
        <v>1</v>
      </c>
      <c r="AP128" s="100"/>
      <c r="AQ128" s="103"/>
      <c r="AR128" s="103"/>
    </row>
    <row r="129" spans="1:44" ht="46.5" thickTop="1" thickBot="1" x14ac:dyDescent="0.3">
      <c r="A129" s="57">
        <v>144906</v>
      </c>
      <c r="B129" s="57">
        <f>VLOOKUP($A129,'Выгр Кат'!$A:$T,B$1,0)</f>
        <v>13304</v>
      </c>
      <c r="C129" s="58" t="str">
        <f>VLOOKUP($A129,'Выгр Кат'!$A:$T,C$1,0)</f>
        <v>Жгут проводов панели приборов для ВАЗ 2110-2112 1.5 л, со старой панелью, до 2005 года выпуска</v>
      </c>
      <c r="D129" s="57" t="str">
        <f>VLOOKUP($A129,'Выгр Кат'!$A:$T,D$1,0)</f>
        <v>Y</v>
      </c>
      <c r="E129" s="57" t="str">
        <f>VLOOKUP($A129,'Выгр Кат'!$A:$T,E$1,0)</f>
        <v>1</v>
      </c>
      <c r="F129" s="57">
        <f>VLOOKUP($A129,'Выгр Кат'!$A:$T,F$1,0)</f>
        <v>0</v>
      </c>
      <c r="G129" s="57" t="str">
        <f>VLOOKUP($A129,'Выгр Кат'!$A:$T,G$1,0)</f>
        <v>21110372403001</v>
      </c>
      <c r="H129" s="57" t="str">
        <f>VLOOKUP($A129,'Выгр Кат'!$A:$T,H$1,0)</f>
        <v>2111-3724030</v>
      </c>
      <c r="I129" s="39" t="s">
        <v>604</v>
      </c>
      <c r="J129" s="1" t="s">
        <v>526</v>
      </c>
      <c r="K129" s="47">
        <f>VLOOKUP(I129,Прайс!A:E,5,0)</f>
        <v>5000</v>
      </c>
      <c r="L129" s="7">
        <f>VLOOKUP(K129,Наценка!$A$1:$B$8,2,1)</f>
        <v>1.32</v>
      </c>
      <c r="M129" s="44">
        <f t="shared" si="22"/>
        <v>6600</v>
      </c>
      <c r="N129" s="62">
        <f t="shared" ref="N129:N190" si="39">IF(M129&lt;=1000,(ROUNDUP(M129,-1)-1),(ROUNDUP(M129,-2)-10))</f>
        <v>6590</v>
      </c>
      <c r="O129" s="60">
        <f>VLOOKUP($A129,'Выгр Кат'!$A:$P,O$1,0)</f>
        <v>5000</v>
      </c>
      <c r="P129" s="60">
        <f>VLOOKUP($A129,'Выгр Кат'!$A:$P,P$1,0)</f>
        <v>7090</v>
      </c>
      <c r="Q129" s="73">
        <f t="shared" ref="Q129:Q192" si="40">O129-K129</f>
        <v>0</v>
      </c>
      <c r="R129" s="73">
        <f t="shared" ref="R129:R192" si="41">P129-N129</f>
        <v>500</v>
      </c>
      <c r="S129" s="97">
        <f t="shared" si="26"/>
        <v>6590</v>
      </c>
      <c r="T129" s="98">
        <f t="shared" si="27"/>
        <v>0.31800000000000006</v>
      </c>
      <c r="U129" s="98">
        <f t="shared" si="28"/>
        <v>3.8237011091652069E-2</v>
      </c>
      <c r="V129" s="98">
        <f t="shared" si="29"/>
        <v>0.37040000000000006</v>
      </c>
      <c r="W129" s="106">
        <f t="shared" si="38"/>
        <v>6852</v>
      </c>
      <c r="X129" s="102">
        <f>IFERROR(ROUND((VLOOKUP($A129,'Из ГУГЛа'!$B:$Z,X$1,0)+Z129)*Y129,),VLOOKUP($A129,'Из ГУГЛа'!$B:$Z,X$1,0))</f>
        <v>7190</v>
      </c>
      <c r="Y129" s="75">
        <v>1</v>
      </c>
      <c r="Z129" s="75">
        <v>0</v>
      </c>
      <c r="AA129" s="63">
        <v>7190</v>
      </c>
      <c r="AB129" s="63" t="s">
        <v>1215</v>
      </c>
      <c r="AC129" s="48" t="s">
        <v>1076</v>
      </c>
      <c r="AD129" s="102">
        <f>IFERROR(ROUND((VLOOKUP($A129,'Из ГУГЛа'!$B:$Z,AD$1,0)+AF129)*AE129,),VLOOKUP($A129,'Из ГУГЛа'!$B:$Z,AD$1,0))</f>
        <v>0</v>
      </c>
      <c r="AE129" s="100">
        <v>1</v>
      </c>
      <c r="AF129" s="100"/>
      <c r="AG129" s="103">
        <v>6852</v>
      </c>
      <c r="AH129" s="103" t="s">
        <v>2018</v>
      </c>
      <c r="AI129" s="102">
        <f>IFERROR(ROUND((VLOOKUP($A129,'Из ГУГЛа'!$B:$Z,AI$1,0)+AK129)*AJ129,),VLOOKUP($A129,'Из ГУГЛа'!$B:$Z,AI$1,0))</f>
        <v>0</v>
      </c>
      <c r="AJ129" s="100">
        <v>1</v>
      </c>
      <c r="AK129" s="100"/>
      <c r="AL129" s="103"/>
      <c r="AM129" s="103"/>
      <c r="AN129" s="102">
        <f>IFERROR(ROUND((VLOOKUP($A129,'Из ГУГЛа'!$B:$Z,AN$1,0)+AP129)*AO129,),VLOOKUP($A129,'Из ГУГЛа'!$B:$Z,AN$1,0))</f>
        <v>0</v>
      </c>
      <c r="AO129" s="100">
        <v>1</v>
      </c>
      <c r="AP129" s="100"/>
      <c r="AQ129" s="103"/>
      <c r="AR129" s="103"/>
    </row>
    <row r="130" spans="1:44" ht="53.25" thickTop="1" thickBot="1" x14ac:dyDescent="0.3">
      <c r="A130" s="57">
        <v>144908</v>
      </c>
      <c r="B130" s="57">
        <f>VLOOKUP($A130,'Выгр Кат'!$A:$T,B$1,0)</f>
        <v>13420</v>
      </c>
      <c r="C130" s="58" t="str">
        <f>VLOOKUP($A130,'Выгр Кат'!$A:$T,C$1,0)</f>
        <v>Жгут проводов панели приборов для Лада Нива 4х4 карбюраторный двигатель</v>
      </c>
      <c r="D130" s="57" t="str">
        <f>VLOOKUP($A130,'Выгр Кат'!$A:$T,D$1,0)</f>
        <v>Y</v>
      </c>
      <c r="E130" s="57" t="str">
        <f>VLOOKUP($A130,'Выгр Кат'!$A:$T,E$1,0)</f>
        <v>1</v>
      </c>
      <c r="F130" s="57">
        <f>VLOOKUP($A130,'Выгр Кат'!$A:$T,F$1,0)</f>
        <v>0</v>
      </c>
      <c r="G130" s="57" t="str">
        <f>VLOOKUP($A130,'Выгр Кат'!$A:$T,G$1,0)</f>
        <v>212133724030</v>
      </c>
      <c r="H130" s="57" t="str">
        <f>VLOOKUP($A130,'Выгр Кат'!$A:$T,H$1,0)</f>
        <v>21213-3724030</v>
      </c>
      <c r="I130" s="39" t="s">
        <v>868</v>
      </c>
      <c r="J130" s="1" t="s">
        <v>526</v>
      </c>
      <c r="K130" s="47">
        <f>VLOOKUP(I130,Прайс!A:E,5,0)</f>
        <v>6500</v>
      </c>
      <c r="L130" s="7">
        <f>VLOOKUP(K130,Наценка!$A$1:$B$8,2,1)</f>
        <v>1.32</v>
      </c>
      <c r="M130" s="44">
        <f t="shared" si="22"/>
        <v>8580</v>
      </c>
      <c r="N130" s="62">
        <f t="shared" si="39"/>
        <v>8590</v>
      </c>
      <c r="O130" s="60">
        <f>VLOOKUP($A130,'Выгр Кат'!$A:$P,O$1,0)</f>
        <v>6000</v>
      </c>
      <c r="P130" s="60">
        <f>VLOOKUP($A130,'Выгр Кат'!$A:$P,P$1,0)</f>
        <v>8490</v>
      </c>
      <c r="Q130" s="73">
        <f t="shared" si="40"/>
        <v>-500</v>
      </c>
      <c r="R130" s="73">
        <f t="shared" si="41"/>
        <v>-100</v>
      </c>
      <c r="S130" s="97">
        <f t="shared" si="26"/>
        <v>8590</v>
      </c>
      <c r="T130" s="98">
        <f t="shared" si="27"/>
        <v>0.32153846153846155</v>
      </c>
      <c r="U130" s="98">
        <f t="shared" si="28"/>
        <v>-6.8142253170853026E-2</v>
      </c>
      <c r="V130" s="98">
        <f t="shared" si="29"/>
        <v>0.23723076923076913</v>
      </c>
      <c r="W130" s="106">
        <f t="shared" si="38"/>
        <v>8042</v>
      </c>
      <c r="X130" s="102">
        <f>IFERROR(ROUND((VLOOKUP($A130,'Из ГУГЛа'!$B:$Z,X$1,0)+Z130)*Y130,),VLOOKUP($A130,'Из ГУГЛа'!$B:$Z,X$1,0))</f>
        <v>8590</v>
      </c>
      <c r="Y130" s="75">
        <v>1</v>
      </c>
      <c r="Z130" s="75">
        <v>0</v>
      </c>
      <c r="AA130" s="63">
        <v>8590</v>
      </c>
      <c r="AB130" s="63" t="s">
        <v>1215</v>
      </c>
      <c r="AC130" s="48" t="s">
        <v>1077</v>
      </c>
      <c r="AD130" s="102">
        <f>IFERROR(ROUND((VLOOKUP($A130,'Из ГУГЛа'!$B:$Z,AD$1,0)+AF130)*AE130,),VLOOKUP($A130,'Из ГУГЛа'!$B:$Z,AD$1,0))</f>
        <v>0</v>
      </c>
      <c r="AE130" s="100">
        <v>1</v>
      </c>
      <c r="AF130" s="100"/>
      <c r="AG130" s="103">
        <v>8042</v>
      </c>
      <c r="AH130" s="103" t="s">
        <v>2019</v>
      </c>
      <c r="AI130" s="102">
        <f>IFERROR(ROUND((VLOOKUP($A130,'Из ГУГЛа'!$B:$Z,AI$1,0)+AK130)*AJ130,),VLOOKUP($A130,'Из ГУГЛа'!$B:$Z,AI$1,0))</f>
        <v>0</v>
      </c>
      <c r="AJ130" s="100">
        <v>1</v>
      </c>
      <c r="AK130" s="100"/>
      <c r="AL130" s="103"/>
      <c r="AM130" s="103"/>
      <c r="AN130" s="102">
        <f>IFERROR(ROUND((VLOOKUP($A130,'Из ГУГЛа'!$B:$Z,AN$1,0)+AP130)*AO130,),VLOOKUP($A130,'Из ГУГЛа'!$B:$Z,AN$1,0))</f>
        <v>0</v>
      </c>
      <c r="AO130" s="100">
        <v>1</v>
      </c>
      <c r="AP130" s="100"/>
      <c r="AQ130" s="103"/>
      <c r="AR130" s="103"/>
    </row>
    <row r="131" spans="1:44" ht="40.5" thickTop="1" thickBot="1" x14ac:dyDescent="0.3">
      <c r="A131" s="57">
        <v>144943</v>
      </c>
      <c r="B131" s="57">
        <f>VLOOKUP($A131,'Выгр Кат'!$A:$T,B$1,0)</f>
        <v>13423</v>
      </c>
      <c r="C131" s="58" t="str">
        <f>VLOOKUP($A131,'Выгр Кат'!$A:$T,C$1,0)</f>
        <v>Жгут проводов под капот передняя часть для Лада Нива 4х4</v>
      </c>
      <c r="D131" s="57" t="str">
        <f>VLOOKUP($A131,'Выгр Кат'!$A:$T,D$1,0)</f>
        <v>Y</v>
      </c>
      <c r="E131" s="57" t="str">
        <f>VLOOKUP($A131,'Выгр Кат'!$A:$T,E$1,0)</f>
        <v>1</v>
      </c>
      <c r="F131" s="57">
        <f>VLOOKUP($A131,'Выгр Кат'!$A:$T,F$1,0)</f>
        <v>0</v>
      </c>
      <c r="G131" s="57" t="str">
        <f>VLOOKUP($A131,'Выгр Кат'!$A:$T,G$1,0)</f>
        <v>21213724008</v>
      </c>
      <c r="H131" s="57" t="str">
        <f>VLOOKUP($A131,'Выгр Кат'!$A:$T,H$1,0)</f>
        <v>2121-3724008</v>
      </c>
      <c r="I131" s="39" t="s">
        <v>663</v>
      </c>
      <c r="J131" s="1" t="s">
        <v>526</v>
      </c>
      <c r="K131" s="47">
        <f>VLOOKUP(I131,Прайс!A:E,5,0)</f>
        <v>6500</v>
      </c>
      <c r="L131" s="7">
        <f>VLOOKUP(K131,Наценка!$A$1:$B$8,2,1)</f>
        <v>1.32</v>
      </c>
      <c r="M131" s="44">
        <f t="shared" ref="M131:M194" si="42">K131*L131</f>
        <v>8580</v>
      </c>
      <c r="N131" s="62">
        <f t="shared" si="39"/>
        <v>8590</v>
      </c>
      <c r="O131" s="60">
        <f>VLOOKUP($A131,'Выгр Кат'!$A:$P,O$1,0)</f>
        <v>6000</v>
      </c>
      <c r="P131" s="60">
        <f>VLOOKUP($A131,'Выгр Кат'!$A:$P,P$1,0)</f>
        <v>8490</v>
      </c>
      <c r="Q131" s="73">
        <f t="shared" si="40"/>
        <v>-500</v>
      </c>
      <c r="R131" s="73">
        <f t="shared" si="41"/>
        <v>-100</v>
      </c>
      <c r="S131" s="97">
        <f t="shared" si="26"/>
        <v>8590</v>
      </c>
      <c r="T131" s="98">
        <f t="shared" si="27"/>
        <v>0.32153846153846155</v>
      </c>
      <c r="U131" s="98">
        <f t="shared" si="28"/>
        <v>-0.15596824115193109</v>
      </c>
      <c r="V131" s="98">
        <f t="shared" si="29"/>
        <v>0.14323076923076927</v>
      </c>
      <c r="W131" s="106">
        <f t="shared" si="38"/>
        <v>7431</v>
      </c>
      <c r="X131" s="102">
        <f>IFERROR(ROUND((VLOOKUP($A131,'Из ГУГЛа'!$B:$Z,X$1,0)+Z131)*Y131,),VLOOKUP($A131,'Из ГУГЛа'!$B:$Z,X$1,0))</f>
        <v>8590</v>
      </c>
      <c r="Y131" s="75">
        <v>1</v>
      </c>
      <c r="Z131" s="75">
        <v>0</v>
      </c>
      <c r="AA131" s="63">
        <v>8590</v>
      </c>
      <c r="AB131" s="63" t="s">
        <v>1215</v>
      </c>
      <c r="AC131" s="48" t="s">
        <v>1078</v>
      </c>
      <c r="AD131" s="102">
        <f>IFERROR(ROUND((VLOOKUP($A131,'Из ГУГЛа'!$B:$Z,AD$1,0)+AF131)*AE131,),VLOOKUP($A131,'Из ГУГЛа'!$B:$Z,AD$1,0))</f>
        <v>0</v>
      </c>
      <c r="AE131" s="100">
        <v>1</v>
      </c>
      <c r="AF131" s="100"/>
      <c r="AG131" s="103">
        <v>7431</v>
      </c>
      <c r="AH131" s="103" t="s">
        <v>2020</v>
      </c>
      <c r="AI131" s="102">
        <f>IFERROR(ROUND((VLOOKUP($A131,'Из ГУГЛа'!$B:$Z,AI$1,0)+AK131)*AJ131,),VLOOKUP($A131,'Из ГУГЛа'!$B:$Z,AI$1,0))</f>
        <v>0</v>
      </c>
      <c r="AJ131" s="100">
        <v>1</v>
      </c>
      <c r="AK131" s="100"/>
      <c r="AL131" s="103"/>
      <c r="AM131" s="103"/>
      <c r="AN131" s="102">
        <f>IFERROR(ROUND((VLOOKUP($A131,'Из ГУГЛа'!$B:$Z,AN$1,0)+AP131)*AO131,),VLOOKUP($A131,'Из ГУГЛа'!$B:$Z,AN$1,0))</f>
        <v>0</v>
      </c>
      <c r="AO131" s="100">
        <v>1</v>
      </c>
      <c r="AP131" s="100"/>
      <c r="AQ131" s="103"/>
      <c r="AR131" s="103"/>
    </row>
    <row r="132" spans="1:44" ht="31.5" thickTop="1" thickBot="1" x14ac:dyDescent="0.3">
      <c r="A132" s="57">
        <v>144855</v>
      </c>
      <c r="B132" s="57">
        <f>VLOOKUP($A132,'Выгр Кат'!$A:$T,B$1,0)</f>
        <v>13346</v>
      </c>
      <c r="C132" s="58" t="str">
        <f>VLOOKUP($A132,'Выгр Кат'!$A:$T,C$1,0)</f>
        <v>Жгут проводов задний 2170 для Лада Приора седан</v>
      </c>
      <c r="D132" s="57" t="str">
        <f>VLOOKUP($A132,'Выгр Кат'!$A:$T,D$1,0)</f>
        <v>Y</v>
      </c>
      <c r="E132" s="57" t="str">
        <f>VLOOKUP($A132,'Выгр Кат'!$A:$T,E$1,0)</f>
        <v>1</v>
      </c>
      <c r="F132" s="57">
        <f>VLOOKUP($A132,'Выгр Кат'!$A:$T,F$1,0)</f>
        <v>0</v>
      </c>
      <c r="G132" s="57" t="str">
        <f>VLOOKUP($A132,'Выгр Кат'!$A:$T,G$1,0)</f>
        <v>21703724210</v>
      </c>
      <c r="H132" s="57" t="str">
        <f>VLOOKUP($A132,'Выгр Кат'!$A:$T,H$1,0)</f>
        <v>2170-3724210</v>
      </c>
      <c r="I132" s="39" t="s">
        <v>699</v>
      </c>
      <c r="J132" s="1" t="s">
        <v>526</v>
      </c>
      <c r="K132" s="46">
        <f>O132</f>
        <v>5000</v>
      </c>
      <c r="L132" s="7">
        <f>VLOOKUP(K132,Наценка!$A$1:$B$8,2,1)</f>
        <v>1.32</v>
      </c>
      <c r="M132" s="44">
        <f t="shared" si="42"/>
        <v>6600</v>
      </c>
      <c r="N132" s="62">
        <f t="shared" si="39"/>
        <v>6590</v>
      </c>
      <c r="O132" s="60">
        <f>VLOOKUP($A132,'Выгр Кат'!$A:$P,O$1,0)</f>
        <v>5000</v>
      </c>
      <c r="P132" s="60">
        <f>VLOOKUP($A132,'Выгр Кат'!$A:$P,P$1,0)</f>
        <v>7090</v>
      </c>
      <c r="Q132" s="73">
        <f t="shared" si="40"/>
        <v>0</v>
      </c>
      <c r="R132" s="73">
        <f t="shared" si="41"/>
        <v>500</v>
      </c>
      <c r="S132" s="97">
        <f t="shared" ref="S132:S195" si="43">IFERROR(ROUND(N132*(1-$S$2),),"")</f>
        <v>6590</v>
      </c>
      <c r="T132" s="98">
        <f t="shared" ref="T132:T195" si="44">IFERROR(S132/K132-1,"")</f>
        <v>0.31800000000000006</v>
      </c>
      <c r="U132" s="98">
        <f t="shared" ref="U132:U195" si="45">IFERROR((W132-S132)/W132,"")</f>
        <v>8.3449235048678724E-2</v>
      </c>
      <c r="V132" s="98">
        <f t="shared" ref="V132:V195" si="46">IFERROR(IF(W132="","",W132/K132-1),"")</f>
        <v>0.43799999999999994</v>
      </c>
      <c r="W132" s="106">
        <f t="shared" si="38"/>
        <v>7190</v>
      </c>
      <c r="X132" s="102">
        <f>IFERROR(ROUND((VLOOKUP($A132,'Из ГУГЛа'!$B:$Z,X$1,0)+Z132)*Y132,),VLOOKUP($A132,'Из ГУГЛа'!$B:$Z,X$1,0))</f>
        <v>7190</v>
      </c>
      <c r="Y132" s="75">
        <v>1</v>
      </c>
      <c r="Z132" s="75">
        <v>0</v>
      </c>
      <c r="AA132" s="63">
        <v>7190</v>
      </c>
      <c r="AB132" s="63" t="s">
        <v>1215</v>
      </c>
      <c r="AC132" s="48" t="s">
        <v>1079</v>
      </c>
      <c r="AD132" s="102">
        <f>IFERROR(ROUND((VLOOKUP($A132,'Из ГУГЛа'!$B:$Z,AD$1,0)+AF132)*AE132,),VLOOKUP($A132,'Из ГУГЛа'!$B:$Z,AD$1,0))</f>
        <v>0</v>
      </c>
      <c r="AE132" s="100">
        <v>1</v>
      </c>
      <c r="AF132" s="100"/>
      <c r="AG132" s="103">
        <v>7212</v>
      </c>
      <c r="AH132" s="103" t="s">
        <v>2021</v>
      </c>
      <c r="AI132" s="102">
        <f>IFERROR(ROUND((VLOOKUP($A132,'Из ГУГЛа'!$B:$Z,AI$1,0)+AK132)*AJ132,),VLOOKUP($A132,'Из ГУГЛа'!$B:$Z,AI$1,0))</f>
        <v>0</v>
      </c>
      <c r="AJ132" s="100">
        <v>1</v>
      </c>
      <c r="AK132" s="100"/>
      <c r="AL132" s="103"/>
      <c r="AM132" s="103"/>
      <c r="AN132" s="102">
        <f>IFERROR(ROUND((VLOOKUP($A132,'Из ГУГЛа'!$B:$Z,AN$1,0)+AP132)*AO132,),VLOOKUP($A132,'Из ГУГЛа'!$B:$Z,AN$1,0))</f>
        <v>0</v>
      </c>
      <c r="AO132" s="100">
        <v>1</v>
      </c>
      <c r="AP132" s="100"/>
      <c r="AQ132" s="103"/>
      <c r="AR132" s="103"/>
    </row>
    <row r="133" spans="1:44" ht="31.5" thickTop="1" thickBot="1" x14ac:dyDescent="0.3">
      <c r="A133" s="57">
        <v>144859</v>
      </c>
      <c r="B133" s="57">
        <f>VLOOKUP($A133,'Выгр Кат'!$A:$T,B$1,0)</f>
        <v>13350</v>
      </c>
      <c r="C133" s="58" t="str">
        <f>VLOOKUP($A133,'Выгр Кат'!$A:$T,C$1,0)</f>
        <v>Жгут проводов задний 21713-00 для Лада Приора универсал</v>
      </c>
      <c r="D133" s="57" t="str">
        <f>VLOOKUP($A133,'Выгр Кат'!$A:$T,D$1,0)</f>
        <v>Y</v>
      </c>
      <c r="E133" s="57" t="str">
        <f>VLOOKUP($A133,'Выгр Кат'!$A:$T,E$1,0)</f>
        <v>1</v>
      </c>
      <c r="F133" s="57">
        <f>VLOOKUP($A133,'Выгр Кат'!$A:$T,F$1,0)</f>
        <v>0</v>
      </c>
      <c r="G133" s="57" t="str">
        <f>VLOOKUP($A133,'Выгр Кат'!$A:$T,G$1,0)</f>
        <v>21713372121000</v>
      </c>
      <c r="H133" s="57" t="str">
        <f>VLOOKUP($A133,'Выгр Кат'!$A:$T,H$1,0)</f>
        <v>21713-3721210</v>
      </c>
      <c r="I133" s="39" t="s">
        <v>703</v>
      </c>
      <c r="J133" s="1" t="s">
        <v>526</v>
      </c>
      <c r="K133" s="47">
        <f>VLOOKUP(I133,Прайс!A:E,5,0)</f>
        <v>5500</v>
      </c>
      <c r="L133" s="7">
        <f>VLOOKUP(K133,Наценка!$A$1:$B$8,2,1)</f>
        <v>1.32</v>
      </c>
      <c r="M133" s="44">
        <f t="shared" si="42"/>
        <v>7260</v>
      </c>
      <c r="N133" s="62">
        <f t="shared" si="39"/>
        <v>7290</v>
      </c>
      <c r="O133" s="60">
        <f>VLOOKUP($A133,'Выгр Кат'!$A:$P,O$1,0)</f>
        <v>5500</v>
      </c>
      <c r="P133" s="60">
        <f>VLOOKUP($A133,'Выгр Кат'!$A:$P,P$1,0)</f>
        <v>7790</v>
      </c>
      <c r="Q133" s="73">
        <f t="shared" si="40"/>
        <v>0</v>
      </c>
      <c r="R133" s="73">
        <f t="shared" si="41"/>
        <v>500</v>
      </c>
      <c r="S133" s="97">
        <f t="shared" si="43"/>
        <v>7290</v>
      </c>
      <c r="T133" s="98">
        <f t="shared" si="44"/>
        <v>0.32545454545454544</v>
      </c>
      <c r="U133" s="98">
        <f t="shared" si="45"/>
        <v>-1.0815307820299502E-2</v>
      </c>
      <c r="V133" s="98">
        <f t="shared" si="46"/>
        <v>0.31127272727272737</v>
      </c>
      <c r="W133" s="106">
        <f t="shared" si="38"/>
        <v>7212</v>
      </c>
      <c r="X133" s="102">
        <f>IFERROR(ROUND((VLOOKUP($A133,'Из ГУГЛа'!$B:$Z,X$1,0)+Z133)*Y133,),VLOOKUP($A133,'Из ГУГЛа'!$B:$Z,X$1,0))</f>
        <v>7890</v>
      </c>
      <c r="Y133" s="75">
        <v>1</v>
      </c>
      <c r="Z133" s="75">
        <v>0</v>
      </c>
      <c r="AA133" s="63">
        <v>7890</v>
      </c>
      <c r="AB133" s="63" t="s">
        <v>1215</v>
      </c>
      <c r="AC133" s="48" t="s">
        <v>891</v>
      </c>
      <c r="AD133" s="102">
        <f>IFERROR(ROUND((VLOOKUP($A133,'Из ГУГЛа'!$B:$Z,AD$1,0)+AF133)*AE133,),VLOOKUP($A133,'Из ГУГЛа'!$B:$Z,AD$1,0))</f>
        <v>0</v>
      </c>
      <c r="AE133" s="100">
        <v>1</v>
      </c>
      <c r="AF133" s="100"/>
      <c r="AG133" s="103">
        <v>7212</v>
      </c>
      <c r="AH133" s="103" t="s">
        <v>2022</v>
      </c>
      <c r="AI133" s="102">
        <f>IFERROR(ROUND((VLOOKUP($A133,'Из ГУГЛа'!$B:$Z,AI$1,0)+AK133)*AJ133,),VLOOKUP($A133,'Из ГУГЛа'!$B:$Z,AI$1,0))</f>
        <v>0</v>
      </c>
      <c r="AJ133" s="100">
        <v>1</v>
      </c>
      <c r="AK133" s="100"/>
      <c r="AL133" s="103"/>
      <c r="AM133" s="103"/>
      <c r="AN133" s="102">
        <f>IFERROR(ROUND((VLOOKUP($A133,'Из ГУГЛа'!$B:$Z,AN$1,0)+AP133)*AO133,),VLOOKUP($A133,'Из ГУГЛа'!$B:$Z,AN$1,0))</f>
        <v>0</v>
      </c>
      <c r="AO133" s="100">
        <v>1</v>
      </c>
      <c r="AP133" s="100"/>
      <c r="AQ133" s="103"/>
      <c r="AR133" s="103"/>
    </row>
    <row r="134" spans="1:44" ht="53.25" thickTop="1" thickBot="1" x14ac:dyDescent="0.3">
      <c r="A134" s="57">
        <v>164580</v>
      </c>
      <c r="B134" s="57">
        <f>VLOOKUP($A134,'Выгр Кат'!$A:$T,B$1,0)</f>
        <v>13362</v>
      </c>
      <c r="C134" s="58" t="str">
        <f>VLOOKUP($A134,'Выгр Кат'!$A:$T,C$1,0)</f>
        <v>Монтажный набор для подключения лобового стекла с подогревом для Лада Приора, Приора 2</v>
      </c>
      <c r="D134" s="57" t="str">
        <f>VLOOKUP($A134,'Выгр Кат'!$A:$T,D$1,0)</f>
        <v>Y</v>
      </c>
      <c r="E134" s="57" t="str">
        <f>VLOOKUP($A134,'Выгр Кат'!$A:$T,E$1,0)</f>
        <v>1</v>
      </c>
      <c r="F134" s="57">
        <f>VLOOKUP($A134,'Выгр Кат'!$A:$T,F$1,0)</f>
        <v>0</v>
      </c>
      <c r="G134" s="57">
        <f>VLOOKUP($A134,'Выгр Кат'!$A:$T,G$1,0)</f>
        <v>0</v>
      </c>
      <c r="H134" s="57">
        <f>VLOOKUP($A134,'Выгр Кат'!$A:$T,H$1,0)</f>
        <v>0</v>
      </c>
      <c r="I134" s="39" t="s">
        <v>715</v>
      </c>
      <c r="J134" s="1" t="s">
        <v>526</v>
      </c>
      <c r="K134" s="47">
        <f>VLOOKUP(I134,Прайс!A:E,5,0)</f>
        <v>5500</v>
      </c>
      <c r="L134" s="7">
        <f>VLOOKUP(K134,Наценка!$A$1:$B$8,2,1)</f>
        <v>1.32</v>
      </c>
      <c r="M134" s="44">
        <f t="shared" si="42"/>
        <v>7260</v>
      </c>
      <c r="N134" s="62">
        <f t="shared" si="39"/>
        <v>7290</v>
      </c>
      <c r="O134" s="60">
        <f>VLOOKUP($A134,'Выгр Кат'!$A:$P,O$1,0)</f>
        <v>5500</v>
      </c>
      <c r="P134" s="60">
        <f>VLOOKUP($A134,'Выгр Кат'!$A:$P,P$1,0)</f>
        <v>7790</v>
      </c>
      <c r="Q134" s="73">
        <f t="shared" si="40"/>
        <v>0</v>
      </c>
      <c r="R134" s="73">
        <f t="shared" si="41"/>
        <v>500</v>
      </c>
      <c r="S134" s="97">
        <f t="shared" si="43"/>
        <v>7290</v>
      </c>
      <c r="T134" s="98">
        <f t="shared" si="44"/>
        <v>0.32545454545454544</v>
      </c>
      <c r="U134" s="98">
        <f t="shared" si="45"/>
        <v>-0.12309351409644123</v>
      </c>
      <c r="V134" s="98">
        <f t="shared" si="46"/>
        <v>0.18018181818181822</v>
      </c>
      <c r="W134" s="106">
        <f t="shared" si="38"/>
        <v>6491</v>
      </c>
      <c r="X134" s="102">
        <f>IFERROR(ROUND((VLOOKUP($A134,'Из ГУГЛа'!$B:$Z,X$1,0)+Z134)*Y134,),VLOOKUP($A134,'Из ГУГЛа'!$B:$Z,X$1,0))</f>
        <v>7890</v>
      </c>
      <c r="Y134" s="75">
        <v>1</v>
      </c>
      <c r="Z134" s="75">
        <v>0</v>
      </c>
      <c r="AA134" s="63">
        <v>7890</v>
      </c>
      <c r="AB134" s="63" t="s">
        <v>1215</v>
      </c>
      <c r="AC134" s="48" t="s">
        <v>1080</v>
      </c>
      <c r="AD134" s="102">
        <f>IFERROR(ROUND((VLOOKUP($A134,'Из ГУГЛа'!$B:$Z,AD$1,0)+AF134)*AE134,),VLOOKUP($A134,'Из ГУГЛа'!$B:$Z,AD$1,0))</f>
        <v>0</v>
      </c>
      <c r="AE134" s="100">
        <v>1</v>
      </c>
      <c r="AF134" s="100"/>
      <c r="AG134" s="103">
        <v>6491</v>
      </c>
      <c r="AH134" s="103" t="s">
        <v>2023</v>
      </c>
      <c r="AI134" s="102">
        <f>IFERROR(ROUND((VLOOKUP($A134,'Из ГУГЛа'!$B:$Z,AI$1,0)+AK134)*AJ134,),VLOOKUP($A134,'Из ГУГЛа'!$B:$Z,AI$1,0))</f>
        <v>0</v>
      </c>
      <c r="AJ134" s="100">
        <v>1</v>
      </c>
      <c r="AK134" s="100"/>
      <c r="AL134" s="103"/>
      <c r="AM134" s="103"/>
      <c r="AN134" s="102">
        <f>IFERROR(ROUND((VLOOKUP($A134,'Из ГУГЛа'!$B:$Z,AN$1,0)+AP134)*AO134,),VLOOKUP($A134,'Из ГУГЛа'!$B:$Z,AN$1,0))</f>
        <v>0</v>
      </c>
      <c r="AO134" s="100">
        <v>1</v>
      </c>
      <c r="AP134" s="100"/>
      <c r="AQ134" s="103"/>
      <c r="AR134" s="103"/>
    </row>
    <row r="135" spans="1:44" ht="31.5" thickTop="1" thickBot="1" x14ac:dyDescent="0.3">
      <c r="A135" s="57">
        <v>164569</v>
      </c>
      <c r="B135" s="57">
        <f>VLOOKUP($A135,'Выгр Кат'!$A:$T,B$1,0)</f>
        <v>3981</v>
      </c>
      <c r="C135" s="58" t="str">
        <f>VLOOKUP($A135,'Выгр Кат'!$A:$T,C$1,0)</f>
        <v>Монтажный блок для ВАЗ 2108-21099 с карбюраторным двигателем</v>
      </c>
      <c r="D135" s="57" t="str">
        <f>VLOOKUP($A135,'Выгр Кат'!$A:$T,D$1,0)</f>
        <v>Y</v>
      </c>
      <c r="E135" s="57" t="str">
        <f>VLOOKUP($A135,'Выгр Кат'!$A:$T,E$1,0)</f>
        <v>1</v>
      </c>
      <c r="F135" s="57" t="str">
        <f>VLOOKUP($A135,'Выгр Кат'!$A:$T,F$1,0)</f>
        <v>173.3722-01м</v>
      </c>
      <c r="G135" s="57" t="str">
        <f>VLOOKUP($A135,'Выгр Кат'!$A:$T,G$1,0)</f>
        <v>21083722020</v>
      </c>
      <c r="H135" s="57" t="str">
        <f>VLOOKUP($A135,'Выгр Кат'!$A:$T,H$1,0)</f>
        <v>2108-3722020</v>
      </c>
      <c r="I135" s="64"/>
      <c r="J135" s="1" t="s">
        <v>526</v>
      </c>
      <c r="K135" s="46">
        <f>O135</f>
        <v>5500</v>
      </c>
      <c r="L135" s="7">
        <f>VLOOKUP(K135,Наценка!$A$1:$B$8,2,1)</f>
        <v>1.32</v>
      </c>
      <c r="M135" s="44">
        <f t="shared" si="42"/>
        <v>7260</v>
      </c>
      <c r="N135" s="62">
        <f t="shared" si="39"/>
        <v>7290</v>
      </c>
      <c r="O135" s="60">
        <f>VLOOKUP($A135,'Выгр Кат'!$A:$P,O$1,0)</f>
        <v>5500</v>
      </c>
      <c r="P135" s="60">
        <f>VLOOKUP($A135,'Выгр Кат'!$A:$P,P$1,0)</f>
        <v>7290</v>
      </c>
      <c r="Q135" s="73">
        <f t="shared" si="40"/>
        <v>0</v>
      </c>
      <c r="R135" s="73">
        <f t="shared" si="41"/>
        <v>0</v>
      </c>
      <c r="S135" s="97">
        <f t="shared" si="43"/>
        <v>7290</v>
      </c>
      <c r="T135" s="98">
        <f t="shared" si="44"/>
        <v>0.32545454545454544</v>
      </c>
      <c r="U135" s="98">
        <f t="shared" si="45"/>
        <v>-0.29900213827512473</v>
      </c>
      <c r="V135" s="98">
        <f t="shared" si="46"/>
        <v>2.0363636363636362E-2</v>
      </c>
      <c r="W135" s="106">
        <f t="shared" si="38"/>
        <v>5612</v>
      </c>
      <c r="X135" s="102">
        <f>IFERROR(ROUND((VLOOKUP($A135,'Из ГУГЛа'!$B:$Z,X$1,0)+Z135)*Y135,),VLOOKUP($A135,'Из ГУГЛа'!$B:$Z,X$1,0))</f>
        <v>5790</v>
      </c>
      <c r="Y135" s="75">
        <v>1</v>
      </c>
      <c r="Z135" s="75">
        <v>0</v>
      </c>
      <c r="AA135" s="63">
        <v>5790</v>
      </c>
      <c r="AB135" s="63" t="s">
        <v>1215</v>
      </c>
      <c r="AC135" s="48" t="s">
        <v>1081</v>
      </c>
      <c r="AD135" s="102">
        <f>IFERROR(ROUND((VLOOKUP($A135,'Из ГУГЛа'!$B:$Z,AD$1,0)+AF135)*AE135,),VLOOKUP($A135,'Из ГУГЛа'!$B:$Z,AD$1,0))</f>
        <v>0</v>
      </c>
      <c r="AE135" s="100">
        <v>1</v>
      </c>
      <c r="AF135" s="100"/>
      <c r="AG135" s="103">
        <v>5612</v>
      </c>
      <c r="AH135" s="103" t="s">
        <v>2024</v>
      </c>
      <c r="AI135" s="102">
        <f>IFERROR(ROUND((VLOOKUP($A135,'Из ГУГЛа'!$B:$Z,AI$1,0)+AK135)*AJ135,),VLOOKUP($A135,'Из ГУГЛа'!$B:$Z,AI$1,0))</f>
        <v>0</v>
      </c>
      <c r="AJ135" s="100">
        <v>1</v>
      </c>
      <c r="AK135" s="100"/>
      <c r="AL135" s="103"/>
      <c r="AM135" s="103"/>
      <c r="AN135" s="102">
        <f>IFERROR(ROUND((VLOOKUP($A135,'Из ГУГЛа'!$B:$Z,AN$1,0)+AP135)*AO135,),VLOOKUP($A135,'Из ГУГЛа'!$B:$Z,AN$1,0))</f>
        <v>0</v>
      </c>
      <c r="AO135" s="100">
        <v>1</v>
      </c>
      <c r="AP135" s="100"/>
      <c r="AQ135" s="103"/>
      <c r="AR135" s="103"/>
    </row>
    <row r="136" spans="1:44" ht="27.75" thickTop="1" thickBot="1" x14ac:dyDescent="0.3">
      <c r="A136" s="57">
        <v>164571</v>
      </c>
      <c r="B136" s="57">
        <f>VLOOKUP($A136,'Выгр Кат'!$A:$T,B$1,0)</f>
        <v>3982</v>
      </c>
      <c r="C136" s="58" t="str">
        <f>VLOOKUP($A136,'Выгр Кат'!$A:$T,C$1,0)</f>
        <v>Монтажный блок для ВАЗ 2113-2115</v>
      </c>
      <c r="D136" s="57" t="str">
        <f>VLOOKUP($A136,'Выгр Кат'!$A:$T,D$1,0)</f>
        <v>Y</v>
      </c>
      <c r="E136" s="57" t="str">
        <f>VLOOKUP($A136,'Выгр Кат'!$A:$T,E$1,0)</f>
        <v>1ск6</v>
      </c>
      <c r="F136" s="57" t="str">
        <f>VLOOKUP($A136,'Выгр Кат'!$A:$T,F$1,0)</f>
        <v>361.3722М</v>
      </c>
      <c r="G136" s="57" t="str">
        <f>VLOOKUP($A136,'Выгр Кат'!$A:$T,G$1,0)</f>
        <v>21153722010</v>
      </c>
      <c r="H136" s="57" t="str">
        <f>VLOOKUP($A136,'Выгр Кат'!$A:$T,H$1,0)</f>
        <v>2115-3722010</v>
      </c>
      <c r="I136" s="64"/>
      <c r="J136" s="1" t="s">
        <v>526</v>
      </c>
      <c r="K136" s="46">
        <f>O136</f>
        <v>7000</v>
      </c>
      <c r="L136" s="7">
        <f>VLOOKUP(K136,Наценка!$A$1:$B$8,2,1)</f>
        <v>1.32</v>
      </c>
      <c r="M136" s="44">
        <f t="shared" si="42"/>
        <v>9240</v>
      </c>
      <c r="N136" s="62">
        <f t="shared" si="39"/>
        <v>9290</v>
      </c>
      <c r="O136" s="60">
        <f>VLOOKUP($A136,'Выгр Кат'!$A:$P,O$1,0)</f>
        <v>7000</v>
      </c>
      <c r="P136" s="60">
        <f>VLOOKUP($A136,'Выгр Кат'!$A:$P,P$1,0)</f>
        <v>8490</v>
      </c>
      <c r="Q136" s="73">
        <f t="shared" si="40"/>
        <v>0</v>
      </c>
      <c r="R136" s="73">
        <f t="shared" si="41"/>
        <v>-800</v>
      </c>
      <c r="S136" s="97">
        <f t="shared" si="43"/>
        <v>9290</v>
      </c>
      <c r="T136" s="98">
        <f t="shared" si="44"/>
        <v>0.32714285714285718</v>
      </c>
      <c r="U136" s="98">
        <f t="shared" si="45"/>
        <v>-0.11164293406724901</v>
      </c>
      <c r="V136" s="98">
        <f t="shared" si="46"/>
        <v>0.19385714285714295</v>
      </c>
      <c r="W136" s="106">
        <f t="shared" si="38"/>
        <v>8357</v>
      </c>
      <c r="X136" s="102">
        <f>IFERROR(ROUND((VLOOKUP($A136,'Из ГУГЛа'!$B:$Z,X$1,0)+Z136)*Y136,),VLOOKUP($A136,'Из ГУГЛа'!$B:$Z,X$1,0))</f>
        <v>8590</v>
      </c>
      <c r="Y136" s="75">
        <v>1</v>
      </c>
      <c r="Z136" s="75">
        <v>0</v>
      </c>
      <c r="AA136" s="85">
        <v>8590</v>
      </c>
      <c r="AB136" s="63" t="s">
        <v>1215</v>
      </c>
      <c r="AC136" s="48" t="s">
        <v>1082</v>
      </c>
      <c r="AD136" s="102">
        <f>IFERROR(ROUND((VLOOKUP($A136,'Из ГУГЛа'!$B:$Z,AD$1,0)+AF136)*AE136,),VLOOKUP($A136,'Из ГУГЛа'!$B:$Z,AD$1,0))</f>
        <v>0</v>
      </c>
      <c r="AE136" s="100">
        <v>1</v>
      </c>
      <c r="AF136" s="100"/>
      <c r="AG136" s="103">
        <v>8357</v>
      </c>
      <c r="AH136" s="103" t="s">
        <v>2025</v>
      </c>
      <c r="AI136" s="102">
        <f>IFERROR(ROUND((VLOOKUP($A136,'Из ГУГЛа'!$B:$Z,AI$1,0)+AK136)*AJ136,),VLOOKUP($A136,'Из ГУГЛа'!$B:$Z,AI$1,0))</f>
        <v>0</v>
      </c>
      <c r="AJ136" s="100">
        <v>1</v>
      </c>
      <c r="AK136" s="100"/>
      <c r="AL136" s="103"/>
      <c r="AM136" s="103"/>
      <c r="AN136" s="102">
        <f>IFERROR(ROUND((VLOOKUP($A136,'Из ГУГЛа'!$B:$Z,AN$1,0)+AP136)*AO136,),VLOOKUP($A136,'Из ГУГЛа'!$B:$Z,AN$1,0))</f>
        <v>0</v>
      </c>
      <c r="AO136" s="100">
        <v>1</v>
      </c>
      <c r="AP136" s="100"/>
      <c r="AQ136" s="103"/>
      <c r="AR136" s="103"/>
    </row>
    <row r="137" spans="1:44" ht="40.5" thickTop="1" thickBot="1" x14ac:dyDescent="0.3">
      <c r="A137" s="57">
        <v>144996</v>
      </c>
      <c r="B137" s="57">
        <f>VLOOKUP($A137,'Выгр Кат'!$A:$T,B$1,0)</f>
        <v>13386</v>
      </c>
      <c r="C137" s="58" t="str">
        <f>VLOOKUP($A137,'Выгр Кат'!$A:$T,C$1,0)</f>
        <v>Жгут проводов фар и генератора 21901-3724010-00 на Лада Гранта</v>
      </c>
      <c r="D137" s="57" t="str">
        <f>VLOOKUP($A137,'Выгр Кат'!$A:$T,D$1,0)</f>
        <v>Y</v>
      </c>
      <c r="E137" s="57" t="str">
        <f>VLOOKUP($A137,'Выгр Кат'!$A:$T,E$1,0)</f>
        <v>1</v>
      </c>
      <c r="F137" s="57">
        <f>VLOOKUP($A137,'Выгр Кат'!$A:$T,F$1,0)</f>
        <v>0</v>
      </c>
      <c r="G137" s="57" t="str">
        <f>VLOOKUP($A137,'Выгр Кат'!$A:$T,G$1,0)</f>
        <v>21901372401000</v>
      </c>
      <c r="H137" s="57" t="str">
        <f>VLOOKUP($A137,'Выгр Кат'!$A:$T,H$1,0)</f>
        <v>21901-3724010</v>
      </c>
      <c r="I137" s="39" t="s">
        <v>769</v>
      </c>
      <c r="J137" s="1" t="s">
        <v>526</v>
      </c>
      <c r="K137" s="47">
        <f>VLOOKUP(I137,Прайс!A:E,5,0)</f>
        <v>6000</v>
      </c>
      <c r="L137" s="7">
        <f>VLOOKUP(K137,Наценка!$A$1:$B$8,2,1)</f>
        <v>1.32</v>
      </c>
      <c r="M137" s="44">
        <f t="shared" si="42"/>
        <v>7920</v>
      </c>
      <c r="N137" s="62">
        <f t="shared" si="39"/>
        <v>7990</v>
      </c>
      <c r="O137" s="60">
        <f>VLOOKUP($A137,'Выгр Кат'!$A:$P,O$1,0)</f>
        <v>6000</v>
      </c>
      <c r="P137" s="60">
        <f>VLOOKUP($A137,'Выгр Кат'!$A:$P,P$1,0)</f>
        <v>8490</v>
      </c>
      <c r="Q137" s="73">
        <f t="shared" si="40"/>
        <v>0</v>
      </c>
      <c r="R137" s="73">
        <f t="shared" si="41"/>
        <v>500</v>
      </c>
      <c r="S137" s="97">
        <f t="shared" si="43"/>
        <v>7990</v>
      </c>
      <c r="T137" s="98">
        <f t="shared" si="44"/>
        <v>0.33166666666666678</v>
      </c>
      <c r="U137" s="98">
        <f t="shared" si="45"/>
        <v>6.9848661233993012E-2</v>
      </c>
      <c r="V137" s="98">
        <f t="shared" si="46"/>
        <v>0.43166666666666664</v>
      </c>
      <c r="W137" s="106">
        <f t="shared" si="38"/>
        <v>8590</v>
      </c>
      <c r="X137" s="102">
        <f>IFERROR(ROUND((VLOOKUP($A137,'Из ГУГЛа'!$B:$Z,X$1,0)+Z137)*Y137,),VLOOKUP($A137,'Из ГУГЛа'!$B:$Z,X$1,0))</f>
        <v>8590</v>
      </c>
      <c r="Y137" s="75">
        <v>1</v>
      </c>
      <c r="Z137" s="75">
        <v>0</v>
      </c>
      <c r="AA137" s="63">
        <v>8590</v>
      </c>
      <c r="AB137" s="63" t="s">
        <v>1215</v>
      </c>
      <c r="AC137" s="48" t="s">
        <v>1083</v>
      </c>
      <c r="AD137" s="102">
        <f>IFERROR(ROUND((VLOOKUP($A137,'Из ГУГЛа'!$B:$Z,AD$1,0)+AF137)*AE137,),VLOOKUP($A137,'Из ГУГЛа'!$B:$Z,AD$1,0))</f>
        <v>0</v>
      </c>
      <c r="AE137" s="100">
        <v>1</v>
      </c>
      <c r="AF137" s="100"/>
      <c r="AG137" s="103">
        <v>8655</v>
      </c>
      <c r="AH137" s="103" t="s">
        <v>2026</v>
      </c>
      <c r="AI137" s="102">
        <f>IFERROR(ROUND((VLOOKUP($A137,'Из ГУГЛа'!$B:$Z,AI$1,0)+AK137)*AJ137,),VLOOKUP($A137,'Из ГУГЛа'!$B:$Z,AI$1,0))</f>
        <v>0</v>
      </c>
      <c r="AJ137" s="100">
        <v>1</v>
      </c>
      <c r="AK137" s="100"/>
      <c r="AL137" s="103"/>
      <c r="AM137" s="103"/>
      <c r="AN137" s="102">
        <f>IFERROR(ROUND((VLOOKUP($A137,'Из ГУГЛа'!$B:$Z,AN$1,0)+AP137)*AO137,),VLOOKUP($A137,'Из ГУГЛа'!$B:$Z,AN$1,0))</f>
        <v>0</v>
      </c>
      <c r="AO137" s="100">
        <v>1</v>
      </c>
      <c r="AP137" s="100"/>
      <c r="AQ137" s="103"/>
      <c r="AR137" s="103"/>
    </row>
    <row r="138" spans="1:44" ht="27.75" thickTop="1" thickBot="1" x14ac:dyDescent="0.3">
      <c r="A138" s="57">
        <v>144839</v>
      </c>
      <c r="B138" s="57">
        <f>VLOOKUP($A138,'Выгр Кат'!$A:$T,B$1,0)</f>
        <v>13318</v>
      </c>
      <c r="C138" s="58" t="str">
        <f>VLOOKUP($A138,'Выгр Кат'!$A:$T,C$1,0)</f>
        <v>Жгут проводов задний для Лада Калина хэтчбек</v>
      </c>
      <c r="D138" s="57" t="str">
        <f>VLOOKUP($A138,'Выгр Кат'!$A:$T,D$1,0)</f>
        <v>Y</v>
      </c>
      <c r="E138" s="57" t="str">
        <f>VLOOKUP($A138,'Выгр Кат'!$A:$T,E$1,0)</f>
        <v>1</v>
      </c>
      <c r="F138" s="57">
        <f>VLOOKUP($A138,'Выгр Кат'!$A:$T,F$1,0)</f>
        <v>0</v>
      </c>
      <c r="G138" s="57" t="str">
        <f>VLOOKUP($A138,'Выгр Кат'!$A:$T,G$1,0)</f>
        <v>11193724210</v>
      </c>
      <c r="H138" s="57" t="str">
        <f>VLOOKUP($A138,'Выгр Кат'!$A:$T,H$1,0)</f>
        <v>1119-3724210</v>
      </c>
      <c r="I138" s="39" t="s">
        <v>649</v>
      </c>
      <c r="J138" s="1" t="s">
        <v>526</v>
      </c>
      <c r="K138" s="47">
        <f>VLOOKUP(I138,Прайс!A:E,5,0)</f>
        <v>5500</v>
      </c>
      <c r="L138" s="7">
        <f>VLOOKUP(K138,Наценка!$A$1:$B$8,2,1)</f>
        <v>1.32</v>
      </c>
      <c r="M138" s="44">
        <f t="shared" si="42"/>
        <v>7260</v>
      </c>
      <c r="N138" s="62">
        <f t="shared" si="39"/>
        <v>7290</v>
      </c>
      <c r="O138" s="60">
        <f>VLOOKUP($A138,'Выгр Кат'!$A:$P,O$1,0)</f>
        <v>5000</v>
      </c>
      <c r="P138" s="60">
        <f>VLOOKUP($A138,'Выгр Кат'!$A:$P,P$1,0)</f>
        <v>7090</v>
      </c>
      <c r="Q138" s="73">
        <f t="shared" si="40"/>
        <v>-500</v>
      </c>
      <c r="R138" s="73">
        <f t="shared" si="41"/>
        <v>-200</v>
      </c>
      <c r="S138" s="97">
        <f t="shared" si="43"/>
        <v>7290</v>
      </c>
      <c r="T138" s="98">
        <f t="shared" si="44"/>
        <v>0.32545454545454544</v>
      </c>
      <c r="U138" s="98">
        <f t="shared" si="45"/>
        <v>-1.3908205841446454E-2</v>
      </c>
      <c r="V138" s="98">
        <f t="shared" si="46"/>
        <v>0.30727272727272736</v>
      </c>
      <c r="W138" s="106">
        <f t="shared" si="38"/>
        <v>7190</v>
      </c>
      <c r="X138" s="102">
        <f>IFERROR(ROUND((VLOOKUP($A138,'Из ГУГЛа'!$B:$Z,X$1,0)+Z138)*Y138,),VLOOKUP($A138,'Из ГУГЛа'!$B:$Z,X$1,0))</f>
        <v>7190</v>
      </c>
      <c r="Y138" s="75">
        <v>1</v>
      </c>
      <c r="Z138" s="75">
        <v>0</v>
      </c>
      <c r="AA138" s="63">
        <v>7190</v>
      </c>
      <c r="AB138" s="63" t="s">
        <v>1215</v>
      </c>
      <c r="AC138" s="48" t="s">
        <v>1084</v>
      </c>
      <c r="AD138" s="102">
        <f>IFERROR(ROUND((VLOOKUP($A138,'Из ГУГЛа'!$B:$Z,AD$1,0)+AF138)*AE138,),VLOOKUP($A138,'Из ГУГЛа'!$B:$Z,AD$1,0))</f>
        <v>0</v>
      </c>
      <c r="AE138" s="100">
        <v>1</v>
      </c>
      <c r="AF138" s="100"/>
      <c r="AG138" s="103">
        <v>7573</v>
      </c>
      <c r="AH138" s="103" t="s">
        <v>2027</v>
      </c>
      <c r="AI138" s="102">
        <f>IFERROR(ROUND((VLOOKUP($A138,'Из ГУГЛа'!$B:$Z,AI$1,0)+AK138)*AJ138,),VLOOKUP($A138,'Из ГУГЛа'!$B:$Z,AI$1,0))</f>
        <v>0</v>
      </c>
      <c r="AJ138" s="100">
        <v>1</v>
      </c>
      <c r="AK138" s="100"/>
      <c r="AL138" s="103"/>
      <c r="AM138" s="103"/>
      <c r="AN138" s="102">
        <f>IFERROR(ROUND((VLOOKUP($A138,'Из ГУГЛа'!$B:$Z,AN$1,0)+AP138)*AO138,),VLOOKUP($A138,'Из ГУГЛа'!$B:$Z,AN$1,0))</f>
        <v>0</v>
      </c>
      <c r="AO138" s="100">
        <v>1</v>
      </c>
      <c r="AP138" s="100"/>
      <c r="AQ138" s="103"/>
      <c r="AR138" s="103"/>
    </row>
    <row r="139" spans="1:44" ht="40.5" thickTop="1" thickBot="1" x14ac:dyDescent="0.3">
      <c r="A139" s="57">
        <v>144853</v>
      </c>
      <c r="B139" s="57">
        <f>VLOOKUP($A139,'Выгр Кат'!$A:$T,B$1,0)</f>
        <v>13395</v>
      </c>
      <c r="C139" s="58" t="str">
        <f>VLOOKUP($A139,'Выгр Кат'!$A:$T,C$1,0)</f>
        <v>Жгут проводов задний для Шевроле Нива</v>
      </c>
      <c r="D139" s="57" t="str">
        <f>VLOOKUP($A139,'Выгр Кат'!$A:$T,D$1,0)</f>
        <v>Y</v>
      </c>
      <c r="E139" s="57" t="str">
        <f>VLOOKUP($A139,'Выгр Кат'!$A:$T,E$1,0)</f>
        <v>1</v>
      </c>
      <c r="F139" s="57">
        <f>VLOOKUP($A139,'Выгр Кат'!$A:$T,F$1,0)</f>
        <v>0</v>
      </c>
      <c r="G139" s="57" t="str">
        <f>VLOOKUP($A139,'Выгр Кат'!$A:$T,G$1,0)</f>
        <v>21233724210</v>
      </c>
      <c r="H139" s="57" t="str">
        <f>VLOOKUP($A139,'Выгр Кат'!$A:$T,H$1,0)</f>
        <v>2123-3724210</v>
      </c>
      <c r="I139" s="39" t="s">
        <v>679</v>
      </c>
      <c r="J139" s="1" t="s">
        <v>526</v>
      </c>
      <c r="K139" s="47">
        <f>VLOOKUP(I139,Прайс!A:E,5,0)</f>
        <v>6000</v>
      </c>
      <c r="L139" s="7">
        <f>VLOOKUP(K139,Наценка!$A$1:$B$8,2,1)</f>
        <v>1.32</v>
      </c>
      <c r="M139" s="44">
        <f t="shared" si="42"/>
        <v>7920</v>
      </c>
      <c r="N139" s="62">
        <f t="shared" si="39"/>
        <v>7990</v>
      </c>
      <c r="O139" s="60">
        <f>VLOOKUP($A139,'Выгр Кат'!$A:$P,O$1,0)</f>
        <v>6000</v>
      </c>
      <c r="P139" s="60">
        <f>VLOOKUP($A139,'Выгр Кат'!$A:$P,P$1,0)</f>
        <v>7990</v>
      </c>
      <c r="Q139" s="73">
        <f t="shared" si="40"/>
        <v>0</v>
      </c>
      <c r="R139" s="73">
        <f t="shared" si="41"/>
        <v>0</v>
      </c>
      <c r="S139" s="97">
        <f t="shared" si="43"/>
        <v>7990</v>
      </c>
      <c r="T139" s="98">
        <f t="shared" si="44"/>
        <v>0.33166666666666678</v>
      </c>
      <c r="U139" s="98">
        <f t="shared" si="45"/>
        <v>-4.5127534336167431E-2</v>
      </c>
      <c r="V139" s="98">
        <f t="shared" si="46"/>
        <v>0.27416666666666667</v>
      </c>
      <c r="W139" s="106">
        <f t="shared" si="38"/>
        <v>7645</v>
      </c>
      <c r="X139" s="102">
        <f>IFERROR(ROUND((VLOOKUP($A139,'Из ГУГЛа'!$B:$Z,X$1,0)+Z139)*Y139,),VLOOKUP($A139,'Из ГУГЛа'!$B:$Z,X$1,0))</f>
        <v>8590</v>
      </c>
      <c r="Y139" s="75">
        <v>1</v>
      </c>
      <c r="Z139" s="75">
        <v>0</v>
      </c>
      <c r="AA139" s="63">
        <v>8590</v>
      </c>
      <c r="AB139" s="63" t="s">
        <v>1215</v>
      </c>
      <c r="AC139" s="48" t="s">
        <v>792</v>
      </c>
      <c r="AD139" s="102">
        <f>IFERROR(ROUND((VLOOKUP($A139,'Из ГУГЛа'!$B:$Z,AD$1,0)+AF139)*AE139,),VLOOKUP($A139,'Из ГУГЛа'!$B:$Z,AD$1,0))</f>
        <v>0</v>
      </c>
      <c r="AE139" s="100">
        <v>1</v>
      </c>
      <c r="AF139" s="100"/>
      <c r="AG139" s="103">
        <v>7645</v>
      </c>
      <c r="AH139" s="103" t="s">
        <v>2028</v>
      </c>
      <c r="AI139" s="102">
        <f>IFERROR(ROUND((VLOOKUP($A139,'Из ГУГЛа'!$B:$Z,AI$1,0)+AK139)*AJ139,),VLOOKUP($A139,'Из ГУГЛа'!$B:$Z,AI$1,0))</f>
        <v>0</v>
      </c>
      <c r="AJ139" s="100">
        <v>1</v>
      </c>
      <c r="AK139" s="100"/>
      <c r="AL139" s="103"/>
      <c r="AM139" s="103"/>
      <c r="AN139" s="102">
        <f>IFERROR(ROUND((VLOOKUP($A139,'Из ГУГЛа'!$B:$Z,AN$1,0)+AP139)*AO139,),VLOOKUP($A139,'Из ГУГЛа'!$B:$Z,AN$1,0))</f>
        <v>0</v>
      </c>
      <c r="AO139" s="100">
        <v>1</v>
      </c>
      <c r="AP139" s="100"/>
      <c r="AQ139" s="103"/>
      <c r="AR139" s="103"/>
    </row>
    <row r="140" spans="1:44" ht="31.5" thickTop="1" thickBot="1" x14ac:dyDescent="0.3">
      <c r="A140" s="57">
        <v>144857</v>
      </c>
      <c r="B140" s="57">
        <f>VLOOKUP($A140,'Выгр Кат'!$A:$T,B$1,0)</f>
        <v>13348</v>
      </c>
      <c r="C140" s="58" t="str">
        <f>VLOOKUP($A140,'Выгр Кат'!$A:$T,C$1,0)</f>
        <v>Жгут проводов задний 21703-23 для Лада Приора седан</v>
      </c>
      <c r="D140" s="57" t="str">
        <f>VLOOKUP($A140,'Выгр Кат'!$A:$T,D$1,0)</f>
        <v>Y</v>
      </c>
      <c r="E140" s="57" t="str">
        <f>VLOOKUP($A140,'Выгр Кат'!$A:$T,E$1,0)</f>
        <v>1</v>
      </c>
      <c r="F140" s="57">
        <f>VLOOKUP($A140,'Выгр Кат'!$A:$T,F$1,0)</f>
        <v>0</v>
      </c>
      <c r="G140" s="57" t="str">
        <f>VLOOKUP($A140,'Выгр Кат'!$A:$T,G$1,0)</f>
        <v>21703372421023</v>
      </c>
      <c r="H140" s="57" t="str">
        <f>VLOOKUP($A140,'Выгр Кат'!$A:$T,H$1,0)</f>
        <v>21703-3724210</v>
      </c>
      <c r="I140" s="39" t="s">
        <v>701</v>
      </c>
      <c r="J140" s="1" t="s">
        <v>526</v>
      </c>
      <c r="K140" s="46">
        <f>O140</f>
        <v>5500</v>
      </c>
      <c r="L140" s="7">
        <f>VLOOKUP(K140,Наценка!$A$1:$B$8,2,1)</f>
        <v>1.32</v>
      </c>
      <c r="M140" s="44">
        <f t="shared" si="42"/>
        <v>7260</v>
      </c>
      <c r="N140" s="62">
        <f t="shared" si="39"/>
        <v>7290</v>
      </c>
      <c r="O140" s="60">
        <f>VLOOKUP($A140,'Выгр Кат'!$A:$P,O$1,0)</f>
        <v>5500</v>
      </c>
      <c r="P140" s="60">
        <f>VLOOKUP($A140,'Выгр Кат'!$A:$P,P$1,0)</f>
        <v>7790</v>
      </c>
      <c r="Q140" s="73">
        <f t="shared" si="40"/>
        <v>0</v>
      </c>
      <c r="R140" s="73">
        <f t="shared" si="41"/>
        <v>500</v>
      </c>
      <c r="S140" s="97">
        <f t="shared" si="43"/>
        <v>7290</v>
      </c>
      <c r="T140" s="98">
        <f t="shared" si="44"/>
        <v>0.32545454545454544</v>
      </c>
      <c r="U140" s="98">
        <f t="shared" si="45"/>
        <v>3.7369602535322857E-2</v>
      </c>
      <c r="V140" s="98">
        <f t="shared" si="46"/>
        <v>0.37690909090909086</v>
      </c>
      <c r="W140" s="106">
        <f t="shared" si="38"/>
        <v>7573</v>
      </c>
      <c r="X140" s="102">
        <f>IFERROR(ROUND((VLOOKUP($A140,'Из ГУГЛа'!$B:$Z,X$1,0)+Z140)*Y140,),VLOOKUP($A140,'Из ГУГЛа'!$B:$Z,X$1,0))</f>
        <v>7890</v>
      </c>
      <c r="Y140" s="75">
        <v>1</v>
      </c>
      <c r="Z140" s="75">
        <v>0</v>
      </c>
      <c r="AA140" s="63">
        <v>7890</v>
      </c>
      <c r="AB140" s="63" t="s">
        <v>1215</v>
      </c>
      <c r="AC140" s="48" t="s">
        <v>1085</v>
      </c>
      <c r="AD140" s="102">
        <f>IFERROR(ROUND((VLOOKUP($A140,'Из ГУГЛа'!$B:$Z,AD$1,0)+AF140)*AE140,),VLOOKUP($A140,'Из ГУГЛа'!$B:$Z,AD$1,0))</f>
        <v>0</v>
      </c>
      <c r="AE140" s="100">
        <v>1</v>
      </c>
      <c r="AF140" s="100"/>
      <c r="AG140" s="103">
        <v>7573</v>
      </c>
      <c r="AH140" s="103" t="s">
        <v>2029</v>
      </c>
      <c r="AI140" s="102">
        <f>IFERROR(ROUND((VLOOKUP($A140,'Из ГУГЛа'!$B:$Z,AI$1,0)+AK140)*AJ140,),VLOOKUP($A140,'Из ГУГЛа'!$B:$Z,AI$1,0))</f>
        <v>0</v>
      </c>
      <c r="AJ140" s="100">
        <v>1</v>
      </c>
      <c r="AK140" s="100"/>
      <c r="AL140" s="103"/>
      <c r="AM140" s="103"/>
      <c r="AN140" s="102">
        <f>IFERROR(ROUND((VLOOKUP($A140,'Из ГУГЛа'!$B:$Z,AN$1,0)+AP140)*AO140,),VLOOKUP($A140,'Из ГУГЛа'!$B:$Z,AN$1,0))</f>
        <v>0</v>
      </c>
      <c r="AO140" s="100">
        <v>1</v>
      </c>
      <c r="AP140" s="100"/>
      <c r="AQ140" s="103"/>
      <c r="AR140" s="103"/>
    </row>
    <row r="141" spans="1:44" ht="53.25" thickTop="1" thickBot="1" x14ac:dyDescent="0.3">
      <c r="A141" s="57">
        <v>145009</v>
      </c>
      <c r="B141" s="57">
        <f>VLOOKUP($A141,'Выгр Кат'!$A:$T,B$1,0)</f>
        <v>13233</v>
      </c>
      <c r="C141" s="58" t="str">
        <f>VLOOKUP($A141,'Выгр Кат'!$A:$T,C$1,0)</f>
        <v>Жгут системы зажигания от контроллера для ВАЗ 2104 инжекторный двигатель, контроллер Январь 7.2</v>
      </c>
      <c r="D141" s="57" t="str">
        <f>VLOOKUP($A141,'Выгр Кат'!$A:$T,D$1,0)</f>
        <v>Y</v>
      </c>
      <c r="E141" s="57" t="str">
        <f>VLOOKUP($A141,'Выгр Кат'!$A:$T,E$1,0)</f>
        <v>1</v>
      </c>
      <c r="F141" s="57">
        <f>VLOOKUP($A141,'Выгр Кат'!$A:$T,F$1,0)</f>
        <v>0</v>
      </c>
      <c r="G141" s="57" t="str">
        <f>VLOOKUP($A141,'Выгр Кат'!$A:$T,G$1,0)</f>
        <v>21043372402610</v>
      </c>
      <c r="H141" s="57" t="str">
        <f>VLOOKUP($A141,'Выгр Кат'!$A:$T,H$1,0)</f>
        <v>21043-3724026</v>
      </c>
      <c r="I141" s="39" t="s">
        <v>575</v>
      </c>
      <c r="J141" s="1" t="s">
        <v>526</v>
      </c>
      <c r="K141" s="47">
        <f>VLOOKUP(I141,Прайс!A:E,5,0)</f>
        <v>8000</v>
      </c>
      <c r="L141" s="7">
        <f>VLOOKUP(K141,Наценка!$A$1:$B$8,2,1)</f>
        <v>1.32</v>
      </c>
      <c r="M141" s="44">
        <f t="shared" si="42"/>
        <v>10560</v>
      </c>
      <c r="N141" s="62">
        <f t="shared" si="39"/>
        <v>10590</v>
      </c>
      <c r="O141" s="60">
        <f>VLOOKUP($A141,'Выгр Кат'!$A:$P,O$1,0)</f>
        <v>7000</v>
      </c>
      <c r="P141" s="60">
        <f>VLOOKUP($A141,'Выгр Кат'!$A:$P,P$1,0)</f>
        <v>9490</v>
      </c>
      <c r="Q141" s="73">
        <f t="shared" si="40"/>
        <v>-1000</v>
      </c>
      <c r="R141" s="73">
        <f t="shared" si="41"/>
        <v>-1100</v>
      </c>
      <c r="S141" s="97">
        <f t="shared" si="43"/>
        <v>10590</v>
      </c>
      <c r="T141" s="98">
        <f t="shared" si="44"/>
        <v>0.32374999999999998</v>
      </c>
      <c r="U141" s="98">
        <f t="shared" si="45"/>
        <v>-0.10427528675703858</v>
      </c>
      <c r="V141" s="98">
        <f t="shared" si="46"/>
        <v>0.19874999999999998</v>
      </c>
      <c r="W141" s="106">
        <f t="shared" si="38"/>
        <v>9590</v>
      </c>
      <c r="X141" s="102">
        <f>IFERROR(ROUND((VLOOKUP($A141,'Из ГУГЛа'!$B:$Z,X$1,0)+Z141)*Y141,),VLOOKUP($A141,'Из ГУГЛа'!$B:$Z,X$1,0))</f>
        <v>9590</v>
      </c>
      <c r="Y141" s="75">
        <v>1</v>
      </c>
      <c r="Z141" s="75">
        <v>0</v>
      </c>
      <c r="AA141" s="63">
        <v>9590</v>
      </c>
      <c r="AB141" s="63" t="s">
        <v>1215</v>
      </c>
      <c r="AC141" s="48" t="s">
        <v>1086</v>
      </c>
      <c r="AD141" s="102">
        <f>IFERROR(ROUND((VLOOKUP($A141,'Из ГУГЛа'!$B:$Z,AD$1,0)+AF141)*AE141,),VLOOKUP($A141,'Из ГУГЛа'!$B:$Z,AD$1,0))</f>
        <v>0</v>
      </c>
      <c r="AE141" s="100">
        <v>1</v>
      </c>
      <c r="AF141" s="100"/>
      <c r="AG141" s="103">
        <v>10025</v>
      </c>
      <c r="AH141" s="103" t="s">
        <v>2030</v>
      </c>
      <c r="AI141" s="102">
        <f>IFERROR(ROUND((VLOOKUP($A141,'Из ГУГЛа'!$B:$Z,AI$1,0)+AK141)*AJ141,),VLOOKUP($A141,'Из ГУГЛа'!$B:$Z,AI$1,0))</f>
        <v>0</v>
      </c>
      <c r="AJ141" s="100">
        <v>1</v>
      </c>
      <c r="AK141" s="100"/>
      <c r="AL141" s="103"/>
      <c r="AM141" s="103"/>
      <c r="AN141" s="102">
        <f>IFERROR(ROUND((VLOOKUP($A141,'Из ГУГЛа'!$B:$Z,AN$1,0)+AP141)*AO141,),VLOOKUP($A141,'Из ГУГЛа'!$B:$Z,AN$1,0))</f>
        <v>0</v>
      </c>
      <c r="AO141" s="100">
        <v>1</v>
      </c>
      <c r="AP141" s="100"/>
      <c r="AQ141" s="103"/>
      <c r="AR141" s="103"/>
    </row>
    <row r="142" spans="1:44" ht="66" thickTop="1" thickBot="1" x14ac:dyDescent="0.3">
      <c r="A142" s="57">
        <v>144871</v>
      </c>
      <c r="B142" s="57">
        <f>VLOOKUP($A142,'Выгр Кат'!$A:$T,B$1,0)</f>
        <v>3985</v>
      </c>
      <c r="C142" s="58" t="str">
        <f>VLOOKUP($A142,'Выгр Кат'!$A:$T,C$1,0)</f>
        <v>Жгут проводов контроллера для ВАЗ 2107 инжекторный двигатель, котроллер Январь 7.2</v>
      </c>
      <c r="D142" s="57" t="str">
        <f>VLOOKUP($A142,'Выгр Кат'!$A:$T,D$1,0)</f>
        <v>Y</v>
      </c>
      <c r="E142" s="57" t="str">
        <f>VLOOKUP($A142,'Выгр Кат'!$A:$T,E$1,0)</f>
        <v>1</v>
      </c>
      <c r="F142" s="57">
        <f>VLOOKUP($A142,'Выгр Кат'!$A:$T,F$1,0)</f>
        <v>0</v>
      </c>
      <c r="G142" s="57" t="str">
        <f>VLOOKUP($A142,'Выгр Кат'!$A:$T,G$1,0)</f>
        <v>21073372402610</v>
      </c>
      <c r="H142" s="57" t="str">
        <f>VLOOKUP($A142,'Выгр Кат'!$A:$T,H$1,0)</f>
        <v>21073-3724026</v>
      </c>
      <c r="I142" s="39" t="s">
        <v>590</v>
      </c>
      <c r="J142" s="1" t="s">
        <v>526</v>
      </c>
      <c r="K142" s="47">
        <f>VLOOKUP(I142,Прайс!A:E,5,0)</f>
        <v>8000</v>
      </c>
      <c r="L142" s="7">
        <f>VLOOKUP(K142,Наценка!$A$1:$B$8,2,1)</f>
        <v>1.32</v>
      </c>
      <c r="M142" s="44">
        <f t="shared" si="42"/>
        <v>10560</v>
      </c>
      <c r="N142" s="62">
        <f t="shared" si="39"/>
        <v>10590</v>
      </c>
      <c r="O142" s="60">
        <f>VLOOKUP($A142,'Выгр Кат'!$A:$P,O$1,0)</f>
        <v>7000</v>
      </c>
      <c r="P142" s="60">
        <f>VLOOKUP($A142,'Выгр Кат'!$A:$P,P$1,0)</f>
        <v>9490</v>
      </c>
      <c r="Q142" s="73">
        <f t="shared" si="40"/>
        <v>-1000</v>
      </c>
      <c r="R142" s="73">
        <f t="shared" si="41"/>
        <v>-1100</v>
      </c>
      <c r="S142" s="97">
        <f t="shared" si="43"/>
        <v>10590</v>
      </c>
      <c r="T142" s="98">
        <f t="shared" si="44"/>
        <v>0.32374999999999998</v>
      </c>
      <c r="U142" s="98" t="str">
        <f t="shared" si="45"/>
        <v/>
      </c>
      <c r="V142" s="98" t="str">
        <f t="shared" si="46"/>
        <v/>
      </c>
      <c r="W142" s="103"/>
      <c r="X142" s="102">
        <f>IFERROR(ROUND((VLOOKUP($A142,'Из ГУГЛа'!$B:$Z,X$1,0)+Z142)*Y142,),VLOOKUP($A142,'Из ГУГЛа'!$B:$Z,X$1,0))</f>
        <v>9590</v>
      </c>
      <c r="Y142" s="75">
        <v>1</v>
      </c>
      <c r="Z142" s="75">
        <v>0</v>
      </c>
      <c r="AA142" s="63">
        <v>9590</v>
      </c>
      <c r="AB142" s="63" t="s">
        <v>1215</v>
      </c>
      <c r="AC142" s="48" t="s">
        <v>793</v>
      </c>
      <c r="AD142" s="102">
        <f>IFERROR(ROUND((VLOOKUP($A142,'Из ГУГЛа'!$B:$Z,AD$1,0)+AF142)*AE142,),VLOOKUP($A142,'Из ГУГЛа'!$B:$Z,AD$1,0))</f>
        <v>0</v>
      </c>
      <c r="AE142" s="100">
        <v>1</v>
      </c>
      <c r="AF142" s="100"/>
      <c r="AG142" s="103" t="s">
        <v>2032</v>
      </c>
      <c r="AH142" s="103" t="s">
        <v>2031</v>
      </c>
      <c r="AI142" s="102">
        <f>IFERROR(ROUND((VLOOKUP($A142,'Из ГУГЛа'!$B:$Z,AI$1,0)+AK142)*AJ142,),VLOOKUP($A142,'Из ГУГЛа'!$B:$Z,AI$1,0))</f>
        <v>0</v>
      </c>
      <c r="AJ142" s="100">
        <v>1</v>
      </c>
      <c r="AK142" s="100"/>
      <c r="AL142" s="103"/>
      <c r="AM142" s="103"/>
      <c r="AN142" s="102">
        <f>IFERROR(ROUND((VLOOKUP($A142,'Из ГУГЛа'!$B:$Z,AN$1,0)+AP142)*AO142,),VLOOKUP($A142,'Из ГУГЛа'!$B:$Z,AN$1,0))</f>
        <v>0</v>
      </c>
      <c r="AO142" s="100">
        <v>1</v>
      </c>
      <c r="AP142" s="100"/>
      <c r="AQ142" s="103"/>
      <c r="AR142" s="103"/>
    </row>
    <row r="143" spans="1:44" ht="53.25" thickTop="1" thickBot="1" x14ac:dyDescent="0.3">
      <c r="A143" s="57">
        <v>144892</v>
      </c>
      <c r="B143" s="57">
        <f>VLOOKUP($A143,'Выгр Кат'!$A:$T,B$1,0)</f>
        <v>3984</v>
      </c>
      <c r="C143" s="58" t="str">
        <f>VLOOKUP($A143,'Выгр Кат'!$A:$T,C$1,0)</f>
        <v>Жгут проводов контроллера для ВАЗ 2107 Е-газ</v>
      </c>
      <c r="D143" s="57" t="str">
        <f>VLOOKUP($A143,'Выгр Кат'!$A:$T,D$1,0)</f>
        <v>Y</v>
      </c>
      <c r="E143" s="57" t="str">
        <f>VLOOKUP($A143,'Выгр Кат'!$A:$T,E$1,0)</f>
        <v>1</v>
      </c>
      <c r="F143" s="57">
        <f>VLOOKUP($A143,'Выгр Кат'!$A:$T,F$1,0)</f>
        <v>0</v>
      </c>
      <c r="G143" s="57" t="str">
        <f>VLOOKUP($A143,'Выгр Кат'!$A:$T,G$1,0)</f>
        <v>21074372402620</v>
      </c>
      <c r="H143" s="57" t="str">
        <f>VLOOKUP($A143,'Выгр Кат'!$A:$T,H$1,0)</f>
        <v>21074-3724026</v>
      </c>
      <c r="I143" s="39" t="s">
        <v>594</v>
      </c>
      <c r="J143" s="1" t="s">
        <v>526</v>
      </c>
      <c r="K143" s="47">
        <f>VLOOKUP(I143,Прайс!A:E,5,0)</f>
        <v>8000</v>
      </c>
      <c r="L143" s="7">
        <f>VLOOKUP(K143,Наценка!$A$1:$B$8,2,1)</f>
        <v>1.32</v>
      </c>
      <c r="M143" s="44">
        <f t="shared" si="42"/>
        <v>10560</v>
      </c>
      <c r="N143" s="62">
        <f t="shared" si="39"/>
        <v>10590</v>
      </c>
      <c r="O143" s="60">
        <f>VLOOKUP($A143,'Выгр Кат'!$A:$P,O$1,0)</f>
        <v>7000</v>
      </c>
      <c r="P143" s="60">
        <f>VLOOKUP($A143,'Выгр Кат'!$A:$P,P$1,0)</f>
        <v>9490</v>
      </c>
      <c r="Q143" s="73">
        <f t="shared" si="40"/>
        <v>-1000</v>
      </c>
      <c r="R143" s="73">
        <f t="shared" si="41"/>
        <v>-1100</v>
      </c>
      <c r="S143" s="97">
        <f t="shared" si="43"/>
        <v>10590</v>
      </c>
      <c r="T143" s="98">
        <f t="shared" si="44"/>
        <v>0.32374999999999998</v>
      </c>
      <c r="U143" s="98">
        <f t="shared" si="45"/>
        <v>-0.13032340698046749</v>
      </c>
      <c r="V143" s="98">
        <f t="shared" si="46"/>
        <v>0.17112499999999997</v>
      </c>
      <c r="W143" s="106">
        <f>MIN(AA143,AG143,AL143,AQ143)</f>
        <v>9369</v>
      </c>
      <c r="X143" s="102">
        <f>IFERROR(ROUND((VLOOKUP($A143,'Из ГУГЛа'!$B:$Z,X$1,0)+Z143)*Y143,),VLOOKUP($A143,'Из ГУГЛа'!$B:$Z,X$1,0))</f>
        <v>9590</v>
      </c>
      <c r="Y143" s="75">
        <v>1</v>
      </c>
      <c r="Z143" s="75">
        <v>0</v>
      </c>
      <c r="AA143" s="63">
        <v>9590</v>
      </c>
      <c r="AB143" s="63" t="s">
        <v>1215</v>
      </c>
      <c r="AC143" s="48" t="s">
        <v>794</v>
      </c>
      <c r="AD143" s="102">
        <f>IFERROR(ROUND((VLOOKUP($A143,'Из ГУГЛа'!$B:$Z,AD$1,0)+AF143)*AE143,),VLOOKUP($A143,'Из ГУГЛа'!$B:$Z,AD$1,0))</f>
        <v>0</v>
      </c>
      <c r="AE143" s="100">
        <v>1</v>
      </c>
      <c r="AF143" s="100"/>
      <c r="AG143" s="103">
        <v>9369</v>
      </c>
      <c r="AH143" s="103" t="s">
        <v>2033</v>
      </c>
      <c r="AI143" s="102">
        <f>IFERROR(ROUND((VLOOKUP($A143,'Из ГУГЛа'!$B:$Z,AI$1,0)+AK143)*AJ143,),VLOOKUP($A143,'Из ГУГЛа'!$B:$Z,AI$1,0))</f>
        <v>0</v>
      </c>
      <c r="AJ143" s="100">
        <v>1</v>
      </c>
      <c r="AK143" s="100"/>
      <c r="AL143" s="103"/>
      <c r="AM143" s="103"/>
      <c r="AN143" s="102">
        <f>IFERROR(ROUND((VLOOKUP($A143,'Из ГУГЛа'!$B:$Z,AN$1,0)+AP143)*AO143,),VLOOKUP($A143,'Из ГУГЛа'!$B:$Z,AN$1,0))</f>
        <v>0</v>
      </c>
      <c r="AO143" s="100">
        <v>1</v>
      </c>
      <c r="AP143" s="100"/>
      <c r="AQ143" s="103"/>
      <c r="AR143" s="103"/>
    </row>
    <row r="144" spans="1:44" ht="40.5" thickTop="1" thickBot="1" x14ac:dyDescent="0.3">
      <c r="A144" s="57">
        <v>144872</v>
      </c>
      <c r="B144" s="57">
        <f>VLOOKUP($A144,'Выгр Кат'!$A:$T,B$1,0)</f>
        <v>3988</v>
      </c>
      <c r="C144" s="58" t="str">
        <f>VLOOKUP($A144,'Выгр Кат'!$A:$T,C$1,0)</f>
        <v>Жгут проводов контроллера для ВАЗ 2107 с 2 датчиками кислорода</v>
      </c>
      <c r="D144" s="57" t="str">
        <f>VLOOKUP($A144,'Выгр Кат'!$A:$T,D$1,0)</f>
        <v>Y</v>
      </c>
      <c r="E144" s="57" t="str">
        <f>VLOOKUP($A144,'Выгр Кат'!$A:$T,E$1,0)</f>
        <v>1</v>
      </c>
      <c r="F144" s="57">
        <f>VLOOKUP($A144,'Выгр Кат'!$A:$T,F$1,0)</f>
        <v>0</v>
      </c>
      <c r="G144" s="57" t="str">
        <f>VLOOKUP($A144,'Выгр Кат'!$A:$T,G$1,0)</f>
        <v>21074372402600</v>
      </c>
      <c r="H144" s="57" t="str">
        <f>VLOOKUP($A144,'Выгр Кат'!$A:$T,H$1,0)</f>
        <v>21074-3724026</v>
      </c>
      <c r="I144" s="39" t="s">
        <v>593</v>
      </c>
      <c r="J144" s="1" t="s">
        <v>526</v>
      </c>
      <c r="K144" s="47">
        <f>VLOOKUP(I144,Прайс!A:E,5,0)</f>
        <v>8000</v>
      </c>
      <c r="L144" s="7">
        <f>VLOOKUP(K144,Наценка!$A$1:$B$8,2,1)</f>
        <v>1.32</v>
      </c>
      <c r="M144" s="44">
        <f t="shared" si="42"/>
        <v>10560</v>
      </c>
      <c r="N144" s="62">
        <f t="shared" si="39"/>
        <v>10590</v>
      </c>
      <c r="O144" s="60">
        <f>VLOOKUP($A144,'Выгр Кат'!$A:$P,O$1,0)</f>
        <v>7000</v>
      </c>
      <c r="P144" s="60">
        <f>VLOOKUP($A144,'Выгр Кат'!$A:$P,P$1,0)</f>
        <v>9290</v>
      </c>
      <c r="Q144" s="73">
        <f t="shared" si="40"/>
        <v>-1000</v>
      </c>
      <c r="R144" s="73">
        <f t="shared" si="41"/>
        <v>-1300</v>
      </c>
      <c r="S144" s="97">
        <f t="shared" si="43"/>
        <v>10590</v>
      </c>
      <c r="T144" s="98">
        <f t="shared" si="44"/>
        <v>0.32374999999999998</v>
      </c>
      <c r="U144" s="98" t="str">
        <f t="shared" si="45"/>
        <v/>
      </c>
      <c r="V144" s="98" t="str">
        <f t="shared" si="46"/>
        <v/>
      </c>
      <c r="W144" s="103"/>
      <c r="X144" s="102">
        <f>IFERROR(ROUND((VLOOKUP($A144,'Из ГУГЛа'!$B:$Z,X$1,0)+Z144)*Y144,),VLOOKUP($A144,'Из ГУГЛа'!$B:$Z,X$1,0))</f>
        <v>9590</v>
      </c>
      <c r="Y144" s="75">
        <v>1</v>
      </c>
      <c r="Z144" s="75">
        <v>0</v>
      </c>
      <c r="AA144" s="63">
        <v>9590</v>
      </c>
      <c r="AB144" s="63" t="s">
        <v>1215</v>
      </c>
      <c r="AC144" s="48" t="s">
        <v>1087</v>
      </c>
      <c r="AD144" s="102">
        <f>IFERROR(ROUND((VLOOKUP($A144,'Из ГУГЛа'!$B:$Z,AD$1,0)+AF144)*AE144,),VLOOKUP($A144,'Из ГУГЛа'!$B:$Z,AD$1,0))</f>
        <v>0</v>
      </c>
      <c r="AE144" s="100">
        <v>1</v>
      </c>
      <c r="AF144" s="100"/>
      <c r="AG144" s="103" t="s">
        <v>2035</v>
      </c>
      <c r="AH144" s="103" t="s">
        <v>2034</v>
      </c>
      <c r="AI144" s="102">
        <f>IFERROR(ROUND((VLOOKUP($A144,'Из ГУГЛа'!$B:$Z,AI$1,0)+AK144)*AJ144,),VLOOKUP($A144,'Из ГУГЛа'!$B:$Z,AI$1,0))</f>
        <v>0</v>
      </c>
      <c r="AJ144" s="100">
        <v>1</v>
      </c>
      <c r="AK144" s="100"/>
      <c r="AL144" s="103"/>
      <c r="AM144" s="103"/>
      <c r="AN144" s="102">
        <f>IFERROR(ROUND((VLOOKUP($A144,'Из ГУГЛа'!$B:$Z,AN$1,0)+AP144)*AO144,),VLOOKUP($A144,'Из ГУГЛа'!$B:$Z,AN$1,0))</f>
        <v>0</v>
      </c>
      <c r="AO144" s="100">
        <v>1</v>
      </c>
      <c r="AP144" s="100"/>
      <c r="AQ144" s="103"/>
      <c r="AR144" s="103"/>
    </row>
    <row r="145" spans="1:44" ht="46.5" thickTop="1" thickBot="1" x14ac:dyDescent="0.3">
      <c r="A145" s="57">
        <v>144874</v>
      </c>
      <c r="B145" s="57">
        <f>VLOOKUP($A145,'Выгр Кат'!$A:$T,B$1,0)</f>
        <v>3991</v>
      </c>
      <c r="C145" s="58" t="str">
        <f>VLOOKUP($A145,'Выгр Кат'!$A:$T,C$1,0)</f>
        <v>Жгут проводов контроллера для ВАЗ 2110 инжекторный 8-ми клапанный двигатель 1.5 л, контроллер ЯНВАРЬ 5.1.1 2111-71</v>
      </c>
      <c r="D145" s="57" t="str">
        <f>VLOOKUP($A145,'Выгр Кат'!$A:$T,D$1,0)</f>
        <v>Y</v>
      </c>
      <c r="E145" s="57" t="str">
        <f>VLOOKUP($A145,'Выгр Кат'!$A:$T,E$1,0)</f>
        <v>1</v>
      </c>
      <c r="F145" s="57">
        <f>VLOOKUP($A145,'Выгр Кат'!$A:$T,F$1,0)</f>
        <v>0</v>
      </c>
      <c r="G145" s="57" t="str">
        <f>VLOOKUP($A145,'Выгр Кат'!$A:$T,G$1,0)</f>
        <v>21102372402651</v>
      </c>
      <c r="H145" s="57" t="str">
        <f>VLOOKUP($A145,'Выгр Кат'!$A:$T,H$1,0)</f>
        <v>21102-3724026</v>
      </c>
      <c r="I145" s="39" t="s">
        <v>619</v>
      </c>
      <c r="J145" s="1" t="s">
        <v>526</v>
      </c>
      <c r="K145" s="47">
        <f>VLOOKUP(I145,Прайс!A:E,5,0)</f>
        <v>8500</v>
      </c>
      <c r="L145" s="7">
        <f>VLOOKUP(K145,Наценка!$A$1:$B$8,2,1)</f>
        <v>1.32</v>
      </c>
      <c r="M145" s="44">
        <f t="shared" si="42"/>
        <v>11220</v>
      </c>
      <c r="N145" s="62">
        <f t="shared" si="39"/>
        <v>11290</v>
      </c>
      <c r="O145" s="60">
        <f>VLOOKUP($A145,'Выгр Кат'!$A:$P,O$1,0)</f>
        <v>10000</v>
      </c>
      <c r="P145" s="60">
        <f>VLOOKUP($A145,'Выгр Кат'!$A:$P,P$1,0)</f>
        <v>11990</v>
      </c>
      <c r="Q145" s="73">
        <f t="shared" si="40"/>
        <v>1500</v>
      </c>
      <c r="R145" s="73">
        <f t="shared" si="41"/>
        <v>700</v>
      </c>
      <c r="S145" s="97">
        <f t="shared" si="43"/>
        <v>11290</v>
      </c>
      <c r="T145" s="98">
        <f t="shared" si="44"/>
        <v>0.32823529411764696</v>
      </c>
      <c r="U145" s="98">
        <f t="shared" si="45"/>
        <v>1.3801537386443047E-2</v>
      </c>
      <c r="V145" s="98">
        <f t="shared" si="46"/>
        <v>0.34682352941176475</v>
      </c>
      <c r="W145" s="106">
        <f t="shared" ref="W145:W152" si="47">MIN(AA145,AG145,AL145,AQ145)</f>
        <v>11448</v>
      </c>
      <c r="X145" s="102">
        <f>IFERROR(ROUND((VLOOKUP($A145,'Из ГУГЛа'!$B:$Z,X$1,0)+Z145)*Y145,),VLOOKUP($A145,'Из ГУГЛа'!$B:$Z,X$1,0))</f>
        <v>11690</v>
      </c>
      <c r="Y145" s="75">
        <v>1</v>
      </c>
      <c r="Z145" s="75">
        <v>0</v>
      </c>
      <c r="AA145" s="63">
        <v>11690</v>
      </c>
      <c r="AB145" s="63" t="s">
        <v>1215</v>
      </c>
      <c r="AC145" s="48" t="s">
        <v>1088</v>
      </c>
      <c r="AD145" s="102">
        <f>IFERROR(ROUND((VLOOKUP($A145,'Из ГУГЛа'!$B:$Z,AD$1,0)+AF145)*AE145,),VLOOKUP($A145,'Из ГУГЛа'!$B:$Z,AD$1,0))</f>
        <v>0</v>
      </c>
      <c r="AE145" s="100">
        <v>1</v>
      </c>
      <c r="AF145" s="100"/>
      <c r="AG145" s="103">
        <v>11448</v>
      </c>
      <c r="AH145" s="103" t="s">
        <v>2036</v>
      </c>
      <c r="AI145" s="102">
        <f>IFERROR(ROUND((VLOOKUP($A145,'Из ГУГЛа'!$B:$Z,AI$1,0)+AK145)*AJ145,),VLOOKUP($A145,'Из ГУГЛа'!$B:$Z,AI$1,0))</f>
        <v>0</v>
      </c>
      <c r="AJ145" s="100">
        <v>1</v>
      </c>
      <c r="AK145" s="100"/>
      <c r="AL145" s="103"/>
      <c r="AM145" s="103"/>
      <c r="AN145" s="102">
        <f>IFERROR(ROUND((VLOOKUP($A145,'Из ГУГЛа'!$B:$Z,AN$1,0)+AP145)*AO145,),VLOOKUP($A145,'Из ГУГЛа'!$B:$Z,AN$1,0))</f>
        <v>0</v>
      </c>
      <c r="AO145" s="100">
        <v>1</v>
      </c>
      <c r="AP145" s="100"/>
      <c r="AQ145" s="103"/>
      <c r="AR145" s="103"/>
    </row>
    <row r="146" spans="1:44" ht="53.25" thickTop="1" thickBot="1" x14ac:dyDescent="0.3">
      <c r="A146" s="57">
        <v>144910</v>
      </c>
      <c r="B146" s="57">
        <f>VLOOKUP($A146,'Выгр Кат'!$A:$T,B$1,0)</f>
        <v>13407</v>
      </c>
      <c r="C146" s="58" t="str">
        <f>VLOOKUP($A146,'Выгр Кат'!$A:$T,C$1,0)</f>
        <v>Жгут проводов панели приборов для Шевроле Нива без кондиционера</v>
      </c>
      <c r="D146" s="57" t="str">
        <f>VLOOKUP($A146,'Выгр Кат'!$A:$T,D$1,0)</f>
        <v>Y</v>
      </c>
      <c r="E146" s="57" t="str">
        <f>VLOOKUP($A146,'Выгр Кат'!$A:$T,E$1,0)</f>
        <v>1</v>
      </c>
      <c r="F146" s="57">
        <f>VLOOKUP($A146,'Выгр Кат'!$A:$T,F$1,0)</f>
        <v>0</v>
      </c>
      <c r="G146" s="57" t="str">
        <f>VLOOKUP($A146,'Выгр Кат'!$A:$T,G$1,0)</f>
        <v>2123372403020</v>
      </c>
      <c r="H146" s="57" t="str">
        <f>VLOOKUP($A146,'Выгр Кат'!$A:$T,H$1,0)</f>
        <v>2123-3724030</v>
      </c>
      <c r="I146" s="39" t="s">
        <v>681</v>
      </c>
      <c r="J146" s="1" t="s">
        <v>526</v>
      </c>
      <c r="K146" s="47">
        <f>VLOOKUP(I146,Прайс!A:E,5,0)</f>
        <v>7000</v>
      </c>
      <c r="L146" s="7">
        <f>VLOOKUP(K146,Наценка!$A$1:$B$8,2,1)</f>
        <v>1.32</v>
      </c>
      <c r="M146" s="44">
        <f t="shared" si="42"/>
        <v>9240</v>
      </c>
      <c r="N146" s="62">
        <f t="shared" si="39"/>
        <v>9290</v>
      </c>
      <c r="O146" s="60">
        <f>VLOOKUP($A146,'Выгр Кат'!$A:$P,O$1,0)</f>
        <v>7000</v>
      </c>
      <c r="P146" s="60">
        <f>VLOOKUP($A146,'Выгр Кат'!$A:$P,P$1,0)</f>
        <v>9490</v>
      </c>
      <c r="Q146" s="73">
        <f t="shared" si="40"/>
        <v>0</v>
      </c>
      <c r="R146" s="73">
        <f t="shared" si="41"/>
        <v>200</v>
      </c>
      <c r="S146" s="97">
        <f t="shared" si="43"/>
        <v>9290</v>
      </c>
      <c r="T146" s="98">
        <f t="shared" si="44"/>
        <v>0.32714285714285718</v>
      </c>
      <c r="U146" s="98">
        <f t="shared" si="45"/>
        <v>9.0666666666666673E-3</v>
      </c>
      <c r="V146" s="98">
        <f t="shared" si="46"/>
        <v>0.33928571428571419</v>
      </c>
      <c r="W146" s="106">
        <f t="shared" si="47"/>
        <v>9375</v>
      </c>
      <c r="X146" s="102">
        <f>IFERROR(ROUND((VLOOKUP($A146,'Из ГУГЛа'!$B:$Z,X$1,0)+Z146)*Y146,),VLOOKUP($A146,'Из ГУГЛа'!$B:$Z,X$1,0))</f>
        <v>9590</v>
      </c>
      <c r="Y146" s="75">
        <v>1</v>
      </c>
      <c r="Z146" s="75">
        <v>0</v>
      </c>
      <c r="AA146" s="63">
        <v>9590</v>
      </c>
      <c r="AB146" s="63" t="s">
        <v>1215</v>
      </c>
      <c r="AC146" s="48" t="s">
        <v>890</v>
      </c>
      <c r="AD146" s="102">
        <f>IFERROR(ROUND((VLOOKUP($A146,'Из ГУГЛа'!$B:$Z,AD$1,0)+AF146)*AE146,),VLOOKUP($A146,'Из ГУГЛа'!$B:$Z,AD$1,0))</f>
        <v>0</v>
      </c>
      <c r="AE146" s="100">
        <v>1</v>
      </c>
      <c r="AF146" s="100"/>
      <c r="AG146" s="103">
        <v>9375</v>
      </c>
      <c r="AH146" s="103" t="s">
        <v>2037</v>
      </c>
      <c r="AI146" s="102">
        <f>IFERROR(ROUND((VLOOKUP($A146,'Из ГУГЛа'!$B:$Z,AI$1,0)+AK146)*AJ146,),VLOOKUP($A146,'Из ГУГЛа'!$B:$Z,AI$1,0))</f>
        <v>0</v>
      </c>
      <c r="AJ146" s="100">
        <v>1</v>
      </c>
      <c r="AK146" s="100"/>
      <c r="AL146" s="103"/>
      <c r="AM146" s="103"/>
      <c r="AN146" s="102">
        <f>IFERROR(ROUND((VLOOKUP($A146,'Из ГУГЛа'!$B:$Z,AN$1,0)+AP146)*AO146,),VLOOKUP($A146,'Из ГУГЛа'!$B:$Z,AN$1,0))</f>
        <v>0</v>
      </c>
      <c r="AO146" s="100">
        <v>1</v>
      </c>
      <c r="AP146" s="100"/>
      <c r="AQ146" s="103"/>
      <c r="AR146" s="103"/>
    </row>
    <row r="147" spans="1:44" ht="53.25" thickTop="1" thickBot="1" x14ac:dyDescent="0.3">
      <c r="A147" s="57">
        <v>144911</v>
      </c>
      <c r="B147" s="57">
        <f>VLOOKUP($A147,'Выгр Кат'!$A:$T,B$1,0)</f>
        <v>13413</v>
      </c>
      <c r="C147" s="58" t="str">
        <f>VLOOKUP($A147,'Выгр Кат'!$A:$T,C$1,0)</f>
        <v>Жгут проводов панели приборов для Шевроле Нива с кондиционером</v>
      </c>
      <c r="D147" s="57" t="str">
        <f>VLOOKUP($A147,'Выгр Кат'!$A:$T,D$1,0)</f>
        <v>Y</v>
      </c>
      <c r="E147" s="57" t="str">
        <f>VLOOKUP($A147,'Выгр Кат'!$A:$T,E$1,0)</f>
        <v>1</v>
      </c>
      <c r="F147" s="57">
        <f>VLOOKUP($A147,'Выгр Кат'!$A:$T,F$1,0)</f>
        <v>0</v>
      </c>
      <c r="G147" s="57" t="str">
        <f>VLOOKUP($A147,'Выгр Кат'!$A:$T,G$1,0)</f>
        <v>2123372403090</v>
      </c>
      <c r="H147" s="57" t="str">
        <f>VLOOKUP($A147,'Выгр Кат'!$A:$T,H$1,0)</f>
        <v>2123-3724030</v>
      </c>
      <c r="I147" s="39" t="s">
        <v>689</v>
      </c>
      <c r="J147" s="1" t="s">
        <v>526</v>
      </c>
      <c r="K147" s="47">
        <f>VLOOKUP(I147,Прайс!A:E,5,0)</f>
        <v>7500</v>
      </c>
      <c r="L147" s="7">
        <f>VLOOKUP(K147,Наценка!$A$1:$B$8,2,1)</f>
        <v>1.32</v>
      </c>
      <c r="M147" s="44">
        <f t="shared" si="42"/>
        <v>9900</v>
      </c>
      <c r="N147" s="62">
        <f t="shared" si="39"/>
        <v>9890</v>
      </c>
      <c r="O147" s="60">
        <f>VLOOKUP($A147,'Выгр Кат'!$A:$P,O$1,0)</f>
        <v>7000</v>
      </c>
      <c r="P147" s="60">
        <f>VLOOKUP($A147,'Выгр Кат'!$A:$P,P$1,0)</f>
        <v>9490</v>
      </c>
      <c r="Q147" s="73">
        <f t="shared" si="40"/>
        <v>-500</v>
      </c>
      <c r="R147" s="73">
        <f t="shared" si="41"/>
        <v>-400</v>
      </c>
      <c r="S147" s="97">
        <f t="shared" si="43"/>
        <v>9890</v>
      </c>
      <c r="T147" s="98">
        <f t="shared" si="44"/>
        <v>0.31866666666666665</v>
      </c>
      <c r="U147" s="98">
        <f t="shared" si="45"/>
        <v>-3.1282586027111578E-2</v>
      </c>
      <c r="V147" s="98">
        <f t="shared" si="46"/>
        <v>0.27866666666666662</v>
      </c>
      <c r="W147" s="106">
        <f t="shared" si="47"/>
        <v>9590</v>
      </c>
      <c r="X147" s="102">
        <f>IFERROR(ROUND((VLOOKUP($A147,'Из ГУГЛа'!$B:$Z,X$1,0)+Z147)*Y147,),VLOOKUP($A147,'Из ГУГЛа'!$B:$Z,X$1,0))</f>
        <v>9590</v>
      </c>
      <c r="Y147" s="75">
        <v>1</v>
      </c>
      <c r="Z147" s="75">
        <v>0</v>
      </c>
      <c r="AA147" s="63">
        <v>9590</v>
      </c>
      <c r="AB147" s="63" t="s">
        <v>1215</v>
      </c>
      <c r="AC147" s="48" t="s">
        <v>1089</v>
      </c>
      <c r="AD147" s="102">
        <f>IFERROR(ROUND((VLOOKUP($A147,'Из ГУГЛа'!$B:$Z,AD$1,0)+AF147)*AE147,),VLOOKUP($A147,'Из ГУГЛа'!$B:$Z,AD$1,0))</f>
        <v>0</v>
      </c>
      <c r="AE147" s="100">
        <v>1</v>
      </c>
      <c r="AF147" s="100"/>
      <c r="AG147" s="103">
        <v>10025</v>
      </c>
      <c r="AH147" s="103" t="s">
        <v>2038</v>
      </c>
      <c r="AI147" s="102">
        <f>IFERROR(ROUND((VLOOKUP($A147,'Из ГУГЛа'!$B:$Z,AI$1,0)+AK147)*AJ147,),VLOOKUP($A147,'Из ГУГЛа'!$B:$Z,AI$1,0))</f>
        <v>0</v>
      </c>
      <c r="AJ147" s="100">
        <v>1</v>
      </c>
      <c r="AK147" s="100"/>
      <c r="AL147" s="103"/>
      <c r="AM147" s="103"/>
      <c r="AN147" s="102">
        <f>IFERROR(ROUND((VLOOKUP($A147,'Из ГУГЛа'!$B:$Z,AN$1,0)+AP147)*AO147,),VLOOKUP($A147,'Из ГУГЛа'!$B:$Z,AN$1,0))</f>
        <v>0</v>
      </c>
      <c r="AO147" s="100">
        <v>1</v>
      </c>
      <c r="AP147" s="100"/>
      <c r="AQ147" s="103"/>
      <c r="AR147" s="103"/>
    </row>
    <row r="148" spans="1:44" ht="31.5" thickTop="1" thickBot="1" x14ac:dyDescent="0.3">
      <c r="A148" s="57">
        <v>144856</v>
      </c>
      <c r="B148" s="57">
        <f>VLOOKUP($A148,'Выгр Кат'!$A:$T,B$1,0)</f>
        <v>13347</v>
      </c>
      <c r="C148" s="58" t="str">
        <f>VLOOKUP($A148,'Выгр Кат'!$A:$T,C$1,0)</f>
        <v>Жгут проводов задний 2170-50 для Лада Приора седан</v>
      </c>
      <c r="D148" s="57" t="str">
        <f>VLOOKUP($A148,'Выгр Кат'!$A:$T,D$1,0)</f>
        <v>Y</v>
      </c>
      <c r="E148" s="57" t="str">
        <f>VLOOKUP($A148,'Выгр Кат'!$A:$T,E$1,0)</f>
        <v>1</v>
      </c>
      <c r="F148" s="57">
        <f>VLOOKUP($A148,'Выгр Кат'!$A:$T,F$1,0)</f>
        <v>0</v>
      </c>
      <c r="G148" s="57" t="str">
        <f>VLOOKUP($A148,'Выгр Кат'!$A:$T,G$1,0)</f>
        <v>2170372421050</v>
      </c>
      <c r="H148" s="57" t="str">
        <f>VLOOKUP($A148,'Выгр Кат'!$A:$T,H$1,0)</f>
        <v>2170-3724210</v>
      </c>
      <c r="I148" s="39" t="s">
        <v>700</v>
      </c>
      <c r="J148" s="1" t="s">
        <v>526</v>
      </c>
      <c r="K148" s="47">
        <f>VLOOKUP(I148,Прайс!A:E,5,0)</f>
        <v>6500</v>
      </c>
      <c r="L148" s="7">
        <f>VLOOKUP(K148,Наценка!$A$1:$B$8,2,1)</f>
        <v>1.32</v>
      </c>
      <c r="M148" s="44">
        <f t="shared" si="42"/>
        <v>8580</v>
      </c>
      <c r="N148" s="62">
        <f t="shared" si="39"/>
        <v>8590</v>
      </c>
      <c r="O148" s="60">
        <f>VLOOKUP($A148,'Выгр Кат'!$A:$P,O$1,0)</f>
        <v>6500</v>
      </c>
      <c r="P148" s="60">
        <f>VLOOKUP($A148,'Выгр Кат'!$A:$P,P$1,0)</f>
        <v>8790</v>
      </c>
      <c r="Q148" s="73">
        <f t="shared" si="40"/>
        <v>0</v>
      </c>
      <c r="R148" s="73">
        <f t="shared" si="41"/>
        <v>200</v>
      </c>
      <c r="S148" s="97">
        <f t="shared" si="43"/>
        <v>8590</v>
      </c>
      <c r="T148" s="98">
        <f t="shared" si="44"/>
        <v>0.32153846153846155</v>
      </c>
      <c r="U148" s="98">
        <f t="shared" si="45"/>
        <v>-0.19107043815862451</v>
      </c>
      <c r="V148" s="98">
        <f t="shared" si="46"/>
        <v>0.10953846153846158</v>
      </c>
      <c r="W148" s="106">
        <f t="shared" si="47"/>
        <v>7212</v>
      </c>
      <c r="X148" s="102">
        <f>IFERROR(ROUND((VLOOKUP($A148,'Из ГУГЛа'!$B:$Z,X$1,0)+Z148)*Y148,),VLOOKUP($A148,'Из ГУГЛа'!$B:$Z,X$1,0))</f>
        <v>8890</v>
      </c>
      <c r="Y148" s="75">
        <v>1</v>
      </c>
      <c r="Z148" s="75">
        <v>0</v>
      </c>
      <c r="AA148" s="63">
        <v>8890</v>
      </c>
      <c r="AB148" s="63" t="s">
        <v>1215</v>
      </c>
      <c r="AC148" s="48" t="s">
        <v>1090</v>
      </c>
      <c r="AD148" s="102">
        <f>IFERROR(ROUND((VLOOKUP($A148,'Из ГУГЛа'!$B:$Z,AD$1,0)+AF148)*AE148,),VLOOKUP($A148,'Из ГУГЛа'!$B:$Z,AD$1,0))</f>
        <v>0</v>
      </c>
      <c r="AE148" s="100">
        <v>1</v>
      </c>
      <c r="AF148" s="100"/>
      <c r="AG148" s="103">
        <v>7212</v>
      </c>
      <c r="AH148" s="103" t="s">
        <v>2039</v>
      </c>
      <c r="AI148" s="102">
        <f>IFERROR(ROUND((VLOOKUP($A148,'Из ГУГЛа'!$B:$Z,AI$1,0)+AK148)*AJ148,),VLOOKUP($A148,'Из ГУГЛа'!$B:$Z,AI$1,0))</f>
        <v>0</v>
      </c>
      <c r="AJ148" s="100">
        <v>1</v>
      </c>
      <c r="AK148" s="100"/>
      <c r="AL148" s="103"/>
      <c r="AM148" s="103"/>
      <c r="AN148" s="102">
        <f>IFERROR(ROUND((VLOOKUP($A148,'Из ГУГЛа'!$B:$Z,AN$1,0)+AP148)*AO148,),VLOOKUP($A148,'Из ГУГЛа'!$B:$Z,AN$1,0))</f>
        <v>0</v>
      </c>
      <c r="AO148" s="100">
        <v>1</v>
      </c>
      <c r="AP148" s="100"/>
      <c r="AQ148" s="103"/>
      <c r="AR148" s="103"/>
    </row>
    <row r="149" spans="1:44" ht="31.5" thickTop="1" thickBot="1" x14ac:dyDescent="0.3">
      <c r="A149" s="57">
        <v>144858</v>
      </c>
      <c r="B149" s="57">
        <f>VLOOKUP($A149,'Выгр Кат'!$A:$T,B$1,0)</f>
        <v>13349</v>
      </c>
      <c r="C149" s="58" t="str">
        <f>VLOOKUP($A149,'Выгр Кат'!$A:$T,C$1,0)</f>
        <v>Жгут проводов задний 2171-20 для Лада Приора универсал</v>
      </c>
      <c r="D149" s="57" t="str">
        <f>VLOOKUP($A149,'Выгр Кат'!$A:$T,D$1,0)</f>
        <v>Y</v>
      </c>
      <c r="E149" s="57" t="str">
        <f>VLOOKUP($A149,'Выгр Кат'!$A:$T,E$1,0)</f>
        <v>1</v>
      </c>
      <c r="F149" s="57">
        <f>VLOOKUP($A149,'Выгр Кат'!$A:$T,F$1,0)</f>
        <v>0</v>
      </c>
      <c r="G149" s="57" t="str">
        <f>VLOOKUP($A149,'Выгр Кат'!$A:$T,G$1,0)</f>
        <v>2171372421020</v>
      </c>
      <c r="H149" s="57" t="str">
        <f>VLOOKUP($A149,'Выгр Кат'!$A:$T,H$1,0)</f>
        <v>2171-3724210</v>
      </c>
      <c r="I149" s="39" t="s">
        <v>702</v>
      </c>
      <c r="J149" s="1" t="s">
        <v>526</v>
      </c>
      <c r="K149" s="47">
        <f>VLOOKUP(I149,Прайс!A:E,5,0)</f>
        <v>6000</v>
      </c>
      <c r="L149" s="7">
        <f>VLOOKUP(K149,Наценка!$A$1:$B$8,2,1)</f>
        <v>1.32</v>
      </c>
      <c r="M149" s="44">
        <f t="shared" si="42"/>
        <v>7920</v>
      </c>
      <c r="N149" s="62">
        <f t="shared" si="39"/>
        <v>7990</v>
      </c>
      <c r="O149" s="60">
        <f>VLOOKUP($A149,'Выгр Кат'!$A:$P,O$1,0)</f>
        <v>6000</v>
      </c>
      <c r="P149" s="60">
        <f>VLOOKUP($A149,'Выгр Кат'!$A:$P,P$1,0)</f>
        <v>8490</v>
      </c>
      <c r="Q149" s="73">
        <f t="shared" si="40"/>
        <v>0</v>
      </c>
      <c r="R149" s="73">
        <f t="shared" si="41"/>
        <v>500</v>
      </c>
      <c r="S149" s="97">
        <f t="shared" si="43"/>
        <v>7990</v>
      </c>
      <c r="T149" s="98">
        <f t="shared" si="44"/>
        <v>0.33166666666666678</v>
      </c>
      <c r="U149" s="98">
        <f t="shared" si="45"/>
        <v>-1.6410125938175806E-2</v>
      </c>
      <c r="V149" s="98">
        <f t="shared" si="46"/>
        <v>0.3101666666666667</v>
      </c>
      <c r="W149" s="106">
        <f t="shared" si="47"/>
        <v>7861</v>
      </c>
      <c r="X149" s="102">
        <f>IFERROR(ROUND((VLOOKUP($A149,'Из ГУГЛа'!$B:$Z,X$1,0)+Z149)*Y149,),VLOOKUP($A149,'Из ГУГЛа'!$B:$Z,X$1,0))</f>
        <v>8590</v>
      </c>
      <c r="Y149" s="75">
        <v>1</v>
      </c>
      <c r="Z149" s="75">
        <v>0</v>
      </c>
      <c r="AA149" s="63">
        <v>8590</v>
      </c>
      <c r="AB149" s="63" t="s">
        <v>1215</v>
      </c>
      <c r="AC149" s="48" t="s">
        <v>795</v>
      </c>
      <c r="AD149" s="102">
        <f>IFERROR(ROUND((VLOOKUP($A149,'Из ГУГЛа'!$B:$Z,AD$1,0)+AF149)*AE149,),VLOOKUP($A149,'Из ГУГЛа'!$B:$Z,AD$1,0))</f>
        <v>0</v>
      </c>
      <c r="AE149" s="100">
        <v>1</v>
      </c>
      <c r="AF149" s="100"/>
      <c r="AG149" s="103">
        <v>7861</v>
      </c>
      <c r="AH149" s="103" t="s">
        <v>2040</v>
      </c>
      <c r="AI149" s="102">
        <f>IFERROR(ROUND((VLOOKUP($A149,'Из ГУГЛа'!$B:$Z,AI$1,0)+AK149)*AJ149,),VLOOKUP($A149,'Из ГУГЛа'!$B:$Z,AI$1,0))</f>
        <v>0</v>
      </c>
      <c r="AJ149" s="100">
        <v>1</v>
      </c>
      <c r="AK149" s="100"/>
      <c r="AL149" s="103"/>
      <c r="AM149" s="103"/>
      <c r="AN149" s="102">
        <f>IFERROR(ROUND((VLOOKUP($A149,'Из ГУГЛа'!$B:$Z,AN$1,0)+AP149)*AO149,),VLOOKUP($A149,'Из ГУГЛа'!$B:$Z,AN$1,0))</f>
        <v>0</v>
      </c>
      <c r="AO149" s="100">
        <v>1</v>
      </c>
      <c r="AP149" s="100"/>
      <c r="AQ149" s="103"/>
      <c r="AR149" s="103"/>
    </row>
    <row r="150" spans="1:44" ht="40.5" thickTop="1" thickBot="1" x14ac:dyDescent="0.3">
      <c r="A150" s="57">
        <v>144998</v>
      </c>
      <c r="B150" s="57">
        <f>VLOOKUP($A150,'Выгр Кат'!$A:$T,B$1,0)</f>
        <v>13387</v>
      </c>
      <c r="C150" s="58" t="str">
        <f>VLOOKUP($A150,'Выгр Кат'!$A:$T,C$1,0)</f>
        <v>Жгут проводов фар и генератора для Лада Гранта</v>
      </c>
      <c r="D150" s="57" t="str">
        <f>VLOOKUP($A150,'Выгр Кат'!$A:$T,D$1,0)</f>
        <v>Y</v>
      </c>
      <c r="E150" s="57" t="str">
        <f>VLOOKUP($A150,'Выгр Кат'!$A:$T,E$1,0)</f>
        <v>1</v>
      </c>
      <c r="F150" s="57">
        <f>VLOOKUP($A150,'Выгр Кат'!$A:$T,F$1,0)</f>
        <v>0</v>
      </c>
      <c r="G150" s="57" t="str">
        <f>VLOOKUP($A150,'Выгр Кат'!$A:$T,G$1,0)</f>
        <v>21920372401001</v>
      </c>
      <c r="H150" s="57" t="str">
        <f>VLOOKUP($A150,'Выгр Кат'!$A:$T,H$1,0)</f>
        <v>2192-3724010</v>
      </c>
      <c r="I150" s="39" t="s">
        <v>569</v>
      </c>
      <c r="J150" s="1" t="s">
        <v>526</v>
      </c>
      <c r="K150" s="47">
        <f>VLOOKUP(I150,Прайс!A:E,5,0)</f>
        <v>8000</v>
      </c>
      <c r="L150" s="7">
        <f>VLOOKUP(K150,Наценка!$A$1:$B$8,2,1)</f>
        <v>1.32</v>
      </c>
      <c r="M150" s="44">
        <f t="shared" si="42"/>
        <v>10560</v>
      </c>
      <c r="N150" s="62">
        <f t="shared" si="39"/>
        <v>10590</v>
      </c>
      <c r="O150" s="60">
        <f>VLOOKUP($A150,'Выгр Кат'!$A:$P,O$1,0)</f>
        <v>8000</v>
      </c>
      <c r="P150" s="60">
        <f>VLOOKUP($A150,'Выгр Кат'!$A:$P,P$1,0)</f>
        <v>10590</v>
      </c>
      <c r="Q150" s="73">
        <f t="shared" si="40"/>
        <v>0</v>
      </c>
      <c r="R150" s="73">
        <f t="shared" si="41"/>
        <v>0</v>
      </c>
      <c r="S150" s="97">
        <f t="shared" si="43"/>
        <v>10590</v>
      </c>
      <c r="T150" s="98">
        <f t="shared" si="44"/>
        <v>0.32374999999999998</v>
      </c>
      <c r="U150" s="98">
        <f t="shared" si="45"/>
        <v>-0.22357019064124783</v>
      </c>
      <c r="V150" s="98">
        <f t="shared" si="46"/>
        <v>8.187499999999992E-2</v>
      </c>
      <c r="W150" s="106">
        <f t="shared" si="47"/>
        <v>8655</v>
      </c>
      <c r="X150" s="102">
        <f>IFERROR(ROUND((VLOOKUP($A150,'Из ГУГЛа'!$B:$Z,X$1,0)+Z150)*Y150,),VLOOKUP($A150,'Из ГУГЛа'!$B:$Z,X$1,0))</f>
        <v>10990</v>
      </c>
      <c r="Y150" s="75">
        <v>1</v>
      </c>
      <c r="Z150" s="75">
        <v>0</v>
      </c>
      <c r="AA150" s="63">
        <v>10990</v>
      </c>
      <c r="AB150" s="63" t="s">
        <v>1215</v>
      </c>
      <c r="AC150" s="48" t="s">
        <v>796</v>
      </c>
      <c r="AD150" s="102">
        <f>IFERROR(ROUND((VLOOKUP($A150,'Из ГУГЛа'!$B:$Z,AD$1,0)+AF150)*AE150,),VLOOKUP($A150,'Из ГУГЛа'!$B:$Z,AD$1,0))</f>
        <v>0</v>
      </c>
      <c r="AE150" s="100">
        <v>1</v>
      </c>
      <c r="AF150" s="100"/>
      <c r="AG150" s="103">
        <v>8655</v>
      </c>
      <c r="AH150" s="103" t="s">
        <v>2041</v>
      </c>
      <c r="AI150" s="102">
        <f>IFERROR(ROUND((VLOOKUP($A150,'Из ГУГЛа'!$B:$Z,AI$1,0)+AK150)*AJ150,),VLOOKUP($A150,'Из ГУГЛа'!$B:$Z,AI$1,0))</f>
        <v>0</v>
      </c>
      <c r="AJ150" s="100">
        <v>1</v>
      </c>
      <c r="AK150" s="100"/>
      <c r="AL150" s="103"/>
      <c r="AM150" s="103"/>
      <c r="AN150" s="102">
        <f>IFERROR(ROUND((VLOOKUP($A150,'Из ГУГЛа'!$B:$Z,AN$1,0)+AP150)*AO150,),VLOOKUP($A150,'Из ГУГЛа'!$B:$Z,AN$1,0))</f>
        <v>0</v>
      </c>
      <c r="AO150" s="100">
        <v>1</v>
      </c>
      <c r="AP150" s="100"/>
      <c r="AQ150" s="103"/>
      <c r="AR150" s="103"/>
    </row>
    <row r="151" spans="1:44" ht="40.5" thickTop="1" thickBot="1" x14ac:dyDescent="0.3">
      <c r="A151" s="57">
        <v>145000</v>
      </c>
      <c r="B151" s="57">
        <f>VLOOKUP($A151,'Выгр Кат'!$A:$T,B$1,0)</f>
        <v>13390</v>
      </c>
      <c r="C151" s="58" t="str">
        <f>VLOOKUP($A151,'Выгр Кат'!$A:$T,C$1,0)</f>
        <v>Жгут проводов фар и генератора для Лада Гранта</v>
      </c>
      <c r="D151" s="57" t="str">
        <f>VLOOKUP($A151,'Выгр Кат'!$A:$T,D$1,0)</f>
        <v>Y</v>
      </c>
      <c r="E151" s="57" t="str">
        <f>VLOOKUP($A151,'Выгр Кат'!$A:$T,E$1,0)</f>
        <v>1</v>
      </c>
      <c r="F151" s="57">
        <f>VLOOKUP($A151,'Выгр Кат'!$A:$T,F$1,0)</f>
        <v>0</v>
      </c>
      <c r="G151" s="57" t="str">
        <f>VLOOKUP($A151,'Выгр Кат'!$A:$T,G$1,0)</f>
        <v>21921372401000</v>
      </c>
      <c r="H151" s="57" t="str">
        <f>VLOOKUP($A151,'Выгр Кат'!$A:$T,H$1,0)</f>
        <v>21921-3724010</v>
      </c>
      <c r="I151" s="39" t="s">
        <v>740</v>
      </c>
      <c r="J151" s="1" t="s">
        <v>526</v>
      </c>
      <c r="K151" s="47">
        <f>VLOOKUP(I151,Прайс!A:E,5,0)</f>
        <v>8000</v>
      </c>
      <c r="L151" s="7">
        <f>VLOOKUP(K151,Наценка!$A$1:$B$8,2,1)</f>
        <v>1.32</v>
      </c>
      <c r="M151" s="44">
        <f t="shared" si="42"/>
        <v>10560</v>
      </c>
      <c r="N151" s="62">
        <f t="shared" si="39"/>
        <v>10590</v>
      </c>
      <c r="O151" s="60">
        <f>VLOOKUP($A151,'Выгр Кат'!$A:$P,O$1,0)</f>
        <v>8000</v>
      </c>
      <c r="P151" s="60">
        <f>VLOOKUP($A151,'Выгр Кат'!$A:$P,P$1,0)</f>
        <v>10890</v>
      </c>
      <c r="Q151" s="73">
        <f t="shared" si="40"/>
        <v>0</v>
      </c>
      <c r="R151" s="73">
        <f t="shared" si="41"/>
        <v>300</v>
      </c>
      <c r="S151" s="97">
        <f t="shared" si="43"/>
        <v>10590</v>
      </c>
      <c r="T151" s="98">
        <f t="shared" si="44"/>
        <v>0.32374999999999998</v>
      </c>
      <c r="U151" s="98">
        <f t="shared" si="45"/>
        <v>-0.22357019064124783</v>
      </c>
      <c r="V151" s="98">
        <f t="shared" si="46"/>
        <v>8.187499999999992E-2</v>
      </c>
      <c r="W151" s="106">
        <f t="shared" si="47"/>
        <v>8655</v>
      </c>
      <c r="X151" s="102">
        <f>IFERROR(ROUND((VLOOKUP($A151,'Из ГУГЛа'!$B:$Z,X$1,0)+Z151)*Y151,),VLOOKUP($A151,'Из ГУГЛа'!$B:$Z,X$1,0))</f>
        <v>10990</v>
      </c>
      <c r="Y151" s="75">
        <v>1</v>
      </c>
      <c r="Z151" s="75">
        <v>0</v>
      </c>
      <c r="AA151" s="85">
        <v>10990</v>
      </c>
      <c r="AB151" s="63" t="s">
        <v>1215</v>
      </c>
      <c r="AC151" s="48" t="s">
        <v>797</v>
      </c>
      <c r="AD151" s="102">
        <f>IFERROR(ROUND((VLOOKUP($A151,'Из ГУГЛа'!$B:$Z,AD$1,0)+AF151)*AE151,),VLOOKUP($A151,'Из ГУГЛа'!$B:$Z,AD$1,0))</f>
        <v>0</v>
      </c>
      <c r="AE151" s="100">
        <v>1</v>
      </c>
      <c r="AF151" s="100"/>
      <c r="AG151" s="103">
        <v>8655</v>
      </c>
      <c r="AH151" s="103" t="s">
        <v>2042</v>
      </c>
      <c r="AI151" s="102">
        <f>IFERROR(ROUND((VLOOKUP($A151,'Из ГУГЛа'!$B:$Z,AI$1,0)+AK151)*AJ151,),VLOOKUP($A151,'Из ГУГЛа'!$B:$Z,AI$1,0))</f>
        <v>0</v>
      </c>
      <c r="AJ151" s="100">
        <v>1</v>
      </c>
      <c r="AK151" s="100"/>
      <c r="AL151" s="103"/>
      <c r="AM151" s="103"/>
      <c r="AN151" s="102">
        <f>IFERROR(ROUND((VLOOKUP($A151,'Из ГУГЛа'!$B:$Z,AN$1,0)+AP151)*AO151,),VLOOKUP($A151,'Из ГУГЛа'!$B:$Z,AN$1,0))</f>
        <v>0</v>
      </c>
      <c r="AO151" s="100">
        <v>1</v>
      </c>
      <c r="AP151" s="100"/>
      <c r="AQ151" s="103"/>
      <c r="AR151" s="103"/>
    </row>
    <row r="152" spans="1:44" ht="40.5" thickTop="1" thickBot="1" x14ac:dyDescent="0.3">
      <c r="A152" s="57">
        <v>144981</v>
      </c>
      <c r="B152" s="57">
        <f>VLOOKUP($A152,'Выгр Кат'!$A:$T,B$1,0)</f>
        <v>13332</v>
      </c>
      <c r="C152" s="58" t="str">
        <f>VLOOKUP($A152,'Выгр Кат'!$A:$T,C$1,0)</f>
        <v>Жгут проводов фар и генератора 1118 для Лада Калина седан, универсал</v>
      </c>
      <c r="D152" s="57" t="str">
        <f>VLOOKUP($A152,'Выгр Кат'!$A:$T,D$1,0)</f>
        <v>Y</v>
      </c>
      <c r="E152" s="57" t="str">
        <f>VLOOKUP($A152,'Выгр Кат'!$A:$T,E$1,0)</f>
        <v>1</v>
      </c>
      <c r="F152" s="57">
        <f>VLOOKUP($A152,'Выгр Кат'!$A:$T,F$1,0)</f>
        <v>0</v>
      </c>
      <c r="G152" s="57" t="str">
        <f>VLOOKUP($A152,'Выгр Кат'!$A:$T,G$1,0)</f>
        <v>11183724010</v>
      </c>
      <c r="H152" s="57" t="str">
        <f>VLOOKUP($A152,'Выгр Кат'!$A:$T,H$1,0)</f>
        <v>1118-3724010</v>
      </c>
      <c r="I152" s="39" t="s">
        <v>653</v>
      </c>
      <c r="J152" s="1" t="s">
        <v>526</v>
      </c>
      <c r="K152" s="47">
        <f>VLOOKUP(I152,Прайс!A:E,5,0)</f>
        <v>7000</v>
      </c>
      <c r="L152" s="7">
        <f>VLOOKUP(K152,Наценка!$A$1:$B$8,2,1)</f>
        <v>1.32</v>
      </c>
      <c r="M152" s="44">
        <f t="shared" si="42"/>
        <v>9240</v>
      </c>
      <c r="N152" s="62">
        <f t="shared" si="39"/>
        <v>9290</v>
      </c>
      <c r="O152" s="60">
        <f>VLOOKUP($A152,'Выгр Кат'!$A:$P,O$1,0)</f>
        <v>6500</v>
      </c>
      <c r="P152" s="60">
        <f>VLOOKUP($A152,'Выгр Кат'!$A:$P,P$1,0)</f>
        <v>8790</v>
      </c>
      <c r="Q152" s="73">
        <f t="shared" si="40"/>
        <v>-500</v>
      </c>
      <c r="R152" s="73">
        <f t="shared" si="41"/>
        <v>-500</v>
      </c>
      <c r="S152" s="97">
        <f t="shared" si="43"/>
        <v>9290</v>
      </c>
      <c r="T152" s="98">
        <f t="shared" si="44"/>
        <v>0.32714285714285718</v>
      </c>
      <c r="U152" s="98">
        <f t="shared" si="45"/>
        <v>-0.20274469186949767</v>
      </c>
      <c r="V152" s="98">
        <f t="shared" si="46"/>
        <v>0.10342857142857143</v>
      </c>
      <c r="W152" s="106">
        <f t="shared" si="47"/>
        <v>7724</v>
      </c>
      <c r="X152" s="102">
        <f>IFERROR(ROUND((VLOOKUP($A152,'Из ГУГЛа'!$B:$Z,X$1,0)+Z152)*Y152,),VLOOKUP($A152,'Из ГУГЛа'!$B:$Z,X$1,0))</f>
        <v>8890</v>
      </c>
      <c r="Y152" s="75">
        <v>1</v>
      </c>
      <c r="Z152" s="75">
        <v>0</v>
      </c>
      <c r="AA152" s="63">
        <v>8890</v>
      </c>
      <c r="AB152" s="63" t="s">
        <v>1215</v>
      </c>
      <c r="AC152" s="48" t="s">
        <v>1091</v>
      </c>
      <c r="AD152" s="102">
        <f>IFERROR(ROUND((VLOOKUP($A152,'Из ГУГЛа'!$B:$Z,AD$1,0)+AF152)*AE152,),VLOOKUP($A152,'Из ГУГЛа'!$B:$Z,AD$1,0))</f>
        <v>0</v>
      </c>
      <c r="AE152" s="100">
        <v>1</v>
      </c>
      <c r="AF152" s="100"/>
      <c r="AG152" s="103">
        <v>7724</v>
      </c>
      <c r="AH152" s="103" t="s">
        <v>2043</v>
      </c>
      <c r="AI152" s="102">
        <f>IFERROR(ROUND((VLOOKUP($A152,'Из ГУГЛа'!$B:$Z,AI$1,0)+AK152)*AJ152,),VLOOKUP($A152,'Из ГУГЛа'!$B:$Z,AI$1,0))</f>
        <v>0</v>
      </c>
      <c r="AJ152" s="100">
        <v>1</v>
      </c>
      <c r="AK152" s="100"/>
      <c r="AL152" s="103"/>
      <c r="AM152" s="103"/>
      <c r="AN152" s="102">
        <f>IFERROR(ROUND((VLOOKUP($A152,'Из ГУГЛа'!$B:$Z,AN$1,0)+AP152)*AO152,),VLOOKUP($A152,'Из ГУГЛа'!$B:$Z,AN$1,0))</f>
        <v>0</v>
      </c>
      <c r="AO152" s="100">
        <v>1</v>
      </c>
      <c r="AP152" s="100"/>
      <c r="AQ152" s="103"/>
      <c r="AR152" s="103"/>
    </row>
    <row r="153" spans="1:44" ht="40.5" thickTop="1" thickBot="1" x14ac:dyDescent="0.3">
      <c r="A153" s="57">
        <v>223870</v>
      </c>
      <c r="B153" s="57">
        <f>VLOOKUP($A153,'Выгр Кат'!$A:$T,B$1,0)</f>
        <v>13338</v>
      </c>
      <c r="C153" s="58" t="str">
        <f>VLOOKUP($A153,'Выгр Кат'!$A:$T,C$1,0)</f>
        <v>Жгут проводов фар и генератора 11180 для Лада Калина</v>
      </c>
      <c r="D153" s="57" t="str">
        <f>VLOOKUP($A153,'Выгр Кат'!$A:$T,D$1,0)</f>
        <v>Y</v>
      </c>
      <c r="E153" s="57" t="str">
        <f>VLOOKUP($A153,'Выгр Кат'!$A:$T,E$1,0)</f>
        <v>1</v>
      </c>
      <c r="F153" s="57">
        <f>VLOOKUP($A153,'Выгр Кат'!$A:$T,F$1,0)</f>
        <v>0</v>
      </c>
      <c r="G153" s="57" t="str">
        <f>VLOOKUP($A153,'Выгр Кат'!$A:$T,G$1,0)</f>
        <v>11180372401051</v>
      </c>
      <c r="H153" s="57" t="str">
        <f>VLOOKUP($A153,'Выгр Кат'!$A:$T,H$1,0)</f>
        <v>1118-3724010</v>
      </c>
      <c r="I153" s="39" t="s">
        <v>653</v>
      </c>
      <c r="J153" s="1" t="s">
        <v>526</v>
      </c>
      <c r="K153" s="47">
        <f>VLOOKUP(I153,Прайс!A:E,5,0)</f>
        <v>7000</v>
      </c>
      <c r="L153" s="7">
        <f>VLOOKUP(K153,Наценка!$A$1:$B$8,2,1)</f>
        <v>1.32</v>
      </c>
      <c r="M153" s="44">
        <f t="shared" si="42"/>
        <v>9240</v>
      </c>
      <c r="N153" s="62">
        <f t="shared" si="39"/>
        <v>9290</v>
      </c>
      <c r="O153" s="60">
        <f>VLOOKUP($A153,'Выгр Кат'!$A:$P,O$1,0)</f>
        <v>6500</v>
      </c>
      <c r="P153" s="60">
        <f>VLOOKUP($A153,'Выгр Кат'!$A:$P,P$1,0)</f>
        <v>8590</v>
      </c>
      <c r="Q153" s="73">
        <f t="shared" si="40"/>
        <v>-500</v>
      </c>
      <c r="R153" s="73">
        <f t="shared" si="41"/>
        <v>-700</v>
      </c>
      <c r="S153" s="97">
        <f t="shared" si="43"/>
        <v>9290</v>
      </c>
      <c r="T153" s="98">
        <f t="shared" si="44"/>
        <v>0.32714285714285718</v>
      </c>
      <c r="U153" s="98" t="str">
        <f t="shared" si="45"/>
        <v/>
      </c>
      <c r="V153" s="98" t="str">
        <f t="shared" si="46"/>
        <v/>
      </c>
      <c r="W153" s="103"/>
      <c r="X153" s="102">
        <f>IFERROR(ROUND((VLOOKUP($A153,'Из ГУГЛа'!$B:$Z,X$1,0)+Z153)*Y153,),VLOOKUP($A153,'Из ГУГЛа'!$B:$Z,X$1,0))</f>
        <v>5990</v>
      </c>
      <c r="Y153" s="75">
        <v>1</v>
      </c>
      <c r="Z153" s="75">
        <v>0</v>
      </c>
      <c r="AA153" s="85">
        <v>5990</v>
      </c>
      <c r="AB153" s="63" t="s">
        <v>1215</v>
      </c>
      <c r="AC153" s="48" t="s">
        <v>798</v>
      </c>
      <c r="AD153" s="102">
        <f>IFERROR(ROUND((VLOOKUP($A153,'Из ГУГЛа'!$B:$Z,AD$1,0)+AF153)*AE153,),VLOOKUP($A153,'Из ГУГЛа'!$B:$Z,AD$1,0))</f>
        <v>0</v>
      </c>
      <c r="AE153" s="100">
        <v>1</v>
      </c>
      <c r="AF153" s="100"/>
      <c r="AG153" s="103" t="s">
        <v>1017</v>
      </c>
      <c r="AH153" s="103"/>
      <c r="AI153" s="102">
        <f>IFERROR(ROUND((VLOOKUP($A153,'Из ГУГЛа'!$B:$Z,AI$1,0)+AK153)*AJ153,),VLOOKUP($A153,'Из ГУГЛа'!$B:$Z,AI$1,0))</f>
        <v>0</v>
      </c>
      <c r="AJ153" s="100">
        <v>1</v>
      </c>
      <c r="AK153" s="100"/>
      <c r="AL153" s="103"/>
      <c r="AM153" s="103"/>
      <c r="AN153" s="102">
        <f>IFERROR(ROUND((VLOOKUP($A153,'Из ГУГЛа'!$B:$Z,AN$1,0)+AP153)*AO153,),VLOOKUP($A153,'Из ГУГЛа'!$B:$Z,AN$1,0))</f>
        <v>0</v>
      </c>
      <c r="AO153" s="100">
        <v>1</v>
      </c>
      <c r="AP153" s="100"/>
      <c r="AQ153" s="103"/>
      <c r="AR153" s="103"/>
    </row>
    <row r="154" spans="1:44" ht="31.5" thickTop="1" thickBot="1" x14ac:dyDescent="0.3">
      <c r="A154" s="57">
        <v>144983</v>
      </c>
      <c r="B154" s="57">
        <f>VLOOKUP($A154,'Выгр Кат'!$A:$T,B$1,0)</f>
        <v>13339</v>
      </c>
      <c r="C154" s="58" t="str">
        <f>VLOOKUP($A154,'Выгр Кат'!$A:$T,C$1,0)</f>
        <v>Жгут проводов фар и генератора 1119-40 для Лада Калина хэтчбек</v>
      </c>
      <c r="D154" s="57" t="str">
        <f>VLOOKUP($A154,'Выгр Кат'!$A:$T,D$1,0)</f>
        <v>Y</v>
      </c>
      <c r="E154" s="57" t="str">
        <f>VLOOKUP($A154,'Выгр Кат'!$A:$T,E$1,0)</f>
        <v>1</v>
      </c>
      <c r="F154" s="57">
        <f>VLOOKUP($A154,'Выгр Кат'!$A:$T,F$1,0)</f>
        <v>0</v>
      </c>
      <c r="G154" s="57" t="str">
        <f>VLOOKUP($A154,'Выгр Кат'!$A:$T,G$1,0)</f>
        <v>1119372401040</v>
      </c>
      <c r="H154" s="57" t="str">
        <f>VLOOKUP($A154,'Выгр Кат'!$A:$T,H$1,0)</f>
        <v>1119-3724010</v>
      </c>
      <c r="I154" s="39"/>
      <c r="J154" s="1" t="s">
        <v>526</v>
      </c>
      <c r="K154" s="46">
        <f>O154</f>
        <v>10000</v>
      </c>
      <c r="L154" s="7">
        <f>VLOOKUP(K154,Наценка!$A$1:$B$8,2,1)</f>
        <v>1.3</v>
      </c>
      <c r="M154" s="44">
        <f t="shared" si="42"/>
        <v>13000</v>
      </c>
      <c r="N154" s="62">
        <f t="shared" si="39"/>
        <v>12990</v>
      </c>
      <c r="O154" s="60">
        <f>VLOOKUP($A154,'Выгр Кат'!$A:$P,O$1,0)</f>
        <v>10000</v>
      </c>
      <c r="P154" s="60">
        <f>VLOOKUP($A154,'Выгр Кат'!$A:$P,P$1,0)</f>
        <v>13690</v>
      </c>
      <c r="Q154" s="73">
        <f t="shared" si="40"/>
        <v>0</v>
      </c>
      <c r="R154" s="73">
        <f t="shared" si="41"/>
        <v>700</v>
      </c>
      <c r="S154" s="97">
        <f t="shared" si="43"/>
        <v>12990</v>
      </c>
      <c r="T154" s="98">
        <f t="shared" si="44"/>
        <v>0.29899999999999993</v>
      </c>
      <c r="U154" s="98" t="str">
        <f t="shared" si="45"/>
        <v/>
      </c>
      <c r="V154" s="98" t="str">
        <f t="shared" si="46"/>
        <v/>
      </c>
      <c r="W154" s="103"/>
      <c r="X154" s="102">
        <f>IFERROR(ROUND((VLOOKUP($A154,'Из ГУГЛа'!$B:$Z,X$1,0)+Z154)*Y154,),VLOOKUP($A154,'Из ГУГЛа'!$B:$Z,X$1,0))</f>
        <v>13790</v>
      </c>
      <c r="Y154" s="75">
        <v>1</v>
      </c>
      <c r="Z154" s="75">
        <v>0</v>
      </c>
      <c r="AA154" s="85">
        <v>13790</v>
      </c>
      <c r="AB154" s="63" t="s">
        <v>1215</v>
      </c>
      <c r="AC154" s="48" t="s">
        <v>888</v>
      </c>
      <c r="AD154" s="102">
        <f>IFERROR(ROUND((VLOOKUP($A154,'Из ГУГЛа'!$B:$Z,AD$1,0)+AF154)*AE154,),VLOOKUP($A154,'Из ГУГЛа'!$B:$Z,AD$1,0))</f>
        <v>0</v>
      </c>
      <c r="AE154" s="100">
        <v>1</v>
      </c>
      <c r="AF154" s="100"/>
      <c r="AG154" s="103" t="s">
        <v>2045</v>
      </c>
      <c r="AH154" s="103" t="s">
        <v>2044</v>
      </c>
      <c r="AI154" s="102">
        <f>IFERROR(ROUND((VLOOKUP($A154,'Из ГУГЛа'!$B:$Z,AI$1,0)+AK154)*AJ154,),VLOOKUP($A154,'Из ГУГЛа'!$B:$Z,AI$1,0))</f>
        <v>0</v>
      </c>
      <c r="AJ154" s="100">
        <v>1</v>
      </c>
      <c r="AK154" s="100"/>
      <c r="AL154" s="103"/>
      <c r="AM154" s="103"/>
      <c r="AN154" s="102">
        <f>IFERROR(ROUND((VLOOKUP($A154,'Из ГУГЛа'!$B:$Z,AN$1,0)+AP154)*AO154,),VLOOKUP($A154,'Из ГУГЛа'!$B:$Z,AN$1,0))</f>
        <v>0</v>
      </c>
      <c r="AO154" s="100">
        <v>1</v>
      </c>
      <c r="AP154" s="100"/>
      <c r="AQ154" s="103"/>
      <c r="AR154" s="103"/>
    </row>
    <row r="155" spans="1:44" ht="40.5" thickTop="1" thickBot="1" x14ac:dyDescent="0.3">
      <c r="A155" s="57">
        <v>144982</v>
      </c>
      <c r="B155" s="57">
        <f>VLOOKUP($A155,'Выгр Кат'!$A:$T,B$1,0)</f>
        <v>13333</v>
      </c>
      <c r="C155" s="58" t="str">
        <f>VLOOKUP($A155,'Выгр Кат'!$A:$T,C$1,0)</f>
        <v>Жгут проводов фар и генератора 1119 для Лада Калина хэтчбек</v>
      </c>
      <c r="D155" s="57" t="str">
        <f>VLOOKUP($A155,'Выгр Кат'!$A:$T,D$1,0)</f>
        <v>Y</v>
      </c>
      <c r="E155" s="57" t="str">
        <f>VLOOKUP($A155,'Выгр Кат'!$A:$T,E$1,0)</f>
        <v>1</v>
      </c>
      <c r="F155" s="57">
        <f>VLOOKUP($A155,'Выгр Кат'!$A:$T,F$1,0)</f>
        <v>0</v>
      </c>
      <c r="G155" s="57" t="str">
        <f>VLOOKUP($A155,'Выгр Кат'!$A:$T,G$1,0)</f>
        <v>11193724010</v>
      </c>
      <c r="H155" s="57" t="str">
        <f>VLOOKUP($A155,'Выгр Кат'!$A:$T,H$1,0)</f>
        <v>1119-3724010</v>
      </c>
      <c r="I155" s="39" t="s">
        <v>654</v>
      </c>
      <c r="J155" s="1" t="s">
        <v>526</v>
      </c>
      <c r="K155" s="47">
        <f>VLOOKUP(I155,Прайс!A:E,5,0)</f>
        <v>7000</v>
      </c>
      <c r="L155" s="7">
        <f>VLOOKUP(K155,Наценка!$A$1:$B$8,2,1)</f>
        <v>1.32</v>
      </c>
      <c r="M155" s="44">
        <f t="shared" si="42"/>
        <v>9240</v>
      </c>
      <c r="N155" s="62">
        <f t="shared" si="39"/>
        <v>9290</v>
      </c>
      <c r="O155" s="60">
        <f>VLOOKUP($A155,'Выгр Кат'!$A:$P,O$1,0)</f>
        <v>6500</v>
      </c>
      <c r="P155" s="60">
        <f>VLOOKUP($A155,'Выгр Кат'!$A:$P,P$1,0)</f>
        <v>8790</v>
      </c>
      <c r="Q155" s="73">
        <f t="shared" si="40"/>
        <v>-500</v>
      </c>
      <c r="R155" s="73">
        <f t="shared" si="41"/>
        <v>-500</v>
      </c>
      <c r="S155" s="97">
        <f t="shared" si="43"/>
        <v>9290</v>
      </c>
      <c r="T155" s="98">
        <f t="shared" si="44"/>
        <v>0.32714285714285718</v>
      </c>
      <c r="U155" s="98">
        <f t="shared" si="45"/>
        <v>-0.20274469186949767</v>
      </c>
      <c r="V155" s="98">
        <f t="shared" si="46"/>
        <v>0.10342857142857143</v>
      </c>
      <c r="W155" s="106">
        <f t="shared" ref="W155:W156" si="48">MIN(AA155,AG155,AL155,AQ155)</f>
        <v>7724</v>
      </c>
      <c r="X155" s="102">
        <f>IFERROR(ROUND((VLOOKUP($A155,'Из ГУГЛа'!$B:$Z,X$1,0)+Z155)*Y155,),VLOOKUP($A155,'Из ГУГЛа'!$B:$Z,X$1,0))</f>
        <v>8890</v>
      </c>
      <c r="Y155" s="75">
        <v>1</v>
      </c>
      <c r="Z155" s="75">
        <v>0</v>
      </c>
      <c r="AA155" s="85">
        <v>8890</v>
      </c>
      <c r="AB155" s="63" t="s">
        <v>1215</v>
      </c>
      <c r="AC155" s="48" t="s">
        <v>889</v>
      </c>
      <c r="AD155" s="102">
        <f>IFERROR(ROUND((VLOOKUP($A155,'Из ГУГЛа'!$B:$Z,AD$1,0)+AF155)*AE155,),VLOOKUP($A155,'Из ГУГЛа'!$B:$Z,AD$1,0))</f>
        <v>0</v>
      </c>
      <c r="AE155" s="100">
        <v>1</v>
      </c>
      <c r="AF155" s="100"/>
      <c r="AG155" s="103">
        <v>7724</v>
      </c>
      <c r="AH155" s="103" t="s">
        <v>2046</v>
      </c>
      <c r="AI155" s="102">
        <f>IFERROR(ROUND((VLOOKUP($A155,'Из ГУГЛа'!$B:$Z,AI$1,0)+AK155)*AJ155,),VLOOKUP($A155,'Из ГУГЛа'!$B:$Z,AI$1,0))</f>
        <v>0</v>
      </c>
      <c r="AJ155" s="100">
        <v>1</v>
      </c>
      <c r="AK155" s="100"/>
      <c r="AL155" s="103"/>
      <c r="AM155" s="103"/>
      <c r="AN155" s="102">
        <f>IFERROR(ROUND((VLOOKUP($A155,'Из ГУГЛа'!$B:$Z,AN$1,0)+AP155)*AO155,),VLOOKUP($A155,'Из ГУГЛа'!$B:$Z,AN$1,0))</f>
        <v>0</v>
      </c>
      <c r="AO155" s="100">
        <v>1</v>
      </c>
      <c r="AP155" s="100"/>
      <c r="AQ155" s="103"/>
      <c r="AR155" s="103"/>
    </row>
    <row r="156" spans="1:44" ht="61.5" thickTop="1" thickBot="1" x14ac:dyDescent="0.3">
      <c r="A156" s="57">
        <v>144873</v>
      </c>
      <c r="B156" s="57">
        <f>VLOOKUP($A156,'Выгр Кат'!$A:$T,B$1,0)</f>
        <v>3990</v>
      </c>
      <c r="C156" s="58" t="str">
        <f>VLOOKUP($A156,'Выгр Кат'!$A:$T,C$1,0)</f>
        <v>Жгут проводов контроллера для ВАЗ 2110, 2111 инжекторный 8-ми клапанный двигатель 1.5 л, контроллер Bosch 2111-80, Элкар 2111-81, Итэлма 2111-82</v>
      </c>
      <c r="D156" s="57" t="str">
        <f>VLOOKUP($A156,'Выгр Кат'!$A:$T,D$1,0)</f>
        <v>Y</v>
      </c>
      <c r="E156" s="57" t="str">
        <f>VLOOKUP($A156,'Выгр Кат'!$A:$T,E$1,0)</f>
        <v>1</v>
      </c>
      <c r="F156" s="57">
        <f>VLOOKUP($A156,'Выгр Кат'!$A:$T,F$1,0)</f>
        <v>0</v>
      </c>
      <c r="G156" s="57" t="str">
        <f>VLOOKUP($A156,'Выгр Кат'!$A:$T,G$1,0)</f>
        <v>21102372402605</v>
      </c>
      <c r="H156" s="57" t="str">
        <f>VLOOKUP($A156,'Выгр Кат'!$A:$T,H$1,0)</f>
        <v>21102-3724026</v>
      </c>
      <c r="I156" s="39" t="s">
        <v>618</v>
      </c>
      <c r="J156" s="1" t="s">
        <v>526</v>
      </c>
      <c r="K156" s="47">
        <f>VLOOKUP(I156,Прайс!A:E,5,0)</f>
        <v>9000</v>
      </c>
      <c r="L156" s="7">
        <f>VLOOKUP(K156,Наценка!$A$1:$B$8,2,1)</f>
        <v>1.32</v>
      </c>
      <c r="M156" s="44">
        <f t="shared" si="42"/>
        <v>11880</v>
      </c>
      <c r="N156" s="62">
        <f t="shared" si="39"/>
        <v>11890</v>
      </c>
      <c r="O156" s="60">
        <f>VLOOKUP($A156,'Выгр Кат'!$A:$P,O$1,0)</f>
        <v>8000</v>
      </c>
      <c r="P156" s="60">
        <f>VLOOKUP($A156,'Выгр Кат'!$A:$P,P$1,0)</f>
        <v>10890</v>
      </c>
      <c r="Q156" s="73">
        <f t="shared" si="40"/>
        <v>-1000</v>
      </c>
      <c r="R156" s="73">
        <f t="shared" si="41"/>
        <v>-1000</v>
      </c>
      <c r="S156" s="97">
        <f t="shared" si="43"/>
        <v>11890</v>
      </c>
      <c r="T156" s="98">
        <f t="shared" si="44"/>
        <v>0.32111111111111112</v>
      </c>
      <c r="U156" s="98">
        <f t="shared" si="45"/>
        <v>-0.70931569867740085</v>
      </c>
      <c r="V156" s="98">
        <f t="shared" si="46"/>
        <v>-0.22711111111111115</v>
      </c>
      <c r="W156" s="106">
        <f t="shared" si="48"/>
        <v>6956</v>
      </c>
      <c r="X156" s="102">
        <f>IFERROR(ROUND((VLOOKUP($A156,'Из ГУГЛа'!$B:$Z,X$1,0)+Z156)*Y156,),VLOOKUP($A156,'Из ГУГЛа'!$B:$Z,X$1,0))</f>
        <v>10990</v>
      </c>
      <c r="Y156" s="75">
        <v>1</v>
      </c>
      <c r="Z156" s="75">
        <v>0</v>
      </c>
      <c r="AA156" s="63">
        <v>10990</v>
      </c>
      <c r="AB156" s="63" t="s">
        <v>1215</v>
      </c>
      <c r="AC156" s="48" t="s">
        <v>1092</v>
      </c>
      <c r="AD156" s="102">
        <f>IFERROR(ROUND((VLOOKUP($A156,'Из ГУГЛа'!$B:$Z,AD$1,0)+AF156)*AE156,),VLOOKUP($A156,'Из ГУГЛа'!$B:$Z,AD$1,0))</f>
        <v>0</v>
      </c>
      <c r="AE156" s="100">
        <v>1</v>
      </c>
      <c r="AF156" s="100"/>
      <c r="AG156" s="103">
        <v>6956</v>
      </c>
      <c r="AH156" s="103" t="s">
        <v>2047</v>
      </c>
      <c r="AI156" s="102">
        <f>IFERROR(ROUND((VLOOKUP($A156,'Из ГУГЛа'!$B:$Z,AI$1,0)+AK156)*AJ156,),VLOOKUP($A156,'Из ГУГЛа'!$B:$Z,AI$1,0))</f>
        <v>0</v>
      </c>
      <c r="AJ156" s="100">
        <v>1</v>
      </c>
      <c r="AK156" s="100"/>
      <c r="AL156" s="103"/>
      <c r="AM156" s="103"/>
      <c r="AN156" s="102">
        <f>IFERROR(ROUND((VLOOKUP($A156,'Из ГУГЛа'!$B:$Z,AN$1,0)+AP156)*AO156,),VLOOKUP($A156,'Из ГУГЛа'!$B:$Z,AN$1,0))</f>
        <v>0</v>
      </c>
      <c r="AO156" s="100">
        <v>1</v>
      </c>
      <c r="AP156" s="100"/>
      <c r="AQ156" s="103"/>
      <c r="AR156" s="103"/>
    </row>
    <row r="157" spans="1:44" ht="61.5" thickTop="1" thickBot="1" x14ac:dyDescent="0.3">
      <c r="A157" s="57">
        <v>144875</v>
      </c>
      <c r="B157" s="57">
        <f>VLOOKUP($A157,'Выгр Кат'!$A:$T,B$1,0)</f>
        <v>3992</v>
      </c>
      <c r="C157" s="58" t="str">
        <f>VLOOKUP($A157,'Выгр Кат'!$A:$T,C$1,0)</f>
        <v>Жгут проводов контроллера для ВАЗ 2110, 2111 инжекторный 8-ми клапанный двигатель 1.6 л, контроллер Bosch 21114-10, Элкар 21114-11, Итэлма 21114-12</v>
      </c>
      <c r="D157" s="57" t="str">
        <f>VLOOKUP($A157,'Выгр Кат'!$A:$T,D$1,0)</f>
        <v>Y</v>
      </c>
      <c r="E157" s="57" t="str">
        <f>VLOOKUP($A157,'Выгр Кат'!$A:$T,E$1,0)</f>
        <v>1</v>
      </c>
      <c r="F157" s="57">
        <f>VLOOKUP($A157,'Выгр Кат'!$A:$T,F$1,0)</f>
        <v>0</v>
      </c>
      <c r="G157" s="57" t="str">
        <f>VLOOKUP($A157,'Выгр Кат'!$A:$T,G$1,0)</f>
        <v>21102372402670</v>
      </c>
      <c r="H157" s="57" t="str">
        <f>VLOOKUP($A157,'Выгр Кат'!$A:$T,H$1,0)</f>
        <v>21102-3724026</v>
      </c>
      <c r="I157" s="64" t="s">
        <v>94</v>
      </c>
      <c r="J157" s="1" t="s">
        <v>526</v>
      </c>
      <c r="K157" s="46">
        <f>O157</f>
        <v>9000</v>
      </c>
      <c r="L157" s="7">
        <f>VLOOKUP(K157,Наценка!$A$1:$B$8,2,1)</f>
        <v>1.32</v>
      </c>
      <c r="M157" s="44">
        <f t="shared" si="42"/>
        <v>11880</v>
      </c>
      <c r="N157" s="62">
        <f t="shared" si="39"/>
        <v>11890</v>
      </c>
      <c r="O157" s="60">
        <f>VLOOKUP($A157,'Выгр Кат'!$A:$P,O$1,0)</f>
        <v>9000</v>
      </c>
      <c r="P157" s="60">
        <f>VLOOKUP($A157,'Выгр Кат'!$A:$P,P$1,0)</f>
        <v>10890</v>
      </c>
      <c r="Q157" s="73">
        <f t="shared" si="40"/>
        <v>0</v>
      </c>
      <c r="R157" s="73">
        <f t="shared" si="41"/>
        <v>-1000</v>
      </c>
      <c r="S157" s="97">
        <f t="shared" si="43"/>
        <v>11890</v>
      </c>
      <c r="T157" s="98">
        <f t="shared" si="44"/>
        <v>0.32111111111111112</v>
      </c>
      <c r="U157" s="98" t="str">
        <f t="shared" si="45"/>
        <v/>
      </c>
      <c r="V157" s="98" t="str">
        <f t="shared" si="46"/>
        <v/>
      </c>
      <c r="W157" s="103"/>
      <c r="X157" s="102">
        <f>IFERROR(ROUND((VLOOKUP($A157,'Из ГУГЛа'!$B:$Z,X$1,0)+Z157)*Y157,),VLOOKUP($A157,'Из ГУГЛа'!$B:$Z,X$1,0))</f>
        <v>10990</v>
      </c>
      <c r="Y157" s="75">
        <v>1</v>
      </c>
      <c r="Z157" s="75">
        <v>0</v>
      </c>
      <c r="AA157" s="63">
        <v>10990</v>
      </c>
      <c r="AB157" s="63" t="s">
        <v>1215</v>
      </c>
      <c r="AC157" s="48" t="s">
        <v>1093</v>
      </c>
      <c r="AD157" s="102">
        <f>IFERROR(ROUND((VLOOKUP($A157,'Из ГУГЛа'!$B:$Z,AD$1,0)+AF157)*AE157,),VLOOKUP($A157,'Из ГУГЛа'!$B:$Z,AD$1,0))</f>
        <v>0</v>
      </c>
      <c r="AE157" s="100">
        <v>1</v>
      </c>
      <c r="AF157" s="100"/>
      <c r="AG157" s="103" t="s">
        <v>1017</v>
      </c>
      <c r="AH157" s="103"/>
      <c r="AI157" s="102">
        <f>IFERROR(ROUND((VLOOKUP($A157,'Из ГУГЛа'!$B:$Z,AI$1,0)+AK157)*AJ157,),VLOOKUP($A157,'Из ГУГЛа'!$B:$Z,AI$1,0))</f>
        <v>0</v>
      </c>
      <c r="AJ157" s="100">
        <v>1</v>
      </c>
      <c r="AK157" s="100"/>
      <c r="AL157" s="103"/>
      <c r="AM157" s="103"/>
      <c r="AN157" s="102">
        <f>IFERROR(ROUND((VLOOKUP($A157,'Из ГУГЛа'!$B:$Z,AN$1,0)+AP157)*AO157,),VLOOKUP($A157,'Из ГУГЛа'!$B:$Z,AN$1,0))</f>
        <v>0</v>
      </c>
      <c r="AO157" s="100">
        <v>1</v>
      </c>
      <c r="AP157" s="100"/>
      <c r="AQ157" s="103"/>
      <c r="AR157" s="103"/>
    </row>
    <row r="158" spans="1:44" ht="46.5" thickTop="1" thickBot="1" x14ac:dyDescent="0.3">
      <c r="A158" s="57">
        <v>144876</v>
      </c>
      <c r="B158" s="57">
        <f>VLOOKUP($A158,'Выгр Кат'!$A:$T,B$1,0)</f>
        <v>3993</v>
      </c>
      <c r="C158" s="58" t="str">
        <f>VLOOKUP($A158,'Выгр Кат'!$A:$T,C$1,0)</f>
        <v>Жгут проводов контроллера для ВАЗ 2110-2112 инжекторный 16-ти клапанный двигатель 1.5 л, контроллер Январь 5.1 2112-41</v>
      </c>
      <c r="D158" s="57" t="str">
        <f>VLOOKUP($A158,'Выгр Кат'!$A:$T,D$1,0)</f>
        <v>Y</v>
      </c>
      <c r="E158" s="57" t="str">
        <f>VLOOKUP($A158,'Выгр Кат'!$A:$T,E$1,0)</f>
        <v>1</v>
      </c>
      <c r="F158" s="57">
        <f>VLOOKUP($A158,'Выгр Кат'!$A:$T,F$1,0)</f>
        <v>0</v>
      </c>
      <c r="G158" s="57" t="str">
        <f>VLOOKUP($A158,'Выгр Кат'!$A:$T,G$1,0)</f>
        <v>21103372402611</v>
      </c>
      <c r="H158" s="57" t="str">
        <f>VLOOKUP($A158,'Выгр Кат'!$A:$T,H$1,0)</f>
        <v>21103-3724026</v>
      </c>
      <c r="I158" s="39" t="s">
        <v>620</v>
      </c>
      <c r="J158" s="1" t="s">
        <v>526</v>
      </c>
      <c r="K158" s="47">
        <f>VLOOKUP(I158,Прайс!A:E,5,0)</f>
        <v>9000</v>
      </c>
      <c r="L158" s="7">
        <f>VLOOKUP(K158,Наценка!$A$1:$B$8,2,1)</f>
        <v>1.32</v>
      </c>
      <c r="M158" s="44">
        <f t="shared" si="42"/>
        <v>11880</v>
      </c>
      <c r="N158" s="62">
        <f t="shared" si="39"/>
        <v>11890</v>
      </c>
      <c r="O158" s="60">
        <f>VLOOKUP($A158,'Выгр Кат'!$A:$P,O$1,0)</f>
        <v>9000</v>
      </c>
      <c r="P158" s="60">
        <f>VLOOKUP($A158,'Выгр Кат'!$A:$P,P$1,0)</f>
        <v>11590</v>
      </c>
      <c r="Q158" s="73">
        <f t="shared" si="40"/>
        <v>0</v>
      </c>
      <c r="R158" s="73">
        <f t="shared" si="41"/>
        <v>-300</v>
      </c>
      <c r="S158" s="97">
        <f t="shared" si="43"/>
        <v>11890</v>
      </c>
      <c r="T158" s="98">
        <f t="shared" si="44"/>
        <v>0.32111111111111112</v>
      </c>
      <c r="U158" s="98">
        <f t="shared" si="45"/>
        <v>-0.12819053041085493</v>
      </c>
      <c r="V158" s="98">
        <f t="shared" si="46"/>
        <v>0.17100000000000004</v>
      </c>
      <c r="W158" s="106">
        <f t="shared" ref="W158:W161" si="49">MIN(AA158,AG158,AL158,AQ158)</f>
        <v>10539</v>
      </c>
      <c r="X158" s="102">
        <f>IFERROR(ROUND((VLOOKUP($A158,'Из ГУГЛа'!$B:$Z,X$1,0)+Z158)*Y158,),VLOOKUP($A158,'Из ГУГЛа'!$B:$Z,X$1,0))</f>
        <v>11690</v>
      </c>
      <c r="Y158" s="75">
        <v>1</v>
      </c>
      <c r="Z158" s="75">
        <v>0</v>
      </c>
      <c r="AA158" s="63">
        <v>11690</v>
      </c>
      <c r="AB158" s="63" t="s">
        <v>1215</v>
      </c>
      <c r="AC158" s="48" t="s">
        <v>799</v>
      </c>
      <c r="AD158" s="102">
        <f>IFERROR(ROUND((VLOOKUP($A158,'Из ГУГЛа'!$B:$Z,AD$1,0)+AF158)*AE158,),VLOOKUP($A158,'Из ГУГЛа'!$B:$Z,AD$1,0))</f>
        <v>0</v>
      </c>
      <c r="AE158" s="100">
        <v>1</v>
      </c>
      <c r="AF158" s="100"/>
      <c r="AG158" s="103">
        <v>10539</v>
      </c>
      <c r="AH158" s="103" t="s">
        <v>2048</v>
      </c>
      <c r="AI158" s="102">
        <f>IFERROR(ROUND((VLOOKUP($A158,'Из ГУГЛа'!$B:$Z,AI$1,0)+AK158)*AJ158,),VLOOKUP($A158,'Из ГУГЛа'!$B:$Z,AI$1,0))</f>
        <v>0</v>
      </c>
      <c r="AJ158" s="100">
        <v>1</v>
      </c>
      <c r="AK158" s="100"/>
      <c r="AL158" s="103"/>
      <c r="AM158" s="103"/>
      <c r="AN158" s="102">
        <f>IFERROR(ROUND((VLOOKUP($A158,'Из ГУГЛа'!$B:$Z,AN$1,0)+AP158)*AO158,),VLOOKUP($A158,'Из ГУГЛа'!$B:$Z,AN$1,0))</f>
        <v>0</v>
      </c>
      <c r="AO158" s="100">
        <v>1</v>
      </c>
      <c r="AP158" s="100"/>
      <c r="AQ158" s="103"/>
      <c r="AR158" s="103"/>
    </row>
    <row r="159" spans="1:44" ht="40.5" thickTop="1" thickBot="1" x14ac:dyDescent="0.3">
      <c r="A159" s="57">
        <v>144808</v>
      </c>
      <c r="B159" s="57">
        <f>VLOOKUP($A159,'Выгр Кат'!$A:$T,B$1,0)</f>
        <v>13287</v>
      </c>
      <c r="C159" s="58" t="str">
        <f>VLOOKUP($A159,'Выгр Кат'!$A:$T,C$1,0)</f>
        <v>Жгут панели приборов для ВАЗ 2110-2112 1.5 л, с европанелью</v>
      </c>
      <c r="D159" s="57" t="str">
        <f>VLOOKUP($A159,'Выгр Кат'!$A:$T,D$1,0)</f>
        <v>Y</v>
      </c>
      <c r="E159" s="57" t="str">
        <f>VLOOKUP($A159,'Выгр Кат'!$A:$T,E$1,0)</f>
        <v>1</v>
      </c>
      <c r="F159" s="57">
        <f>VLOOKUP($A159,'Выгр Кат'!$A:$T,F$1,0)</f>
        <v>0</v>
      </c>
      <c r="G159" s="57" t="str">
        <f>VLOOKUP($A159,'Выгр Кат'!$A:$T,G$1,0)</f>
        <v>21123724030</v>
      </c>
      <c r="H159" s="57" t="str">
        <f>VLOOKUP($A159,'Выгр Кат'!$A:$T,H$1,0)</f>
        <v>2112-3724030</v>
      </c>
      <c r="I159" s="39" t="s">
        <v>602</v>
      </c>
      <c r="J159" s="1" t="s">
        <v>526</v>
      </c>
      <c r="K159" s="47">
        <f>VLOOKUP(I159,Прайс!A:E,5,0)</f>
        <v>7500</v>
      </c>
      <c r="L159" s="7">
        <f>VLOOKUP(K159,Наценка!$A$1:$B$8,2,1)</f>
        <v>1.32</v>
      </c>
      <c r="M159" s="44">
        <f t="shared" si="42"/>
        <v>9900</v>
      </c>
      <c r="N159" s="62">
        <f t="shared" si="39"/>
        <v>9890</v>
      </c>
      <c r="O159" s="60">
        <f>VLOOKUP($A159,'Выгр Кат'!$A:$P,O$1,0)</f>
        <v>7500</v>
      </c>
      <c r="P159" s="60">
        <f>VLOOKUP($A159,'Выгр Кат'!$A:$P,P$1,0)</f>
        <v>10190</v>
      </c>
      <c r="Q159" s="73">
        <f t="shared" si="40"/>
        <v>0</v>
      </c>
      <c r="R159" s="73">
        <f t="shared" si="41"/>
        <v>300</v>
      </c>
      <c r="S159" s="97">
        <f t="shared" si="43"/>
        <v>9890</v>
      </c>
      <c r="T159" s="98">
        <f t="shared" si="44"/>
        <v>0.31866666666666665</v>
      </c>
      <c r="U159" s="98">
        <f t="shared" si="45"/>
        <v>2.7436326089094305E-2</v>
      </c>
      <c r="V159" s="98">
        <f t="shared" si="46"/>
        <v>0.35586666666666678</v>
      </c>
      <c r="W159" s="106">
        <f t="shared" si="49"/>
        <v>10169</v>
      </c>
      <c r="X159" s="102">
        <f>IFERROR(ROUND((VLOOKUP($A159,'Из ГУГЛа'!$B:$Z,X$1,0)+Z159)*Y159,),VLOOKUP($A159,'Из ГУГЛа'!$B:$Z,X$1,0))</f>
        <v>10290</v>
      </c>
      <c r="Y159" s="75">
        <v>1</v>
      </c>
      <c r="Z159" s="75">
        <v>0</v>
      </c>
      <c r="AA159" s="85">
        <v>10290</v>
      </c>
      <c r="AB159" s="63" t="s">
        <v>1215</v>
      </c>
      <c r="AC159" s="48" t="s">
        <v>887</v>
      </c>
      <c r="AD159" s="102">
        <f>IFERROR(ROUND((VLOOKUP($A159,'Из ГУГЛа'!$B:$Z,AD$1,0)+AF159)*AE159,),VLOOKUP($A159,'Из ГУГЛа'!$B:$Z,AD$1,0))</f>
        <v>0</v>
      </c>
      <c r="AE159" s="100">
        <v>1</v>
      </c>
      <c r="AF159" s="100"/>
      <c r="AG159" s="103">
        <v>10169</v>
      </c>
      <c r="AH159" s="103" t="s">
        <v>2049</v>
      </c>
      <c r="AI159" s="102">
        <f>IFERROR(ROUND((VLOOKUP($A159,'Из ГУГЛа'!$B:$Z,AI$1,0)+AK159)*AJ159,),VLOOKUP($A159,'Из ГУГЛа'!$B:$Z,AI$1,0))</f>
        <v>0</v>
      </c>
      <c r="AJ159" s="100">
        <v>1</v>
      </c>
      <c r="AK159" s="100"/>
      <c r="AL159" s="103"/>
      <c r="AM159" s="103"/>
      <c r="AN159" s="102">
        <f>IFERROR(ROUND((VLOOKUP($A159,'Из ГУГЛа'!$B:$Z,AN$1,0)+AP159)*AO159,),VLOOKUP($A159,'Из ГУГЛа'!$B:$Z,AN$1,0))</f>
        <v>0</v>
      </c>
      <c r="AO159" s="100">
        <v>1</v>
      </c>
      <c r="AP159" s="100"/>
      <c r="AQ159" s="103"/>
      <c r="AR159" s="103"/>
    </row>
    <row r="160" spans="1:44" ht="40.5" thickTop="1" thickBot="1" x14ac:dyDescent="0.3">
      <c r="A160" s="57">
        <v>144809</v>
      </c>
      <c r="B160" s="57">
        <f>VLOOKUP($A160,'Выгр Кат'!$A:$T,B$1,0)</f>
        <v>13305</v>
      </c>
      <c r="C160" s="58" t="str">
        <f>VLOOKUP($A160,'Выгр Кат'!$A:$T,C$1,0)</f>
        <v>Жгут панели приборов для ВАЗ 2110-2112 1.6 л, с европанелью</v>
      </c>
      <c r="D160" s="57" t="str">
        <f>VLOOKUP($A160,'Выгр Кат'!$A:$T,D$1,0)</f>
        <v>Y</v>
      </c>
      <c r="E160" s="57" t="str">
        <f>VLOOKUP($A160,'Выгр Кат'!$A:$T,E$1,0)</f>
        <v>1</v>
      </c>
      <c r="F160" s="57">
        <f>VLOOKUP($A160,'Выгр Кат'!$A:$T,F$1,0)</f>
        <v>0</v>
      </c>
      <c r="G160" s="57" t="str">
        <f>VLOOKUP($A160,'Выгр Кат'!$A:$T,G$1,0)</f>
        <v>2112372403020</v>
      </c>
      <c r="H160" s="57" t="str">
        <f>VLOOKUP($A160,'Выгр Кат'!$A:$T,H$1,0)</f>
        <v>2112-3724030</v>
      </c>
      <c r="I160" s="39" t="s">
        <v>603</v>
      </c>
      <c r="J160" s="1" t="s">
        <v>526</v>
      </c>
      <c r="K160" s="47">
        <f>VLOOKUP(I160,Прайс!A:E,5,0)</f>
        <v>7500</v>
      </c>
      <c r="L160" s="7">
        <f>VLOOKUP(K160,Наценка!$A$1:$B$8,2,1)</f>
        <v>1.32</v>
      </c>
      <c r="M160" s="44">
        <f t="shared" si="42"/>
        <v>9900</v>
      </c>
      <c r="N160" s="62">
        <f t="shared" si="39"/>
        <v>9890</v>
      </c>
      <c r="O160" s="60">
        <f>VLOOKUP($A160,'Выгр Кат'!$A:$P,O$1,0)</f>
        <v>7500</v>
      </c>
      <c r="P160" s="60">
        <f>VLOOKUP($A160,'Выгр Кат'!$A:$P,P$1,0)</f>
        <v>10190</v>
      </c>
      <c r="Q160" s="73">
        <f t="shared" si="40"/>
        <v>0</v>
      </c>
      <c r="R160" s="73">
        <f t="shared" si="41"/>
        <v>300</v>
      </c>
      <c r="S160" s="97">
        <f t="shared" si="43"/>
        <v>9890</v>
      </c>
      <c r="T160" s="98">
        <f t="shared" si="44"/>
        <v>0.31866666666666665</v>
      </c>
      <c r="U160" s="98">
        <f t="shared" si="45"/>
        <v>2.0501138952164009E-2</v>
      </c>
      <c r="V160" s="98">
        <f t="shared" si="46"/>
        <v>0.34626666666666672</v>
      </c>
      <c r="W160" s="106">
        <f t="shared" si="49"/>
        <v>10097</v>
      </c>
      <c r="X160" s="102">
        <f>IFERROR(ROUND((VLOOKUP($A160,'Из ГУГЛа'!$B:$Z,X$1,0)+Z160)*Y160,),VLOOKUP($A160,'Из ГУГЛа'!$B:$Z,X$1,0))</f>
        <v>10290</v>
      </c>
      <c r="Y160" s="75">
        <v>1</v>
      </c>
      <c r="Z160" s="75">
        <v>0</v>
      </c>
      <c r="AA160" s="85">
        <v>10290</v>
      </c>
      <c r="AB160" s="63" t="s">
        <v>1215</v>
      </c>
      <c r="AC160" s="48" t="s">
        <v>800</v>
      </c>
      <c r="AD160" s="102">
        <f>IFERROR(ROUND((VLOOKUP($A160,'Из ГУГЛа'!$B:$Z,AD$1,0)+AF160)*AE160,),VLOOKUP($A160,'Из ГУГЛа'!$B:$Z,AD$1,0))</f>
        <v>0</v>
      </c>
      <c r="AE160" s="100">
        <v>1</v>
      </c>
      <c r="AF160" s="100"/>
      <c r="AG160" s="103">
        <v>10097</v>
      </c>
      <c r="AH160" s="103" t="s">
        <v>2050</v>
      </c>
      <c r="AI160" s="102">
        <f>IFERROR(ROUND((VLOOKUP($A160,'Из ГУГЛа'!$B:$Z,AI$1,0)+AK160)*AJ160,),VLOOKUP($A160,'Из ГУГЛа'!$B:$Z,AI$1,0))</f>
        <v>0</v>
      </c>
      <c r="AJ160" s="100">
        <v>1</v>
      </c>
      <c r="AK160" s="100"/>
      <c r="AL160" s="103"/>
      <c r="AM160" s="103"/>
      <c r="AN160" s="102">
        <f>IFERROR(ROUND((VLOOKUP($A160,'Из ГУГЛа'!$B:$Z,AN$1,0)+AP160)*AO160,),VLOOKUP($A160,'Из ГУГЛа'!$B:$Z,AN$1,0))</f>
        <v>0</v>
      </c>
      <c r="AO160" s="100">
        <v>1</v>
      </c>
      <c r="AP160" s="100"/>
      <c r="AQ160" s="103"/>
      <c r="AR160" s="103"/>
    </row>
    <row r="161" spans="1:44" ht="53.25" thickTop="1" thickBot="1" x14ac:dyDescent="0.3">
      <c r="A161" s="57">
        <v>144986</v>
      </c>
      <c r="B161" s="57">
        <f>VLOOKUP($A161,'Выгр Кат'!$A:$T,B$1,0)</f>
        <v>13424</v>
      </c>
      <c r="C161" s="58" t="str">
        <f>VLOOKUP($A161,'Выгр Кат'!$A:$T,C$1,0)</f>
        <v>Жгут проводов фар и генератора для Лада Нива 4х4 инжекторный двигатель</v>
      </c>
      <c r="D161" s="57" t="str">
        <f>VLOOKUP($A161,'Выгр Кат'!$A:$T,D$1,0)</f>
        <v>Y</v>
      </c>
      <c r="E161" s="57" t="str">
        <f>VLOOKUP($A161,'Выгр Кат'!$A:$T,E$1,0)</f>
        <v>1</v>
      </c>
      <c r="F161" s="57">
        <f>VLOOKUP($A161,'Выгр Кат'!$A:$T,F$1,0)</f>
        <v>0</v>
      </c>
      <c r="G161" s="57" t="str">
        <f>VLOOKUP($A161,'Выгр Кат'!$A:$T,G$1,0)</f>
        <v>21214372401090</v>
      </c>
      <c r="H161" s="57" t="str">
        <f>VLOOKUP($A161,'Выгр Кат'!$A:$T,H$1,0)</f>
        <v>21214-3724010</v>
      </c>
      <c r="I161" s="39" t="s">
        <v>665</v>
      </c>
      <c r="J161" s="1" t="s">
        <v>526</v>
      </c>
      <c r="K161" s="47">
        <f>VLOOKUP(I161,Прайс!A:E,5,0)</f>
        <v>6000</v>
      </c>
      <c r="L161" s="7">
        <f>VLOOKUP(K161,Наценка!$A$1:$B$8,2,1)</f>
        <v>1.32</v>
      </c>
      <c r="M161" s="44">
        <f t="shared" si="42"/>
        <v>7920</v>
      </c>
      <c r="N161" s="62">
        <f t="shared" si="39"/>
        <v>7990</v>
      </c>
      <c r="O161" s="60">
        <f>VLOOKUP($A161,'Выгр Кат'!$A:$P,O$1,0)</f>
        <v>6000</v>
      </c>
      <c r="P161" s="60">
        <f>VLOOKUP($A161,'Выгр Кат'!$A:$P,P$1,0)</f>
        <v>8490</v>
      </c>
      <c r="Q161" s="73">
        <f t="shared" si="40"/>
        <v>0</v>
      </c>
      <c r="R161" s="73">
        <f t="shared" si="41"/>
        <v>500</v>
      </c>
      <c r="S161" s="97">
        <f t="shared" si="43"/>
        <v>7990</v>
      </c>
      <c r="T161" s="98">
        <f t="shared" si="44"/>
        <v>0.33166666666666678</v>
      </c>
      <c r="U161" s="98">
        <f t="shared" si="45"/>
        <v>3.6653002170243552E-2</v>
      </c>
      <c r="V161" s="98">
        <f t="shared" si="46"/>
        <v>0.38233333333333341</v>
      </c>
      <c r="W161" s="106">
        <f t="shared" si="49"/>
        <v>8294</v>
      </c>
      <c r="X161" s="102">
        <f>IFERROR(ROUND((VLOOKUP($A161,'Из ГУГЛа'!$B:$Z,X$1,0)+Z161)*Y161,),VLOOKUP($A161,'Из ГУГЛа'!$B:$Z,X$1,0))</f>
        <v>8590</v>
      </c>
      <c r="Y161" s="75">
        <v>1</v>
      </c>
      <c r="Z161" s="75">
        <v>0</v>
      </c>
      <c r="AA161" s="63">
        <v>8590</v>
      </c>
      <c r="AB161" s="63" t="s">
        <v>1215</v>
      </c>
      <c r="AC161" s="48" t="s">
        <v>1094</v>
      </c>
      <c r="AD161" s="102">
        <f>IFERROR(ROUND((VLOOKUP($A161,'Из ГУГЛа'!$B:$Z,AD$1,0)+AF161)*AE161,),VLOOKUP($A161,'Из ГУГЛа'!$B:$Z,AD$1,0))</f>
        <v>0</v>
      </c>
      <c r="AE161" s="100">
        <v>1</v>
      </c>
      <c r="AF161" s="100"/>
      <c r="AG161" s="103">
        <v>8294</v>
      </c>
      <c r="AH161" s="103" t="s">
        <v>2051</v>
      </c>
      <c r="AI161" s="102">
        <f>IFERROR(ROUND((VLOOKUP($A161,'Из ГУГЛа'!$B:$Z,AI$1,0)+AK161)*AJ161,),VLOOKUP($A161,'Из ГУГЛа'!$B:$Z,AI$1,0))</f>
        <v>0</v>
      </c>
      <c r="AJ161" s="100">
        <v>1</v>
      </c>
      <c r="AK161" s="100"/>
      <c r="AL161" s="103"/>
      <c r="AM161" s="103"/>
      <c r="AN161" s="102">
        <f>IFERROR(ROUND((VLOOKUP($A161,'Из ГУГЛа'!$B:$Z,AN$1,0)+AP161)*AO161,),VLOOKUP($A161,'Из ГУГЛа'!$B:$Z,AN$1,0))</f>
        <v>0</v>
      </c>
      <c r="AO161" s="100">
        <v>1</v>
      </c>
      <c r="AP161" s="100"/>
      <c r="AQ161" s="103"/>
      <c r="AR161" s="103"/>
    </row>
    <row r="162" spans="1:44" ht="53.25" thickTop="1" thickBot="1" x14ac:dyDescent="0.3">
      <c r="A162" s="57">
        <v>144987</v>
      </c>
      <c r="B162" s="57">
        <f>VLOOKUP($A162,'Выгр Кат'!$A:$T,B$1,0)</f>
        <v>13411</v>
      </c>
      <c r="C162" s="58" t="str">
        <f>VLOOKUP($A162,'Выгр Кат'!$A:$T,C$1,0)</f>
        <v>Жгут проводов фар и генератора для Шевроле Нива с кондиционером</v>
      </c>
      <c r="D162" s="57" t="str">
        <f>VLOOKUP($A162,'Выгр Кат'!$A:$T,D$1,0)</f>
        <v>Y</v>
      </c>
      <c r="E162" s="57" t="str">
        <f>VLOOKUP($A162,'Выгр Кат'!$A:$T,E$1,0)</f>
        <v>1</v>
      </c>
      <c r="F162" s="57">
        <f>VLOOKUP($A162,'Выгр Кат'!$A:$T,F$1,0)</f>
        <v>0</v>
      </c>
      <c r="G162" s="57" t="str">
        <f>VLOOKUP($A162,'Выгр Кат'!$A:$T,G$1,0)</f>
        <v>2123372401044</v>
      </c>
      <c r="H162" s="57" t="str">
        <f>VLOOKUP($A162,'Выгр Кат'!$A:$T,H$1,0)</f>
        <v>2123-3724010</v>
      </c>
      <c r="I162" s="39" t="s">
        <v>687</v>
      </c>
      <c r="J162" s="1" t="s">
        <v>526</v>
      </c>
      <c r="K162" s="46">
        <f>O162</f>
        <v>8000</v>
      </c>
      <c r="L162" s="7">
        <f>VLOOKUP(K162,Наценка!$A$1:$B$8,2,1)</f>
        <v>1.32</v>
      </c>
      <c r="M162" s="44">
        <f t="shared" si="42"/>
        <v>10560</v>
      </c>
      <c r="N162" s="62">
        <f t="shared" si="39"/>
        <v>10590</v>
      </c>
      <c r="O162" s="60">
        <f>VLOOKUP($A162,'Выгр Кат'!$A:$P,O$1,0)</f>
        <v>8000</v>
      </c>
      <c r="P162" s="60">
        <f>VLOOKUP($A162,'Выгр Кат'!$A:$P,P$1,0)</f>
        <v>10890</v>
      </c>
      <c r="Q162" s="73">
        <f t="shared" si="40"/>
        <v>0</v>
      </c>
      <c r="R162" s="73">
        <f t="shared" si="41"/>
        <v>300</v>
      </c>
      <c r="S162" s="97">
        <f t="shared" si="43"/>
        <v>10590</v>
      </c>
      <c r="T162" s="98">
        <f t="shared" si="44"/>
        <v>0.32374999999999998</v>
      </c>
      <c r="U162" s="98" t="str">
        <f t="shared" si="45"/>
        <v/>
      </c>
      <c r="V162" s="98" t="str">
        <f t="shared" si="46"/>
        <v/>
      </c>
      <c r="W162" s="103"/>
      <c r="X162" s="102">
        <f>IFERROR(ROUND((VLOOKUP($A162,'Из ГУГЛа'!$B:$Z,X$1,0)+Z162)*Y162,),VLOOKUP($A162,'Из ГУГЛа'!$B:$Z,X$1,0))</f>
        <v>10990</v>
      </c>
      <c r="Y162" s="75">
        <v>1</v>
      </c>
      <c r="Z162" s="75">
        <v>0</v>
      </c>
      <c r="AA162" s="63">
        <v>10990</v>
      </c>
      <c r="AB162" s="63" t="s">
        <v>1215</v>
      </c>
      <c r="AC162" s="48" t="s">
        <v>1095</v>
      </c>
      <c r="AD162" s="102">
        <f>IFERROR(ROUND((VLOOKUP($A162,'Из ГУГЛа'!$B:$Z,AD$1,0)+AF162)*AE162,),VLOOKUP($A162,'Из ГУГЛа'!$B:$Z,AD$1,0))</f>
        <v>0</v>
      </c>
      <c r="AE162" s="100">
        <v>1</v>
      </c>
      <c r="AF162" s="100"/>
      <c r="AG162" s="103" t="s">
        <v>1017</v>
      </c>
      <c r="AH162" s="103"/>
      <c r="AI162" s="102">
        <f>IFERROR(ROUND((VLOOKUP($A162,'Из ГУГЛа'!$B:$Z,AI$1,0)+AK162)*AJ162,),VLOOKUP($A162,'Из ГУГЛа'!$B:$Z,AI$1,0))</f>
        <v>0</v>
      </c>
      <c r="AJ162" s="100">
        <v>1</v>
      </c>
      <c r="AK162" s="100"/>
      <c r="AL162" s="103"/>
      <c r="AM162" s="103"/>
      <c r="AN162" s="102">
        <f>IFERROR(ROUND((VLOOKUP($A162,'Из ГУГЛа'!$B:$Z,AN$1,0)+AP162)*AO162,),VLOOKUP($A162,'Из ГУГЛа'!$B:$Z,AN$1,0))</f>
        <v>0</v>
      </c>
      <c r="AO162" s="100">
        <v>1</v>
      </c>
      <c r="AP162" s="100"/>
      <c r="AQ162" s="103"/>
      <c r="AR162" s="103"/>
    </row>
    <row r="163" spans="1:44" ht="53.25" thickTop="1" thickBot="1" x14ac:dyDescent="0.3">
      <c r="A163" s="57">
        <v>144988</v>
      </c>
      <c r="B163" s="57">
        <f>VLOOKUP($A163,'Выгр Кат'!$A:$T,B$1,0)</f>
        <v>13415</v>
      </c>
      <c r="C163" s="58" t="str">
        <f>VLOOKUP($A163,'Выгр Кат'!$A:$T,C$1,0)</f>
        <v>Жгут проводов фар и генератора для Шевроле Нива с ПТФ</v>
      </c>
      <c r="D163" s="57" t="str">
        <f>VLOOKUP($A163,'Выгр Кат'!$A:$T,D$1,0)</f>
        <v>Y</v>
      </c>
      <c r="E163" s="57" t="str">
        <f>VLOOKUP($A163,'Выгр Кат'!$A:$T,E$1,0)</f>
        <v>1</v>
      </c>
      <c r="F163" s="57">
        <f>VLOOKUP($A163,'Выгр Кат'!$A:$T,F$1,0)</f>
        <v>0</v>
      </c>
      <c r="G163" s="57" t="str">
        <f>VLOOKUP($A163,'Выгр Кат'!$A:$T,G$1,0)</f>
        <v>2123372401051</v>
      </c>
      <c r="H163" s="57" t="str">
        <f>VLOOKUP($A163,'Выгр Кат'!$A:$T,H$1,0)</f>
        <v>2123-3724010</v>
      </c>
      <c r="I163" s="39" t="s">
        <v>691</v>
      </c>
      <c r="J163" s="1" t="s">
        <v>526</v>
      </c>
      <c r="K163" s="47">
        <f>VLOOKUP(I163,Прайс!A:E,5,0)</f>
        <v>8000</v>
      </c>
      <c r="L163" s="7">
        <f>VLOOKUP(K163,Наценка!$A$1:$B$8,2,1)</f>
        <v>1.32</v>
      </c>
      <c r="M163" s="44">
        <f t="shared" si="42"/>
        <v>10560</v>
      </c>
      <c r="N163" s="62">
        <f t="shared" si="39"/>
        <v>10590</v>
      </c>
      <c r="O163" s="60">
        <f>VLOOKUP($A163,'Выгр Кат'!$A:$P,O$1,0)</f>
        <v>8000</v>
      </c>
      <c r="P163" s="60">
        <f>VLOOKUP($A163,'Выгр Кат'!$A:$P,P$1,0)</f>
        <v>10890</v>
      </c>
      <c r="Q163" s="73">
        <f t="shared" si="40"/>
        <v>0</v>
      </c>
      <c r="R163" s="73">
        <f t="shared" si="41"/>
        <v>300</v>
      </c>
      <c r="S163" s="97">
        <f t="shared" si="43"/>
        <v>10590</v>
      </c>
      <c r="T163" s="98">
        <f t="shared" si="44"/>
        <v>0.32374999999999998</v>
      </c>
      <c r="U163" s="98">
        <f t="shared" si="45"/>
        <v>-5.2579266474505518E-2</v>
      </c>
      <c r="V163" s="98">
        <f t="shared" si="46"/>
        <v>0.25762499999999999</v>
      </c>
      <c r="W163" s="106">
        <f t="shared" ref="W163:W170" si="50">MIN(AA163,AG163,AL163,AQ163)</f>
        <v>10061</v>
      </c>
      <c r="X163" s="102">
        <f>IFERROR(ROUND((VLOOKUP($A163,'Из ГУГЛа'!$B:$Z,X$1,0)+Z163)*Y163,),VLOOKUP($A163,'Из ГУГЛа'!$B:$Z,X$1,0))</f>
        <v>10990</v>
      </c>
      <c r="Y163" s="75">
        <v>1</v>
      </c>
      <c r="Z163" s="75">
        <v>0</v>
      </c>
      <c r="AA163" s="85">
        <v>10990</v>
      </c>
      <c r="AB163" s="63" t="s">
        <v>1215</v>
      </c>
      <c r="AC163" s="48" t="s">
        <v>886</v>
      </c>
      <c r="AD163" s="102">
        <f>IFERROR(ROUND((VLOOKUP($A163,'Из ГУГЛа'!$B:$Z,AD$1,0)+AF163)*AE163,),VLOOKUP($A163,'Из ГУГЛа'!$B:$Z,AD$1,0))</f>
        <v>0</v>
      </c>
      <c r="AE163" s="100">
        <v>1</v>
      </c>
      <c r="AF163" s="100"/>
      <c r="AG163" s="103">
        <v>10061</v>
      </c>
      <c r="AH163" s="103" t="s">
        <v>2052</v>
      </c>
      <c r="AI163" s="102">
        <f>IFERROR(ROUND((VLOOKUP($A163,'Из ГУГЛа'!$B:$Z,AI$1,0)+AK163)*AJ163,),VLOOKUP($A163,'Из ГУГЛа'!$B:$Z,AI$1,0))</f>
        <v>0</v>
      </c>
      <c r="AJ163" s="100">
        <v>1</v>
      </c>
      <c r="AK163" s="100"/>
      <c r="AL163" s="103"/>
      <c r="AM163" s="103"/>
      <c r="AN163" s="102">
        <f>IFERROR(ROUND((VLOOKUP($A163,'Из ГУГЛа'!$B:$Z,AN$1,0)+AP163)*AO163,),VLOOKUP($A163,'Из ГУГЛа'!$B:$Z,AN$1,0))</f>
        <v>0</v>
      </c>
      <c r="AO163" s="100">
        <v>1</v>
      </c>
      <c r="AP163" s="100"/>
      <c r="AQ163" s="103"/>
      <c r="AR163" s="103"/>
    </row>
    <row r="164" spans="1:44" ht="46.5" thickTop="1" thickBot="1" x14ac:dyDescent="0.3">
      <c r="A164" s="57">
        <v>144990</v>
      </c>
      <c r="B164" s="57">
        <f>VLOOKUP($A164,'Выгр Кат'!$A:$T,B$1,0)</f>
        <v>13363</v>
      </c>
      <c r="C164" s="58" t="str">
        <f>VLOOKUP($A164,'Выгр Кат'!$A:$T,C$1,0)</f>
        <v>Жгут проводов фар и генератора для Лада Приора, Приора 2 под ЭУР, без АБС и кондиционера</v>
      </c>
      <c r="D164" s="57" t="str">
        <f>VLOOKUP($A164,'Выгр Кат'!$A:$T,D$1,0)</f>
        <v>Y</v>
      </c>
      <c r="E164" s="57" t="str">
        <f>VLOOKUP($A164,'Выгр Кат'!$A:$T,E$1,0)</f>
        <v>1</v>
      </c>
      <c r="F164" s="57">
        <f>VLOOKUP($A164,'Выгр Кат'!$A:$T,F$1,0)</f>
        <v>0</v>
      </c>
      <c r="G164" s="57" t="str">
        <f>VLOOKUP($A164,'Выгр Кат'!$A:$T,G$1,0)</f>
        <v>21703724010</v>
      </c>
      <c r="H164" s="57" t="str">
        <f>VLOOKUP($A164,'Выгр Кат'!$A:$T,H$1,0)</f>
        <v>2170-3724010</v>
      </c>
      <c r="I164" s="39" t="s">
        <v>709</v>
      </c>
      <c r="J164" s="1" t="s">
        <v>526</v>
      </c>
      <c r="K164" s="47">
        <f>VLOOKUP(I164,Прайс!A:E,5,0)</f>
        <v>7000</v>
      </c>
      <c r="L164" s="7">
        <f>VLOOKUP(K164,Наценка!$A$1:$B$8,2,1)</f>
        <v>1.32</v>
      </c>
      <c r="M164" s="44">
        <f t="shared" si="42"/>
        <v>9240</v>
      </c>
      <c r="N164" s="62">
        <f t="shared" si="39"/>
        <v>9290</v>
      </c>
      <c r="O164" s="60">
        <f>VLOOKUP($A164,'Выгр Кат'!$A:$P,O$1,0)</f>
        <v>6500</v>
      </c>
      <c r="P164" s="60">
        <f>VLOOKUP($A164,'Выгр Кат'!$A:$P,P$1,0)</f>
        <v>8790</v>
      </c>
      <c r="Q164" s="73">
        <f t="shared" si="40"/>
        <v>-500</v>
      </c>
      <c r="R164" s="73">
        <f t="shared" si="41"/>
        <v>-500</v>
      </c>
      <c r="S164" s="97">
        <f t="shared" si="43"/>
        <v>9290</v>
      </c>
      <c r="T164" s="98">
        <f t="shared" si="44"/>
        <v>0.32714285714285718</v>
      </c>
      <c r="U164" s="98">
        <f t="shared" si="45"/>
        <v>-7.3367995378393988E-2</v>
      </c>
      <c r="V164" s="98">
        <f t="shared" si="46"/>
        <v>0.23642857142857143</v>
      </c>
      <c r="W164" s="106">
        <f t="shared" si="50"/>
        <v>8655</v>
      </c>
      <c r="X164" s="102">
        <f>IFERROR(ROUND((VLOOKUP($A164,'Из ГУГЛа'!$B:$Z,X$1,0)+Z164)*Y164,),VLOOKUP($A164,'Из ГУГЛа'!$B:$Z,X$1,0))</f>
        <v>8890</v>
      </c>
      <c r="Y164" s="75">
        <v>1</v>
      </c>
      <c r="Z164" s="75">
        <v>0</v>
      </c>
      <c r="AA164" s="63">
        <v>8890</v>
      </c>
      <c r="AB164" s="63" t="s">
        <v>1215</v>
      </c>
      <c r="AC164" s="48" t="s">
        <v>1096</v>
      </c>
      <c r="AD164" s="102">
        <f>IFERROR(ROUND((VLOOKUP($A164,'Из ГУГЛа'!$B:$Z,AD$1,0)+AF164)*AE164,),VLOOKUP($A164,'Из ГУГЛа'!$B:$Z,AD$1,0))</f>
        <v>0</v>
      </c>
      <c r="AE164" s="100">
        <v>1</v>
      </c>
      <c r="AF164" s="100"/>
      <c r="AG164" s="103">
        <v>8655</v>
      </c>
      <c r="AH164" s="103" t="s">
        <v>2053</v>
      </c>
      <c r="AI164" s="102">
        <f>IFERROR(ROUND((VLOOKUP($A164,'Из ГУГЛа'!$B:$Z,AI$1,0)+AK164)*AJ164,),VLOOKUP($A164,'Из ГУГЛа'!$B:$Z,AI$1,0))</f>
        <v>0</v>
      </c>
      <c r="AJ164" s="100">
        <v>1</v>
      </c>
      <c r="AK164" s="100"/>
      <c r="AL164" s="103"/>
      <c r="AM164" s="103"/>
      <c r="AN164" s="102">
        <f>IFERROR(ROUND((VLOOKUP($A164,'Из ГУГЛа'!$B:$Z,AN$1,0)+AP164)*AO164,),VLOOKUP($A164,'Из ГУГЛа'!$B:$Z,AN$1,0))</f>
        <v>0</v>
      </c>
      <c r="AO164" s="100">
        <v>1</v>
      </c>
      <c r="AP164" s="100"/>
      <c r="AQ164" s="103"/>
      <c r="AR164" s="103"/>
    </row>
    <row r="165" spans="1:44" ht="40.5" thickTop="1" thickBot="1" x14ac:dyDescent="0.3">
      <c r="A165" s="57">
        <v>144993</v>
      </c>
      <c r="B165" s="57">
        <f>VLOOKUP($A165,'Выгр Кат'!$A:$T,B$1,0)</f>
        <v>13356</v>
      </c>
      <c r="C165" s="58" t="str">
        <f>VLOOKUP($A165,'Выгр Кат'!$A:$T,C$1,0)</f>
        <v>Жгут проводов фар и генератора 2172 для Лада Приора, Приора 2</v>
      </c>
      <c r="D165" s="57" t="str">
        <f>VLOOKUP($A165,'Выгр Кат'!$A:$T,D$1,0)</f>
        <v>Y</v>
      </c>
      <c r="E165" s="57" t="str">
        <f>VLOOKUP($A165,'Выгр Кат'!$A:$T,E$1,0)</f>
        <v>1</v>
      </c>
      <c r="F165" s="57">
        <f>VLOOKUP($A165,'Выгр Кат'!$A:$T,F$1,0)</f>
        <v>0</v>
      </c>
      <c r="G165" s="57" t="str">
        <f>VLOOKUP($A165,'Выгр Кат'!$A:$T,G$1,0)</f>
        <v>21723724010</v>
      </c>
      <c r="H165" s="57" t="str">
        <f>VLOOKUP($A165,'Выгр Кат'!$A:$T,H$1,0)</f>
        <v>2172-3724010</v>
      </c>
      <c r="I165" s="39" t="s">
        <v>710</v>
      </c>
      <c r="J165" s="1" t="s">
        <v>526</v>
      </c>
      <c r="K165" s="47">
        <f>VLOOKUP(I165,Прайс!A:E,5,0)</f>
        <v>7000</v>
      </c>
      <c r="L165" s="7">
        <f>VLOOKUP(K165,Наценка!$A$1:$B$8,2,1)</f>
        <v>1.32</v>
      </c>
      <c r="M165" s="44">
        <f t="shared" si="42"/>
        <v>9240</v>
      </c>
      <c r="N165" s="62">
        <f t="shared" si="39"/>
        <v>9290</v>
      </c>
      <c r="O165" s="60">
        <f>VLOOKUP($A165,'Выгр Кат'!$A:$P,O$1,0)</f>
        <v>6500</v>
      </c>
      <c r="P165" s="60">
        <f>VLOOKUP($A165,'Выгр Кат'!$A:$P,P$1,0)</f>
        <v>8790</v>
      </c>
      <c r="Q165" s="73">
        <f t="shared" si="40"/>
        <v>-500</v>
      </c>
      <c r="R165" s="73">
        <f t="shared" si="41"/>
        <v>-500</v>
      </c>
      <c r="S165" s="97">
        <f t="shared" si="43"/>
        <v>9290</v>
      </c>
      <c r="T165" s="98">
        <f t="shared" si="44"/>
        <v>0.32714285714285718</v>
      </c>
      <c r="U165" s="98">
        <f t="shared" si="45"/>
        <v>-7.3367995378393988E-2</v>
      </c>
      <c r="V165" s="98">
        <f t="shared" si="46"/>
        <v>0.23642857142857143</v>
      </c>
      <c r="W165" s="106">
        <f t="shared" si="50"/>
        <v>8655</v>
      </c>
      <c r="X165" s="102">
        <f>IFERROR(ROUND((VLOOKUP($A165,'Из ГУГЛа'!$B:$Z,X$1,0)+Z165)*Y165,),VLOOKUP($A165,'Из ГУГЛа'!$B:$Z,X$1,0))</f>
        <v>8890</v>
      </c>
      <c r="Y165" s="75">
        <v>1</v>
      </c>
      <c r="Z165" s="75">
        <v>0</v>
      </c>
      <c r="AA165" s="63">
        <v>8890</v>
      </c>
      <c r="AB165" s="63" t="s">
        <v>1215</v>
      </c>
      <c r="AC165" s="48" t="s">
        <v>1097</v>
      </c>
      <c r="AD165" s="102">
        <f>IFERROR(ROUND((VLOOKUP($A165,'Из ГУГЛа'!$B:$Z,AD$1,0)+AF165)*AE165,),VLOOKUP($A165,'Из ГУГЛа'!$B:$Z,AD$1,0))</f>
        <v>0</v>
      </c>
      <c r="AE165" s="100">
        <v>1</v>
      </c>
      <c r="AF165" s="100"/>
      <c r="AG165" s="103">
        <v>8655</v>
      </c>
      <c r="AH165" s="103" t="s">
        <v>2054</v>
      </c>
      <c r="AI165" s="102">
        <f>IFERROR(ROUND((VLOOKUP($A165,'Из ГУГЛа'!$B:$Z,AI$1,0)+AK165)*AJ165,),VLOOKUP($A165,'Из ГУГЛа'!$B:$Z,AI$1,0))</f>
        <v>0</v>
      </c>
      <c r="AJ165" s="100">
        <v>1</v>
      </c>
      <c r="AK165" s="100"/>
      <c r="AL165" s="103"/>
      <c r="AM165" s="103"/>
      <c r="AN165" s="102">
        <f>IFERROR(ROUND((VLOOKUP($A165,'Из ГУГЛа'!$B:$Z,AN$1,0)+AP165)*AO165,),VLOOKUP($A165,'Из ГУГЛа'!$B:$Z,AN$1,0))</f>
        <v>0</v>
      </c>
      <c r="AO165" s="100">
        <v>1</v>
      </c>
      <c r="AP165" s="100"/>
      <c r="AQ165" s="103"/>
      <c r="AR165" s="103"/>
    </row>
    <row r="166" spans="1:44" ht="40.5" thickTop="1" thickBot="1" x14ac:dyDescent="0.3">
      <c r="A166" s="57">
        <v>144994</v>
      </c>
      <c r="B166" s="57">
        <f>VLOOKUP($A166,'Выгр Кат'!$A:$T,B$1,0)</f>
        <v>13392</v>
      </c>
      <c r="C166" s="58" t="str">
        <f>VLOOKUP($A166,'Выгр Кат'!$A:$T,C$1,0)</f>
        <v>Жгут проводов фар и генератора для Лада Гранта</v>
      </c>
      <c r="D166" s="57" t="str">
        <f>VLOOKUP($A166,'Выгр Кат'!$A:$T,D$1,0)</f>
        <v>Y</v>
      </c>
      <c r="E166" s="57" t="str">
        <f>VLOOKUP($A166,'Выгр Кат'!$A:$T,E$1,0)</f>
        <v>1</v>
      </c>
      <c r="F166" s="57">
        <f>VLOOKUP($A166,'Выгр Кат'!$A:$T,F$1,0)</f>
        <v>0</v>
      </c>
      <c r="G166" s="57" t="str">
        <f>VLOOKUP($A166,'Выгр Кат'!$A:$T,G$1,0)</f>
        <v>21903724010</v>
      </c>
      <c r="H166" s="57" t="str">
        <f>VLOOKUP($A166,'Выгр Кат'!$A:$T,H$1,0)</f>
        <v>2190-3724010</v>
      </c>
      <c r="I166" s="39" t="s">
        <v>716</v>
      </c>
      <c r="J166" s="1" t="s">
        <v>526</v>
      </c>
      <c r="K166" s="47">
        <f>VLOOKUP(I166,Прайс!A:E,5,0)</f>
        <v>7000</v>
      </c>
      <c r="L166" s="7">
        <f>VLOOKUP(K166,Наценка!$A$1:$B$8,2,1)</f>
        <v>1.32</v>
      </c>
      <c r="M166" s="44">
        <f t="shared" si="42"/>
        <v>9240</v>
      </c>
      <c r="N166" s="62">
        <f t="shared" si="39"/>
        <v>9290</v>
      </c>
      <c r="O166" s="60">
        <f>VLOOKUP($A166,'Выгр Кат'!$A:$P,O$1,0)</f>
        <v>6500</v>
      </c>
      <c r="P166" s="60">
        <f>VLOOKUP($A166,'Выгр Кат'!$A:$P,P$1,0)</f>
        <v>8790</v>
      </c>
      <c r="Q166" s="73">
        <f t="shared" si="40"/>
        <v>-500</v>
      </c>
      <c r="R166" s="73">
        <f t="shared" si="41"/>
        <v>-500</v>
      </c>
      <c r="S166" s="97">
        <f t="shared" si="43"/>
        <v>9290</v>
      </c>
      <c r="T166" s="98">
        <f t="shared" si="44"/>
        <v>0.32714285714285718</v>
      </c>
      <c r="U166" s="98">
        <f t="shared" si="45"/>
        <v>-7.3367995378393988E-2</v>
      </c>
      <c r="V166" s="98">
        <f t="shared" si="46"/>
        <v>0.23642857142857143</v>
      </c>
      <c r="W166" s="106">
        <f t="shared" si="50"/>
        <v>8655</v>
      </c>
      <c r="X166" s="102">
        <f>IFERROR(ROUND((VLOOKUP($A166,'Из ГУГЛа'!$B:$Z,X$1,0)+Z166)*Y166,),VLOOKUP($A166,'Из ГУГЛа'!$B:$Z,X$1,0))</f>
        <v>8890</v>
      </c>
      <c r="Y166" s="75">
        <v>1</v>
      </c>
      <c r="Z166" s="75">
        <v>0</v>
      </c>
      <c r="AA166" s="63">
        <v>8890</v>
      </c>
      <c r="AB166" s="63" t="s">
        <v>1215</v>
      </c>
      <c r="AC166" s="48" t="s">
        <v>801</v>
      </c>
      <c r="AD166" s="102">
        <f>IFERROR(ROUND((VLOOKUP($A166,'Из ГУГЛа'!$B:$Z,AD$1,0)+AF166)*AE166,),VLOOKUP($A166,'Из ГУГЛа'!$B:$Z,AD$1,0))</f>
        <v>0</v>
      </c>
      <c r="AE166" s="100">
        <v>1</v>
      </c>
      <c r="AF166" s="100"/>
      <c r="AG166" s="103">
        <v>8655</v>
      </c>
      <c r="AH166" s="103" t="s">
        <v>2055</v>
      </c>
      <c r="AI166" s="102">
        <f>IFERROR(ROUND((VLOOKUP($A166,'Из ГУГЛа'!$B:$Z,AI$1,0)+AK166)*AJ166,),VLOOKUP($A166,'Из ГУГЛа'!$B:$Z,AI$1,0))</f>
        <v>0</v>
      </c>
      <c r="AJ166" s="100">
        <v>1</v>
      </c>
      <c r="AK166" s="100"/>
      <c r="AL166" s="103"/>
      <c r="AM166" s="103"/>
      <c r="AN166" s="102">
        <f>IFERROR(ROUND((VLOOKUP($A166,'Из ГУГЛа'!$B:$Z,AN$1,0)+AP166)*AO166,),VLOOKUP($A166,'Из ГУГЛа'!$B:$Z,AN$1,0))</f>
        <v>0</v>
      </c>
      <c r="AO166" s="100">
        <v>1</v>
      </c>
      <c r="AP166" s="100"/>
      <c r="AQ166" s="103"/>
      <c r="AR166" s="103"/>
    </row>
    <row r="167" spans="1:44" ht="61.5" thickTop="1" thickBot="1" x14ac:dyDescent="0.3">
      <c r="A167" s="57">
        <v>144877</v>
      </c>
      <c r="B167" s="57">
        <f>VLOOKUP($A167,'Выгр Кат'!$A:$T,B$1,0)</f>
        <v>3994</v>
      </c>
      <c r="C167" s="58" t="str">
        <f>VLOOKUP($A167,'Выгр Кат'!$A:$T,C$1,0)</f>
        <v>Жгут проводов контроллера для ВАЗ 2110-2112 инжекторный 16-ти клапанный двигатель 1.6 л, контроллер Bosch 21124-30, Автэл 21124-31, Итэлма 21124-32</v>
      </c>
      <c r="D167" s="57" t="str">
        <f>VLOOKUP($A167,'Выгр Кат'!$A:$T,D$1,0)</f>
        <v>Y</v>
      </c>
      <c r="E167" s="57" t="str">
        <f>VLOOKUP($A167,'Выгр Кат'!$A:$T,E$1,0)</f>
        <v>1</v>
      </c>
      <c r="F167" s="57">
        <f>VLOOKUP($A167,'Выгр Кат'!$A:$T,F$1,0)</f>
        <v>0</v>
      </c>
      <c r="G167" s="57" t="str">
        <f>VLOOKUP($A167,'Выгр Кат'!$A:$T,G$1,0)</f>
        <v>21104372402610</v>
      </c>
      <c r="H167" s="57" t="str">
        <f>VLOOKUP($A167,'Выгр Кат'!$A:$T,H$1,0)</f>
        <v>21104-3724026</v>
      </c>
      <c r="I167" s="39" t="s">
        <v>621</v>
      </c>
      <c r="J167" s="1" t="s">
        <v>526</v>
      </c>
      <c r="K167" s="47">
        <f>VLOOKUP(I167,Прайс!A:E,5,0)</f>
        <v>11000</v>
      </c>
      <c r="L167" s="7">
        <f>VLOOKUP(K167,Наценка!$A$1:$B$8,2,1)</f>
        <v>1.3</v>
      </c>
      <c r="M167" s="44">
        <f t="shared" si="42"/>
        <v>14300</v>
      </c>
      <c r="N167" s="62">
        <f t="shared" si="39"/>
        <v>14290</v>
      </c>
      <c r="O167" s="60">
        <f>VLOOKUP($A167,'Выгр Кат'!$A:$P,O$1,0)</f>
        <v>10000</v>
      </c>
      <c r="P167" s="60">
        <f>VLOOKUP($A167,'Выгр Кат'!$A:$P,P$1,0)</f>
        <v>11990</v>
      </c>
      <c r="Q167" s="73">
        <f t="shared" si="40"/>
        <v>-1000</v>
      </c>
      <c r="R167" s="73">
        <f t="shared" si="41"/>
        <v>-2300</v>
      </c>
      <c r="S167" s="97">
        <f t="shared" si="43"/>
        <v>14290</v>
      </c>
      <c r="T167" s="98">
        <f t="shared" si="44"/>
        <v>0.29909090909090907</v>
      </c>
      <c r="U167" s="98">
        <f t="shared" si="45"/>
        <v>-0.22241231822070145</v>
      </c>
      <c r="V167" s="98">
        <f t="shared" si="46"/>
        <v>6.2727272727272743E-2</v>
      </c>
      <c r="W167" s="106">
        <f t="shared" si="50"/>
        <v>11690</v>
      </c>
      <c r="X167" s="102">
        <f>IFERROR(ROUND((VLOOKUP($A167,'Из ГУГЛа'!$B:$Z,X$1,0)+Z167)*Y167,),VLOOKUP($A167,'Из ГУГЛа'!$B:$Z,X$1,0))</f>
        <v>11690</v>
      </c>
      <c r="Y167" s="75">
        <v>1</v>
      </c>
      <c r="Z167" s="75">
        <v>0</v>
      </c>
      <c r="AA167" s="63">
        <v>11690</v>
      </c>
      <c r="AB167" s="63" t="s">
        <v>1215</v>
      </c>
      <c r="AC167" s="48" t="s">
        <v>1098</v>
      </c>
      <c r="AD167" s="102">
        <f>IFERROR(ROUND((VLOOKUP($A167,'Из ГУГЛа'!$B:$Z,AD$1,0)+AF167)*AE167,),VLOOKUP($A167,'Из ГУГЛа'!$B:$Z,AD$1,0))</f>
        <v>0</v>
      </c>
      <c r="AE167" s="100">
        <v>1</v>
      </c>
      <c r="AF167" s="100"/>
      <c r="AG167" s="103">
        <v>11720</v>
      </c>
      <c r="AH167" s="103" t="s">
        <v>2056</v>
      </c>
      <c r="AI167" s="102">
        <f>IFERROR(ROUND((VLOOKUP($A167,'Из ГУГЛа'!$B:$Z,AI$1,0)+AK167)*AJ167,),VLOOKUP($A167,'Из ГУГЛа'!$B:$Z,AI$1,0))</f>
        <v>0</v>
      </c>
      <c r="AJ167" s="100">
        <v>1</v>
      </c>
      <c r="AK167" s="100"/>
      <c r="AL167" s="103"/>
      <c r="AM167" s="103"/>
      <c r="AN167" s="102">
        <f>IFERROR(ROUND((VLOOKUP($A167,'Из ГУГЛа'!$B:$Z,AN$1,0)+AP167)*AO167,),VLOOKUP($A167,'Из ГУГЛа'!$B:$Z,AN$1,0))</f>
        <v>0</v>
      </c>
      <c r="AO167" s="100">
        <v>1</v>
      </c>
      <c r="AP167" s="100"/>
      <c r="AQ167" s="103"/>
      <c r="AR167" s="103"/>
    </row>
    <row r="168" spans="1:44" ht="40.5" thickTop="1" thickBot="1" x14ac:dyDescent="0.3">
      <c r="A168" s="57">
        <v>144909</v>
      </c>
      <c r="B168" s="57">
        <f>VLOOKUP($A168,'Выгр Кат'!$A:$T,B$1,0)</f>
        <v>13434</v>
      </c>
      <c r="C168" s="58" t="str">
        <f>VLOOKUP($A168,'Выгр Кат'!$A:$T,C$1,0)</f>
        <v>Жгут проводов панели приборов для Лада Нива 4х4 инжекторный двигатель</v>
      </c>
      <c r="D168" s="57" t="str">
        <f>VLOOKUP($A168,'Выгр Кат'!$A:$T,D$1,0)</f>
        <v>Y</v>
      </c>
      <c r="E168" s="57" t="str">
        <f>VLOOKUP($A168,'Выгр Кат'!$A:$T,E$1,0)</f>
        <v>1</v>
      </c>
      <c r="F168" s="57">
        <f>VLOOKUP($A168,'Выгр Кат'!$A:$T,F$1,0)</f>
        <v>0</v>
      </c>
      <c r="G168" s="57" t="str">
        <f>VLOOKUP($A168,'Выгр Кат'!$A:$T,G$1,0)</f>
        <v>21214372403070</v>
      </c>
      <c r="H168" s="57" t="str">
        <f>VLOOKUP($A168,'Выгр Кат'!$A:$T,H$1,0)</f>
        <v>21214-3724030</v>
      </c>
      <c r="I168" s="39" t="s">
        <v>666</v>
      </c>
      <c r="J168" s="1" t="s">
        <v>526</v>
      </c>
      <c r="K168" s="47">
        <f>VLOOKUP(I168,Прайс!A:E,5,0)</f>
        <v>7500</v>
      </c>
      <c r="L168" s="7">
        <f>VLOOKUP(K168,Наценка!$A$1:$B$8,2,1)</f>
        <v>1.32</v>
      </c>
      <c r="M168" s="44">
        <f t="shared" si="42"/>
        <v>9900</v>
      </c>
      <c r="N168" s="62">
        <f t="shared" si="39"/>
        <v>9890</v>
      </c>
      <c r="O168" s="60">
        <f>VLOOKUP($A168,'Выгр Кат'!$A:$P,O$1,0)</f>
        <v>7500</v>
      </c>
      <c r="P168" s="60">
        <f>VLOOKUP($A168,'Выгр Кат'!$A:$P,P$1,0)</f>
        <v>10190</v>
      </c>
      <c r="Q168" s="73">
        <f t="shared" si="40"/>
        <v>0</v>
      </c>
      <c r="R168" s="73">
        <f t="shared" si="41"/>
        <v>300</v>
      </c>
      <c r="S168" s="97">
        <f t="shared" si="43"/>
        <v>9890</v>
      </c>
      <c r="T168" s="98">
        <f t="shared" si="44"/>
        <v>0.31866666666666665</v>
      </c>
      <c r="U168" s="98">
        <f t="shared" si="45"/>
        <v>2.0501138952164009E-2</v>
      </c>
      <c r="V168" s="98">
        <f t="shared" si="46"/>
        <v>0.34626666666666672</v>
      </c>
      <c r="W168" s="106">
        <f t="shared" si="50"/>
        <v>10097</v>
      </c>
      <c r="X168" s="102">
        <f>IFERROR(ROUND((VLOOKUP($A168,'Из ГУГЛа'!$B:$Z,X$1,0)+Z168)*Y168,),VLOOKUP($A168,'Из ГУГЛа'!$B:$Z,X$1,0))</f>
        <v>10290</v>
      </c>
      <c r="Y168" s="75">
        <v>1</v>
      </c>
      <c r="Z168" s="75">
        <v>0</v>
      </c>
      <c r="AA168" s="85">
        <v>10290</v>
      </c>
      <c r="AB168" s="63" t="s">
        <v>1215</v>
      </c>
      <c r="AC168" s="48" t="s">
        <v>885</v>
      </c>
      <c r="AD168" s="102">
        <f>IFERROR(ROUND((VLOOKUP($A168,'Из ГУГЛа'!$B:$Z,AD$1,0)+AF168)*AE168,),VLOOKUP($A168,'Из ГУГЛа'!$B:$Z,AD$1,0))</f>
        <v>0</v>
      </c>
      <c r="AE168" s="100">
        <v>1</v>
      </c>
      <c r="AF168" s="100"/>
      <c r="AG168" s="103">
        <v>10097</v>
      </c>
      <c r="AH168" s="103" t="s">
        <v>2057</v>
      </c>
      <c r="AI168" s="102">
        <f>IFERROR(ROUND((VLOOKUP($A168,'Из ГУГЛа'!$B:$Z,AI$1,0)+AK168)*AJ168,),VLOOKUP($A168,'Из ГУГЛа'!$B:$Z,AI$1,0))</f>
        <v>0</v>
      </c>
      <c r="AJ168" s="100">
        <v>1</v>
      </c>
      <c r="AK168" s="100"/>
      <c r="AL168" s="103"/>
      <c r="AM168" s="103"/>
      <c r="AN168" s="102">
        <f>IFERROR(ROUND((VLOOKUP($A168,'Из ГУГЛа'!$B:$Z,AN$1,0)+AP168)*AO168,),VLOOKUP($A168,'Из ГУГЛа'!$B:$Z,AN$1,0))</f>
        <v>0</v>
      </c>
      <c r="AO168" s="100">
        <v>1</v>
      </c>
      <c r="AP168" s="100"/>
      <c r="AQ168" s="103"/>
      <c r="AR168" s="103"/>
    </row>
    <row r="169" spans="1:44" ht="53.25" thickTop="1" thickBot="1" x14ac:dyDescent="0.3">
      <c r="A169" s="57">
        <v>144991</v>
      </c>
      <c r="B169" s="57">
        <f>VLOOKUP($A169,'Выгр Кат'!$A:$T,B$1,0)</f>
        <v>13358</v>
      </c>
      <c r="C169" s="58" t="str">
        <f>VLOOKUP($A169,'Выгр Кат'!$A:$T,C$1,0)</f>
        <v>Жгут проводов фар и генератора для Лада Приора, Приора 2 с кондиционером HALA, без АБС</v>
      </c>
      <c r="D169" s="57" t="str">
        <f>VLOOKUP($A169,'Выгр Кат'!$A:$T,D$1,0)</f>
        <v>Y</v>
      </c>
      <c r="E169" s="57" t="str">
        <f>VLOOKUP($A169,'Выгр Кат'!$A:$T,E$1,0)</f>
        <v>1</v>
      </c>
      <c r="F169" s="57">
        <f>VLOOKUP($A169,'Выгр Кат'!$A:$T,F$1,0)</f>
        <v>0</v>
      </c>
      <c r="G169" s="57" t="str">
        <f>VLOOKUP($A169,'Выгр Кат'!$A:$T,G$1,0)</f>
        <v>2170372401030</v>
      </c>
      <c r="H169" s="57" t="str">
        <f>VLOOKUP($A169,'Выгр Кат'!$A:$T,H$1,0)</f>
        <v>2170-3724010</v>
      </c>
      <c r="I169" s="39" t="s">
        <v>712</v>
      </c>
      <c r="J169" s="1" t="s">
        <v>526</v>
      </c>
      <c r="K169" s="47">
        <f>VLOOKUP(I169,Прайс!A:E,5,0)</f>
        <v>9000</v>
      </c>
      <c r="L169" s="7">
        <f>VLOOKUP(K169,Наценка!$A$1:$B$8,2,1)</f>
        <v>1.32</v>
      </c>
      <c r="M169" s="44">
        <f t="shared" si="42"/>
        <v>11880</v>
      </c>
      <c r="N169" s="62">
        <f t="shared" si="39"/>
        <v>11890</v>
      </c>
      <c r="O169" s="60">
        <f>VLOOKUP($A169,'Выгр Кат'!$A:$P,O$1,0)</f>
        <v>9000</v>
      </c>
      <c r="P169" s="60">
        <f>VLOOKUP($A169,'Выгр Кат'!$A:$P,P$1,0)</f>
        <v>11890</v>
      </c>
      <c r="Q169" s="73">
        <f t="shared" si="40"/>
        <v>0</v>
      </c>
      <c r="R169" s="73">
        <f t="shared" si="41"/>
        <v>0</v>
      </c>
      <c r="S169" s="97">
        <f t="shared" si="43"/>
        <v>11890</v>
      </c>
      <c r="T169" s="98">
        <f t="shared" si="44"/>
        <v>0.32111111111111112</v>
      </c>
      <c r="U169" s="98">
        <f t="shared" si="45"/>
        <v>-0.17757749826681193</v>
      </c>
      <c r="V169" s="98">
        <f t="shared" si="46"/>
        <v>0.12188888888888894</v>
      </c>
      <c r="W169" s="106">
        <f t="shared" si="50"/>
        <v>10097</v>
      </c>
      <c r="X169" s="102">
        <f>IFERROR(ROUND((VLOOKUP($A169,'Из ГУГЛа'!$B:$Z,X$1,0)+Z169)*Y169,),VLOOKUP($A169,'Из ГУГЛа'!$B:$Z,X$1,0))</f>
        <v>12390</v>
      </c>
      <c r="Y169" s="75">
        <v>1</v>
      </c>
      <c r="Z169" s="75">
        <v>0</v>
      </c>
      <c r="AA169" s="63">
        <v>12390</v>
      </c>
      <c r="AB169" s="63" t="s">
        <v>1215</v>
      </c>
      <c r="AC169" s="48" t="s">
        <v>1099</v>
      </c>
      <c r="AD169" s="102">
        <f>IFERROR(ROUND((VLOOKUP($A169,'Из ГУГЛа'!$B:$Z,AD$1,0)+AF169)*AE169,),VLOOKUP($A169,'Из ГУГЛа'!$B:$Z,AD$1,0))</f>
        <v>0</v>
      </c>
      <c r="AE169" s="100">
        <v>1</v>
      </c>
      <c r="AF169" s="100"/>
      <c r="AG169" s="103">
        <v>10097</v>
      </c>
      <c r="AH169" s="103" t="s">
        <v>2058</v>
      </c>
      <c r="AI169" s="102">
        <f>IFERROR(ROUND((VLOOKUP($A169,'Из ГУГЛа'!$B:$Z,AI$1,0)+AK169)*AJ169,),VLOOKUP($A169,'Из ГУГЛа'!$B:$Z,AI$1,0))</f>
        <v>0</v>
      </c>
      <c r="AJ169" s="100">
        <v>1</v>
      </c>
      <c r="AK169" s="100"/>
      <c r="AL169" s="103"/>
      <c r="AM169" s="103"/>
      <c r="AN169" s="102">
        <f>IFERROR(ROUND((VLOOKUP($A169,'Из ГУГЛа'!$B:$Z,AN$1,0)+AP169)*AO169,),VLOOKUP($A169,'Из ГУГЛа'!$B:$Z,AN$1,0))</f>
        <v>0</v>
      </c>
      <c r="AO169" s="100">
        <v>1</v>
      </c>
      <c r="AP169" s="100"/>
      <c r="AQ169" s="103"/>
      <c r="AR169" s="103"/>
    </row>
    <row r="170" spans="1:44" ht="53.25" thickTop="1" thickBot="1" x14ac:dyDescent="0.3">
      <c r="A170" s="57">
        <v>144912</v>
      </c>
      <c r="B170" s="57">
        <f>VLOOKUP($A170,'Выгр Кат'!$A:$T,B$1,0)</f>
        <v>13414</v>
      </c>
      <c r="C170" s="58" t="str">
        <f>VLOOKUP($A170,'Выгр Кат'!$A:$T,C$1,0)</f>
        <v>Жгут проводов панели приборов для Шевроле Нива с кондиционером</v>
      </c>
      <c r="D170" s="57" t="str">
        <f>VLOOKUP($A170,'Выгр Кат'!$A:$T,D$1,0)</f>
        <v>Y</v>
      </c>
      <c r="E170" s="57" t="str">
        <f>VLOOKUP($A170,'Выгр Кат'!$A:$T,E$1,0)</f>
        <v>1</v>
      </c>
      <c r="F170" s="57">
        <f>VLOOKUP($A170,'Выгр Кат'!$A:$T,F$1,0)</f>
        <v>0</v>
      </c>
      <c r="G170" s="57" t="str">
        <f>VLOOKUP($A170,'Выгр Кат'!$A:$T,G$1,0)</f>
        <v>2123372403094</v>
      </c>
      <c r="H170" s="57" t="str">
        <f>VLOOKUP($A170,'Выгр Кат'!$A:$T,H$1,0)</f>
        <v>2123-3724030</v>
      </c>
      <c r="I170" s="39" t="s">
        <v>690</v>
      </c>
      <c r="J170" s="1" t="s">
        <v>526</v>
      </c>
      <c r="K170" s="47">
        <f>VLOOKUP(I170,Прайс!A:E,5,0)</f>
        <v>8000</v>
      </c>
      <c r="L170" s="7">
        <f>VLOOKUP(K170,Наценка!$A$1:$B$8,2,1)</f>
        <v>1.32</v>
      </c>
      <c r="M170" s="44">
        <f t="shared" si="42"/>
        <v>10560</v>
      </c>
      <c r="N170" s="62">
        <f t="shared" si="39"/>
        <v>10590</v>
      </c>
      <c r="O170" s="60">
        <f>VLOOKUP($A170,'Выгр Кат'!$A:$P,O$1,0)</f>
        <v>8000</v>
      </c>
      <c r="P170" s="60">
        <f>VLOOKUP($A170,'Выгр Кат'!$A:$P,P$1,0)</f>
        <v>10890</v>
      </c>
      <c r="Q170" s="73">
        <f t="shared" si="40"/>
        <v>0</v>
      </c>
      <c r="R170" s="73">
        <f t="shared" si="41"/>
        <v>300</v>
      </c>
      <c r="S170" s="97">
        <f t="shared" si="43"/>
        <v>10590</v>
      </c>
      <c r="T170" s="98">
        <f t="shared" si="44"/>
        <v>0.32374999999999998</v>
      </c>
      <c r="U170" s="98">
        <f t="shared" si="45"/>
        <v>2.1075984470327231E-2</v>
      </c>
      <c r="V170" s="98">
        <f t="shared" si="46"/>
        <v>0.35224999999999995</v>
      </c>
      <c r="W170" s="106">
        <f t="shared" si="50"/>
        <v>10818</v>
      </c>
      <c r="X170" s="102">
        <f>IFERROR(ROUND((VLOOKUP($A170,'Из ГУГЛа'!$B:$Z,X$1,0)+Z170)*Y170,),VLOOKUP($A170,'Из ГУГЛа'!$B:$Z,X$1,0))</f>
        <v>10990</v>
      </c>
      <c r="Y170" s="75">
        <v>1</v>
      </c>
      <c r="Z170" s="75">
        <v>0</v>
      </c>
      <c r="AA170" s="63">
        <v>10990</v>
      </c>
      <c r="AB170" s="63" t="s">
        <v>1215</v>
      </c>
      <c r="AC170" s="48" t="s">
        <v>802</v>
      </c>
      <c r="AD170" s="102">
        <f>IFERROR(ROUND((VLOOKUP($A170,'Из ГУГЛа'!$B:$Z,AD$1,0)+AF170)*AE170,),VLOOKUP($A170,'Из ГУГЛа'!$B:$Z,AD$1,0))</f>
        <v>0</v>
      </c>
      <c r="AE170" s="100">
        <v>1</v>
      </c>
      <c r="AF170" s="100"/>
      <c r="AG170" s="103">
        <v>10818</v>
      </c>
      <c r="AH170" s="103" t="s">
        <v>2059</v>
      </c>
      <c r="AI170" s="102">
        <f>IFERROR(ROUND((VLOOKUP($A170,'Из ГУГЛа'!$B:$Z,AI$1,0)+AK170)*AJ170,),VLOOKUP($A170,'Из ГУГЛа'!$B:$Z,AI$1,0))</f>
        <v>0</v>
      </c>
      <c r="AJ170" s="100">
        <v>1</v>
      </c>
      <c r="AK170" s="100"/>
      <c r="AL170" s="103"/>
      <c r="AM170" s="103"/>
      <c r="AN170" s="102">
        <f>IFERROR(ROUND((VLOOKUP($A170,'Из ГУГЛа'!$B:$Z,AN$1,0)+AP170)*AO170,),VLOOKUP($A170,'Из ГУГЛа'!$B:$Z,AN$1,0))</f>
        <v>0</v>
      </c>
      <c r="AO170" s="100">
        <v>1</v>
      </c>
      <c r="AP170" s="100"/>
      <c r="AQ170" s="103"/>
      <c r="AR170" s="103"/>
    </row>
    <row r="171" spans="1:44" ht="46.5" thickTop="1" thickBot="1" x14ac:dyDescent="0.3">
      <c r="A171" s="57">
        <v>144890</v>
      </c>
      <c r="B171" s="57">
        <f>VLOOKUP($A171,'Выгр Кат'!$A:$T,B$1,0)</f>
        <v>4006</v>
      </c>
      <c r="C171" s="58" t="str">
        <f>VLOOKUP($A171,'Выгр Кат'!$A:$T,C$1,0)</f>
        <v>Жгут проводов контроллера для Лада Приора 16-ти клапанный двигатель 1.6 л, контроллер BOSCH 21126-10, с кондиционером</v>
      </c>
      <c r="D171" s="57" t="str">
        <f>VLOOKUP($A171,'Выгр Кат'!$A:$T,D$1,0)</f>
        <v>Y</v>
      </c>
      <c r="E171" s="57" t="str">
        <f>VLOOKUP($A171,'Выгр Кат'!$A:$T,E$1,0)</f>
        <v>1</v>
      </c>
      <c r="F171" s="57">
        <f>VLOOKUP($A171,'Выгр Кат'!$A:$T,F$1,0)</f>
        <v>0</v>
      </c>
      <c r="G171" s="57" t="str">
        <f>VLOOKUP($A171,'Выгр Кат'!$A:$T,G$1,0)</f>
        <v>21700372402650</v>
      </c>
      <c r="H171" s="57" t="str">
        <f>VLOOKUP($A171,'Выгр Кат'!$A:$T,H$1,0)</f>
        <v>2170-3724026</v>
      </c>
      <c r="I171" s="39"/>
      <c r="J171" s="1" t="s">
        <v>526</v>
      </c>
      <c r="K171" s="46">
        <f>O171</f>
        <v>8000</v>
      </c>
      <c r="L171" s="7">
        <f>VLOOKUP(K171,Наценка!$A$1:$B$8,2,1)</f>
        <v>1.32</v>
      </c>
      <c r="M171" s="44">
        <f t="shared" si="42"/>
        <v>10560</v>
      </c>
      <c r="N171" s="62">
        <f t="shared" si="39"/>
        <v>10590</v>
      </c>
      <c r="O171" s="60">
        <f>VLOOKUP($A171,'Выгр Кат'!$A:$P,O$1,0)</f>
        <v>8000</v>
      </c>
      <c r="P171" s="60">
        <f>VLOOKUP($A171,'Выгр Кат'!$A:$P,P$1,0)</f>
        <v>10890</v>
      </c>
      <c r="Q171" s="73">
        <f t="shared" si="40"/>
        <v>0</v>
      </c>
      <c r="R171" s="73">
        <f t="shared" si="41"/>
        <v>300</v>
      </c>
      <c r="S171" s="97">
        <f t="shared" si="43"/>
        <v>10590</v>
      </c>
      <c r="T171" s="98">
        <f t="shared" si="44"/>
        <v>0.32374999999999998</v>
      </c>
      <c r="U171" s="98" t="str">
        <f t="shared" si="45"/>
        <v/>
      </c>
      <c r="V171" s="98" t="str">
        <f t="shared" si="46"/>
        <v/>
      </c>
      <c r="W171" s="103"/>
      <c r="X171" s="102">
        <f>IFERROR(ROUND((VLOOKUP($A171,'Из ГУГЛа'!$B:$Z,X$1,0)+Z171)*Y171,),VLOOKUP($A171,'Из ГУГЛа'!$B:$Z,X$1,0))</f>
        <v>10990</v>
      </c>
      <c r="Y171" s="75">
        <v>1</v>
      </c>
      <c r="Z171" s="75">
        <v>0</v>
      </c>
      <c r="AA171" s="63">
        <v>10990</v>
      </c>
      <c r="AB171" s="63" t="s">
        <v>1215</v>
      </c>
      <c r="AC171" s="48" t="s">
        <v>1100</v>
      </c>
      <c r="AD171" s="102">
        <f>IFERROR(ROUND((VLOOKUP($A171,'Из ГУГЛа'!$B:$Z,AD$1,0)+AF171)*AE171,),VLOOKUP($A171,'Из ГУГЛа'!$B:$Z,AD$1,0))</f>
        <v>0</v>
      </c>
      <c r="AE171" s="100">
        <v>1</v>
      </c>
      <c r="AF171" s="100"/>
      <c r="AG171" s="103" t="s">
        <v>1017</v>
      </c>
      <c r="AH171" s="103"/>
      <c r="AI171" s="102">
        <f>IFERROR(ROUND((VLOOKUP($A171,'Из ГУГЛа'!$B:$Z,AI$1,0)+AK171)*AJ171,),VLOOKUP($A171,'Из ГУГЛа'!$B:$Z,AI$1,0))</f>
        <v>0</v>
      </c>
      <c r="AJ171" s="100">
        <v>1</v>
      </c>
      <c r="AK171" s="100"/>
      <c r="AL171" s="103"/>
      <c r="AM171" s="103"/>
      <c r="AN171" s="102">
        <f>IFERROR(ROUND((VLOOKUP($A171,'Из ГУГЛа'!$B:$Z,AN$1,0)+AP171)*AO171,),VLOOKUP($A171,'Из ГУГЛа'!$B:$Z,AN$1,0))</f>
        <v>0</v>
      </c>
      <c r="AO171" s="100">
        <v>1</v>
      </c>
      <c r="AP171" s="100"/>
      <c r="AQ171" s="103"/>
      <c r="AR171" s="103"/>
    </row>
    <row r="172" spans="1:44" ht="46.5" thickTop="1" thickBot="1" x14ac:dyDescent="0.3">
      <c r="A172" s="57">
        <v>144891</v>
      </c>
      <c r="B172" s="57">
        <f>VLOOKUP($A172,'Выгр Кат'!$A:$T,B$1,0)</f>
        <v>4007</v>
      </c>
      <c r="C172" s="58" t="str">
        <f>VLOOKUP($A172,'Выгр Кат'!$A:$T,C$1,0)</f>
        <v>Жгут проводов контроллера для Лада Приора 16-ти клапанный двигатель 1.6 л, контроллер BOSCH 21126-00, без АБС и кондиционера</v>
      </c>
      <c r="D172" s="57" t="str">
        <f>VLOOKUP($A172,'Выгр Кат'!$A:$T,D$1,0)</f>
        <v>Y</v>
      </c>
      <c r="E172" s="57" t="str">
        <f>VLOOKUP($A172,'Выгр Кат'!$A:$T,E$1,0)</f>
        <v>1</v>
      </c>
      <c r="F172" s="57">
        <f>VLOOKUP($A172,'Выгр Кат'!$A:$T,F$1,0)</f>
        <v>0</v>
      </c>
      <c r="G172" s="57" t="str">
        <f>VLOOKUP($A172,'Выгр Кат'!$A:$T,G$1,0)</f>
        <v>21700372402660</v>
      </c>
      <c r="H172" s="57" t="str">
        <f>VLOOKUP($A172,'Выгр Кат'!$A:$T,H$1,0)</f>
        <v>2170-3724026</v>
      </c>
      <c r="I172" s="39" t="s">
        <v>714</v>
      </c>
      <c r="J172" s="1" t="s">
        <v>526</v>
      </c>
      <c r="K172" s="47">
        <f>VLOOKUP(I172,Прайс!A:E,5,0)</f>
        <v>11000</v>
      </c>
      <c r="L172" s="7">
        <f>VLOOKUP(K172,Наценка!$A$1:$B$8,2,1)</f>
        <v>1.3</v>
      </c>
      <c r="M172" s="44">
        <f t="shared" si="42"/>
        <v>14300</v>
      </c>
      <c r="N172" s="62">
        <f t="shared" si="39"/>
        <v>14290</v>
      </c>
      <c r="O172" s="60">
        <f>VLOOKUP($A172,'Выгр Кат'!$A:$P,O$1,0)</f>
        <v>10000</v>
      </c>
      <c r="P172" s="60">
        <f>VLOOKUP($A172,'Выгр Кат'!$A:$P,P$1,0)</f>
        <v>12490</v>
      </c>
      <c r="Q172" s="73">
        <f t="shared" si="40"/>
        <v>-1000</v>
      </c>
      <c r="R172" s="73">
        <f t="shared" si="41"/>
        <v>-1800</v>
      </c>
      <c r="S172" s="97">
        <f t="shared" si="43"/>
        <v>14290</v>
      </c>
      <c r="T172" s="98">
        <f t="shared" si="44"/>
        <v>0.29909090909090907</v>
      </c>
      <c r="U172" s="98" t="str">
        <f t="shared" si="45"/>
        <v/>
      </c>
      <c r="V172" s="98" t="str">
        <f t="shared" si="46"/>
        <v/>
      </c>
      <c r="W172" s="103"/>
      <c r="X172" s="102">
        <f>IFERROR(ROUND((VLOOKUP($A172,'Из ГУГЛа'!$B:$Z,X$1,0)+Z172)*Y172,),VLOOKUP($A172,'Из ГУГЛа'!$B:$Z,X$1,0))</f>
        <v>10990</v>
      </c>
      <c r="Y172" s="75">
        <v>1</v>
      </c>
      <c r="Z172" s="75">
        <v>0</v>
      </c>
      <c r="AA172" s="63">
        <v>10990</v>
      </c>
      <c r="AB172" s="63" t="s">
        <v>1215</v>
      </c>
      <c r="AC172" s="48" t="s">
        <v>1101</v>
      </c>
      <c r="AD172" s="102">
        <f>IFERROR(ROUND((VLOOKUP($A172,'Из ГУГЛа'!$B:$Z,AD$1,0)+AF172)*AE172,),VLOOKUP($A172,'Из ГУГЛа'!$B:$Z,AD$1,0))</f>
        <v>0</v>
      </c>
      <c r="AE172" s="100">
        <v>1</v>
      </c>
      <c r="AF172" s="100"/>
      <c r="AG172" s="103" t="s">
        <v>2061</v>
      </c>
      <c r="AH172" s="103" t="s">
        <v>2060</v>
      </c>
      <c r="AI172" s="102">
        <f>IFERROR(ROUND((VLOOKUP($A172,'Из ГУГЛа'!$B:$Z,AI$1,0)+AK172)*AJ172,),VLOOKUP($A172,'Из ГУГЛа'!$B:$Z,AI$1,0))</f>
        <v>0</v>
      </c>
      <c r="AJ172" s="100">
        <v>1</v>
      </c>
      <c r="AK172" s="100"/>
      <c r="AL172" s="103"/>
      <c r="AM172" s="103"/>
      <c r="AN172" s="102">
        <f>IFERROR(ROUND((VLOOKUP($A172,'Из ГУГЛа'!$B:$Z,AN$1,0)+AP172)*AO172,),VLOOKUP($A172,'Из ГУГЛа'!$B:$Z,AN$1,0))</f>
        <v>0</v>
      </c>
      <c r="AO172" s="100">
        <v>1</v>
      </c>
      <c r="AP172" s="100"/>
      <c r="AQ172" s="103"/>
      <c r="AR172" s="103"/>
    </row>
    <row r="173" spans="1:44" ht="46.5" thickTop="1" thickBot="1" x14ac:dyDescent="0.3">
      <c r="A173" s="57">
        <v>144964</v>
      </c>
      <c r="B173" s="57">
        <f>VLOOKUP($A173,'Выгр Кат'!$A:$T,B$1,0)</f>
        <v>13265</v>
      </c>
      <c r="C173" s="58" t="str">
        <f>VLOOKUP($A173,'Выгр Кат'!$A:$T,C$1,0)</f>
        <v>Жгут проводов системы зажигания для ВАЗ 2108-21099 инжекторный двигатель, контроллер ЯНВАРЬ 5.1.1 2111-41</v>
      </c>
      <c r="D173" s="57" t="str">
        <f>VLOOKUP($A173,'Выгр Кат'!$A:$T,D$1,0)</f>
        <v>Y</v>
      </c>
      <c r="E173" s="57" t="str">
        <f>VLOOKUP($A173,'Выгр Кат'!$A:$T,E$1,0)</f>
        <v>1</v>
      </c>
      <c r="F173" s="57">
        <f>VLOOKUP($A173,'Выгр Кат'!$A:$T,F$1,0)</f>
        <v>0</v>
      </c>
      <c r="G173" s="57" t="str">
        <f>VLOOKUP($A173,'Выгр Кат'!$A:$T,G$1,0)</f>
        <v>21093372402660</v>
      </c>
      <c r="H173" s="57" t="str">
        <f>VLOOKUP($A173,'Выгр Кат'!$A:$T,H$1,0)</f>
        <v>21093-3724026</v>
      </c>
      <c r="I173" s="39" t="s">
        <v>599</v>
      </c>
      <c r="J173" s="1" t="s">
        <v>526</v>
      </c>
      <c r="K173" s="47">
        <f>VLOOKUP(I173,Прайс!A:E,5,0)</f>
        <v>9000</v>
      </c>
      <c r="L173" s="7">
        <f>VLOOKUP(K173,Наценка!$A$1:$B$8,2,1)</f>
        <v>1.32</v>
      </c>
      <c r="M173" s="44">
        <f t="shared" si="42"/>
        <v>11880</v>
      </c>
      <c r="N173" s="62">
        <f t="shared" si="39"/>
        <v>11890</v>
      </c>
      <c r="O173" s="60">
        <f>VLOOKUP($A173,'Выгр Кат'!$A:$P,O$1,0)</f>
        <v>9000</v>
      </c>
      <c r="P173" s="60">
        <f>VLOOKUP($A173,'Выгр Кат'!$A:$P,P$1,0)</f>
        <v>11890</v>
      </c>
      <c r="Q173" s="73">
        <f t="shared" si="40"/>
        <v>0</v>
      </c>
      <c r="R173" s="73">
        <f t="shared" si="41"/>
        <v>0</v>
      </c>
      <c r="S173" s="97">
        <f t="shared" si="43"/>
        <v>11890</v>
      </c>
      <c r="T173" s="98">
        <f t="shared" si="44"/>
        <v>0.32111111111111112</v>
      </c>
      <c r="U173" s="98">
        <f t="shared" si="45"/>
        <v>-0.14481032158675139</v>
      </c>
      <c r="V173" s="98">
        <f t="shared" si="46"/>
        <v>0.15399999999999991</v>
      </c>
      <c r="W173" s="106">
        <f t="shared" ref="W173:W174" si="51">MIN(AA173,AG173,AL173,AQ173)</f>
        <v>10386</v>
      </c>
      <c r="X173" s="102">
        <f>IFERROR(ROUND((VLOOKUP($A173,'Из ГУГЛа'!$B:$Z,X$1,0)+Z173)*Y173,),VLOOKUP($A173,'Из ГУГЛа'!$B:$Z,X$1,0))</f>
        <v>10990</v>
      </c>
      <c r="Y173" s="75">
        <v>1</v>
      </c>
      <c r="Z173" s="75">
        <v>0</v>
      </c>
      <c r="AA173" s="85">
        <v>10990</v>
      </c>
      <c r="AB173" s="63" t="s">
        <v>1215</v>
      </c>
      <c r="AC173" s="48" t="s">
        <v>803</v>
      </c>
      <c r="AD173" s="102">
        <f>IFERROR(ROUND((VLOOKUP($A173,'Из ГУГЛа'!$B:$Z,AD$1,0)+AF173)*AE173,),VLOOKUP($A173,'Из ГУГЛа'!$B:$Z,AD$1,0))</f>
        <v>0</v>
      </c>
      <c r="AE173" s="100">
        <v>1</v>
      </c>
      <c r="AF173" s="100"/>
      <c r="AG173" s="103">
        <v>10386</v>
      </c>
      <c r="AH173" s="103" t="s">
        <v>2062</v>
      </c>
      <c r="AI173" s="102">
        <f>IFERROR(ROUND((VLOOKUP($A173,'Из ГУГЛа'!$B:$Z,AI$1,0)+AK173)*AJ173,),VLOOKUP($A173,'Из ГУГЛа'!$B:$Z,AI$1,0))</f>
        <v>0</v>
      </c>
      <c r="AJ173" s="100">
        <v>1</v>
      </c>
      <c r="AK173" s="100"/>
      <c r="AL173" s="103"/>
      <c r="AM173" s="103"/>
      <c r="AN173" s="102">
        <f>IFERROR(ROUND((VLOOKUP($A173,'Из ГУГЛа'!$B:$Z,AN$1,0)+AP173)*AO173,),VLOOKUP($A173,'Из ГУГЛа'!$B:$Z,AN$1,0))</f>
        <v>0</v>
      </c>
      <c r="AO173" s="100">
        <v>1</v>
      </c>
      <c r="AP173" s="100"/>
      <c r="AQ173" s="103"/>
      <c r="AR173" s="103"/>
    </row>
    <row r="174" spans="1:44" ht="46.5" thickTop="1" thickBot="1" x14ac:dyDescent="0.3">
      <c r="A174" s="57">
        <v>144893</v>
      </c>
      <c r="B174" s="57">
        <f>VLOOKUP($A174,'Выгр Кат'!$A:$T,B$1,0)</f>
        <v>3995</v>
      </c>
      <c r="C174" s="58" t="str">
        <f>VLOOKUP($A174,'Выгр Кат'!$A:$T,C$1,0)</f>
        <v>Жгут проводов контроллера для ВАЗ 2113-2115 8-ми клапанный двигатель 1.6 л, контроллер Итэлма 11183-02, Е-Газ</v>
      </c>
      <c r="D174" s="57" t="str">
        <f>VLOOKUP($A174,'Выгр Кат'!$A:$T,D$1,0)</f>
        <v>Y</v>
      </c>
      <c r="E174" s="57" t="str">
        <f>VLOOKUP($A174,'Выгр Кат'!$A:$T,E$1,0)</f>
        <v>1</v>
      </c>
      <c r="F174" s="57">
        <f>VLOOKUP($A174,'Выгр Кат'!$A:$T,F$1,0)</f>
        <v>0</v>
      </c>
      <c r="G174" s="57" t="str">
        <f>VLOOKUP($A174,'Выгр Кат'!$A:$T,G$1,0)</f>
        <v>21144372402600</v>
      </c>
      <c r="H174" s="57" t="str">
        <f>VLOOKUP($A174,'Выгр Кат'!$A:$T,H$1,0)</f>
        <v>21144-3724026</v>
      </c>
      <c r="I174" s="39" t="s">
        <v>768</v>
      </c>
      <c r="J174" s="1" t="s">
        <v>526</v>
      </c>
      <c r="K174" s="47">
        <f>VLOOKUP(I174,Прайс!A:E,5,0)</f>
        <v>9000</v>
      </c>
      <c r="L174" s="7">
        <f>VLOOKUP(K174,Наценка!$A$1:$B$8,2,1)</f>
        <v>1.32</v>
      </c>
      <c r="M174" s="44">
        <f t="shared" si="42"/>
        <v>11880</v>
      </c>
      <c r="N174" s="62">
        <f t="shared" si="39"/>
        <v>11890</v>
      </c>
      <c r="O174" s="60">
        <f>VLOOKUP($A174,'Выгр Кат'!$A:$P,O$1,0)</f>
        <v>8500</v>
      </c>
      <c r="P174" s="60">
        <f>VLOOKUP($A174,'Выгр Кат'!$A:$P,P$1,0)</f>
        <v>11590</v>
      </c>
      <c r="Q174" s="73">
        <f t="shared" si="40"/>
        <v>-500</v>
      </c>
      <c r="R174" s="73">
        <f t="shared" si="41"/>
        <v>-300</v>
      </c>
      <c r="S174" s="97">
        <f t="shared" si="43"/>
        <v>11890</v>
      </c>
      <c r="T174" s="98">
        <f t="shared" si="44"/>
        <v>0.32111111111111112</v>
      </c>
      <c r="U174" s="98">
        <f t="shared" si="45"/>
        <v>-3.0418580466244908E-2</v>
      </c>
      <c r="V174" s="98">
        <f t="shared" si="46"/>
        <v>0.2821111111111112</v>
      </c>
      <c r="W174" s="106">
        <f t="shared" si="51"/>
        <v>11539</v>
      </c>
      <c r="X174" s="102">
        <f>IFERROR(ROUND((VLOOKUP($A174,'Из ГУГЛа'!$B:$Z,X$1,0)+Z174)*Y174,),VLOOKUP($A174,'Из ГУГЛа'!$B:$Z,X$1,0))</f>
        <v>11690</v>
      </c>
      <c r="Y174" s="75">
        <v>1</v>
      </c>
      <c r="Z174" s="75">
        <v>0</v>
      </c>
      <c r="AA174" s="63">
        <v>11690</v>
      </c>
      <c r="AB174" s="63" t="s">
        <v>1215</v>
      </c>
      <c r="AC174" s="48" t="s">
        <v>1102</v>
      </c>
      <c r="AD174" s="102">
        <f>IFERROR(ROUND((VLOOKUP($A174,'Из ГУГЛа'!$B:$Z,AD$1,0)+AF174)*AE174,),VLOOKUP($A174,'Из ГУГЛа'!$B:$Z,AD$1,0))</f>
        <v>0</v>
      </c>
      <c r="AE174" s="100">
        <v>1</v>
      </c>
      <c r="AF174" s="100"/>
      <c r="AG174" s="103">
        <v>11539</v>
      </c>
      <c r="AH174" s="103" t="s">
        <v>2063</v>
      </c>
      <c r="AI174" s="102">
        <f>IFERROR(ROUND((VLOOKUP($A174,'Из ГУГЛа'!$B:$Z,AI$1,0)+AK174)*AJ174,),VLOOKUP($A174,'Из ГУГЛа'!$B:$Z,AI$1,0))</f>
        <v>0</v>
      </c>
      <c r="AJ174" s="100">
        <v>1</v>
      </c>
      <c r="AK174" s="100"/>
      <c r="AL174" s="103"/>
      <c r="AM174" s="103"/>
      <c r="AN174" s="102">
        <f>IFERROR(ROUND((VLOOKUP($A174,'Из ГУГЛа'!$B:$Z,AN$1,0)+AP174)*AO174,),VLOOKUP($A174,'Из ГУГЛа'!$B:$Z,AN$1,0))</f>
        <v>0</v>
      </c>
      <c r="AO174" s="100">
        <v>1</v>
      </c>
      <c r="AP174" s="100"/>
      <c r="AQ174" s="103"/>
      <c r="AR174" s="103"/>
    </row>
    <row r="175" spans="1:44" ht="40.5" thickTop="1" thickBot="1" x14ac:dyDescent="0.3">
      <c r="A175" s="57">
        <v>144878</v>
      </c>
      <c r="B175" s="57">
        <f>VLOOKUP($A175,'Выгр Кат'!$A:$T,B$1,0)</f>
        <v>3996</v>
      </c>
      <c r="C175" s="58" t="str">
        <f>VLOOKUP($A175,'Выгр Кат'!$A:$T,C$1,0)</f>
        <v>Жгут проводов контроллера для ВАЗ 2113-2115</v>
      </c>
      <c r="D175" s="57" t="str">
        <f>VLOOKUP($A175,'Выгр Кат'!$A:$T,D$1,0)</f>
        <v>Y</v>
      </c>
      <c r="E175" s="57" t="str">
        <f>VLOOKUP($A175,'Выгр Кат'!$A:$T,E$1,0)</f>
        <v>1</v>
      </c>
      <c r="F175" s="57">
        <f>VLOOKUP($A175,'Выгр Кат'!$A:$T,F$1,0)</f>
        <v>0</v>
      </c>
      <c r="G175" s="57" t="str">
        <f>VLOOKUP($A175,'Выгр Кат'!$A:$T,G$1,0)</f>
        <v>21150372402611</v>
      </c>
      <c r="H175" s="57" t="str">
        <f>VLOOKUP($A175,'Выгр Кат'!$A:$T,H$1,0)</f>
        <v>2115-3724026</v>
      </c>
      <c r="I175" s="39" t="s">
        <v>631</v>
      </c>
      <c r="J175" s="1" t="s">
        <v>526</v>
      </c>
      <c r="K175" s="47">
        <f>VLOOKUP(I175,Прайс!A:E,5,0)</f>
        <v>9000</v>
      </c>
      <c r="L175" s="7">
        <f>VLOOKUP(K175,Наценка!$A$1:$B$8,2,1)</f>
        <v>1.32</v>
      </c>
      <c r="M175" s="44">
        <f t="shared" si="42"/>
        <v>11880</v>
      </c>
      <c r="N175" s="62">
        <f t="shared" si="39"/>
        <v>11890</v>
      </c>
      <c r="O175" s="60">
        <f>VLOOKUP($A175,'Выгр Кат'!$A:$P,O$1,0)</f>
        <v>9000</v>
      </c>
      <c r="P175" s="60">
        <f>VLOOKUP($A175,'Выгр Кат'!$A:$P,P$1,0)</f>
        <v>11590</v>
      </c>
      <c r="Q175" s="73">
        <f t="shared" si="40"/>
        <v>0</v>
      </c>
      <c r="R175" s="73">
        <f t="shared" si="41"/>
        <v>-300</v>
      </c>
      <c r="S175" s="97">
        <f t="shared" si="43"/>
        <v>11890</v>
      </c>
      <c r="T175" s="98">
        <f t="shared" si="44"/>
        <v>0.32111111111111112</v>
      </c>
      <c r="U175" s="98" t="str">
        <f t="shared" si="45"/>
        <v/>
      </c>
      <c r="V175" s="98" t="str">
        <f t="shared" si="46"/>
        <v/>
      </c>
      <c r="W175" s="103"/>
      <c r="X175" s="102">
        <f>IFERROR(ROUND((VLOOKUP($A175,'Из ГУГЛа'!$B:$Z,X$1,0)+Z175)*Y175,),VLOOKUP($A175,'Из ГУГЛа'!$B:$Z,X$1,0))</f>
        <v>11690</v>
      </c>
      <c r="Y175" s="75">
        <v>1</v>
      </c>
      <c r="Z175" s="75">
        <v>0</v>
      </c>
      <c r="AA175" s="63">
        <v>11690</v>
      </c>
      <c r="AB175" s="63" t="s">
        <v>1215</v>
      </c>
      <c r="AC175" s="48" t="s">
        <v>1103</v>
      </c>
      <c r="AD175" s="102">
        <f>IFERROR(ROUND((VLOOKUP($A175,'Из ГУГЛа'!$B:$Z,AD$1,0)+AF175)*AE175,),VLOOKUP($A175,'Из ГУГЛа'!$B:$Z,AD$1,0))</f>
        <v>0</v>
      </c>
      <c r="AE175" s="100">
        <v>1</v>
      </c>
      <c r="AF175" s="100"/>
      <c r="AG175" s="103" t="s">
        <v>2032</v>
      </c>
      <c r="AH175" s="103" t="s">
        <v>2064</v>
      </c>
      <c r="AI175" s="102">
        <f>IFERROR(ROUND((VLOOKUP($A175,'Из ГУГЛа'!$B:$Z,AI$1,0)+AK175)*AJ175,),VLOOKUP($A175,'Из ГУГЛа'!$B:$Z,AI$1,0))</f>
        <v>0</v>
      </c>
      <c r="AJ175" s="100">
        <v>1</v>
      </c>
      <c r="AK175" s="100"/>
      <c r="AL175" s="103"/>
      <c r="AM175" s="103"/>
      <c r="AN175" s="102">
        <f>IFERROR(ROUND((VLOOKUP($A175,'Из ГУГЛа'!$B:$Z,AN$1,0)+AP175)*AO175,),VLOOKUP($A175,'Из ГУГЛа'!$B:$Z,AN$1,0))</f>
        <v>0</v>
      </c>
      <c r="AO175" s="100">
        <v>1</v>
      </c>
      <c r="AP175" s="100"/>
      <c r="AQ175" s="103"/>
      <c r="AR175" s="103"/>
    </row>
    <row r="176" spans="1:44" ht="46.5" thickTop="1" thickBot="1" x14ac:dyDescent="0.3">
      <c r="A176" s="57">
        <v>144803</v>
      </c>
      <c r="B176" s="57">
        <f>VLOOKUP($A176,'Выгр Кат'!$A:$T,B$1,0)</f>
        <v>17853</v>
      </c>
      <c r="C176" s="58" t="str">
        <f>VLOOKUP($A176,'Выгр Кат'!$A:$T,C$1,0)</f>
        <v>Жгут проводов контроллера для ВАЗ 2113-2115 8-ми клапанный двигатель 1.6 л, контроллер Bosch 21114-10, Элкар  21114-11, Итэлма 21114-12</v>
      </c>
      <c r="D176" s="57" t="str">
        <f>VLOOKUP($A176,'Выгр Кат'!$A:$T,D$1,0)</f>
        <v>Y</v>
      </c>
      <c r="E176" s="57" t="str">
        <f>VLOOKUP($A176,'Выгр Кат'!$A:$T,E$1,0)</f>
        <v>1</v>
      </c>
      <c r="F176" s="57">
        <f>VLOOKUP($A176,'Выгр Кат'!$A:$T,F$1,0)</f>
        <v>0</v>
      </c>
      <c r="G176" s="57" t="str">
        <f>VLOOKUP($A176,'Выгр Кат'!$A:$T,G$1,0)</f>
        <v>21154372402620</v>
      </c>
      <c r="H176" s="57" t="str">
        <f>VLOOKUP($A176,'Выгр Кат'!$A:$T,H$1,0)</f>
        <v>21154-3724026</v>
      </c>
      <c r="I176" s="39" t="s">
        <v>634</v>
      </c>
      <c r="J176" s="1" t="s">
        <v>526</v>
      </c>
      <c r="K176" s="47">
        <f>VLOOKUP(I176,Прайс!A:E,5,0)</f>
        <v>10000</v>
      </c>
      <c r="L176" s="7">
        <f>VLOOKUP(K176,Наценка!$A$1:$B$8,2,1)</f>
        <v>1.3</v>
      </c>
      <c r="M176" s="44">
        <f t="shared" si="42"/>
        <v>13000</v>
      </c>
      <c r="N176" s="62">
        <f t="shared" si="39"/>
        <v>12990</v>
      </c>
      <c r="O176" s="60">
        <f>VLOOKUP($A176,'Выгр Кат'!$A:$P,O$1,0)</f>
        <v>9000</v>
      </c>
      <c r="P176" s="60">
        <f>VLOOKUP($A176,'Выгр Кат'!$A:$P,P$1,0)</f>
        <v>10890</v>
      </c>
      <c r="Q176" s="73">
        <f t="shared" si="40"/>
        <v>-1000</v>
      </c>
      <c r="R176" s="73">
        <f t="shared" si="41"/>
        <v>-2100</v>
      </c>
      <c r="S176" s="97">
        <f t="shared" si="43"/>
        <v>12990</v>
      </c>
      <c r="T176" s="98">
        <f t="shared" si="44"/>
        <v>0.29899999999999993</v>
      </c>
      <c r="U176" s="98">
        <f t="shared" si="45"/>
        <v>-0.18198362147406733</v>
      </c>
      <c r="V176" s="98">
        <f t="shared" si="46"/>
        <v>9.8999999999999977E-2</v>
      </c>
      <c r="W176" s="106">
        <f t="shared" ref="W176:W183" si="52">MIN(AA176,AG176,AL176,AQ176)</f>
        <v>10990</v>
      </c>
      <c r="X176" s="102">
        <f>IFERROR(ROUND((VLOOKUP($A176,'Из ГУГЛа'!$B:$Z,X$1,0)+Z176)*Y176,),VLOOKUP($A176,'Из ГУГЛа'!$B:$Z,X$1,0))</f>
        <v>10990</v>
      </c>
      <c r="Y176" s="75">
        <v>1</v>
      </c>
      <c r="Z176" s="75">
        <v>0</v>
      </c>
      <c r="AA176" s="85">
        <v>10990</v>
      </c>
      <c r="AB176" s="63" t="s">
        <v>1215</v>
      </c>
      <c r="AC176" s="48" t="s">
        <v>804</v>
      </c>
      <c r="AD176" s="102">
        <f>IFERROR(ROUND((VLOOKUP($A176,'Из ГУГЛа'!$B:$Z,AD$1,0)+AF176)*AE176,),VLOOKUP($A176,'Из ГУГЛа'!$B:$Z,AD$1,0))</f>
        <v>0</v>
      </c>
      <c r="AE176" s="100">
        <v>1</v>
      </c>
      <c r="AF176" s="100"/>
      <c r="AG176" s="103">
        <v>12260</v>
      </c>
      <c r="AH176" s="103" t="s">
        <v>2065</v>
      </c>
      <c r="AI176" s="102">
        <f>IFERROR(ROUND((VLOOKUP($A176,'Из ГУГЛа'!$B:$Z,AI$1,0)+AK176)*AJ176,),VLOOKUP($A176,'Из ГУГЛа'!$B:$Z,AI$1,0))</f>
        <v>0</v>
      </c>
      <c r="AJ176" s="100">
        <v>1</v>
      </c>
      <c r="AK176" s="100"/>
      <c r="AL176" s="103"/>
      <c r="AM176" s="103"/>
      <c r="AN176" s="102">
        <f>IFERROR(ROUND((VLOOKUP($A176,'Из ГУГЛа'!$B:$Z,AN$1,0)+AP176)*AO176,),VLOOKUP($A176,'Из ГУГЛа'!$B:$Z,AN$1,0))</f>
        <v>0</v>
      </c>
      <c r="AO176" s="100">
        <v>1</v>
      </c>
      <c r="AP176" s="100"/>
      <c r="AQ176" s="103"/>
      <c r="AR176" s="103"/>
    </row>
    <row r="177" spans="1:44" ht="46.5" thickTop="1" thickBot="1" x14ac:dyDescent="0.3">
      <c r="A177" s="57">
        <v>144879</v>
      </c>
      <c r="B177" s="57">
        <f>VLOOKUP($A177,'Выгр Кат'!$A:$T,B$1,0)</f>
        <v>3997</v>
      </c>
      <c r="C177" s="58" t="str">
        <f>VLOOKUP($A177,'Выгр Кат'!$A:$T,C$1,0)</f>
        <v>Жгут проводов контроллера для ВАЗ 2113-2115 8-ми клапанный двигатель 1.5 л, контроллер Январь 5.1.1 2111-71</v>
      </c>
      <c r="D177" s="57" t="str">
        <f>VLOOKUP($A177,'Выгр Кат'!$A:$T,D$1,0)</f>
        <v>Y</v>
      </c>
      <c r="E177" s="57" t="str">
        <f>VLOOKUP($A177,'Выгр Кат'!$A:$T,E$1,0)</f>
        <v>1</v>
      </c>
      <c r="F177" s="57">
        <f>VLOOKUP($A177,'Выгр Кат'!$A:$T,F$1,0)</f>
        <v>0</v>
      </c>
      <c r="G177" s="57" t="str">
        <f>VLOOKUP($A177,'Выгр Кат'!$A:$T,G$1,0)</f>
        <v>21150372402640</v>
      </c>
      <c r="H177" s="57" t="str">
        <f>VLOOKUP($A177,'Выгр Кат'!$A:$T,H$1,0)</f>
        <v>2115-3724026</v>
      </c>
      <c r="I177" s="39" t="s">
        <v>632</v>
      </c>
      <c r="J177" s="1" t="s">
        <v>526</v>
      </c>
      <c r="K177" s="47">
        <f>VLOOKUP(I177,Прайс!A:E,5,0)</f>
        <v>9000</v>
      </c>
      <c r="L177" s="7">
        <f>VLOOKUP(K177,Наценка!$A$1:$B$8,2,1)</f>
        <v>1.32</v>
      </c>
      <c r="M177" s="44">
        <f t="shared" si="42"/>
        <v>11880</v>
      </c>
      <c r="N177" s="62">
        <f t="shared" si="39"/>
        <v>11890</v>
      </c>
      <c r="O177" s="60">
        <f>VLOOKUP($A177,'Выгр Кат'!$A:$P,O$1,0)</f>
        <v>9000</v>
      </c>
      <c r="P177" s="60">
        <f>VLOOKUP($A177,'Выгр Кат'!$A:$P,P$1,0)</f>
        <v>11590</v>
      </c>
      <c r="Q177" s="73">
        <f t="shared" si="40"/>
        <v>0</v>
      </c>
      <c r="R177" s="73">
        <f t="shared" si="41"/>
        <v>-300</v>
      </c>
      <c r="S177" s="97">
        <f t="shared" si="43"/>
        <v>11890</v>
      </c>
      <c r="T177" s="98">
        <f t="shared" si="44"/>
        <v>0.32111111111111112</v>
      </c>
      <c r="U177" s="98">
        <f t="shared" si="45"/>
        <v>-8.1892629663330302E-2</v>
      </c>
      <c r="V177" s="98">
        <f t="shared" si="46"/>
        <v>0.22111111111111104</v>
      </c>
      <c r="W177" s="106">
        <f t="shared" si="52"/>
        <v>10990</v>
      </c>
      <c r="X177" s="102">
        <f>IFERROR(ROUND((VLOOKUP($A177,'Из ГУГЛа'!$B:$Z,X$1,0)+Z177)*Y177,),VLOOKUP($A177,'Из ГУГЛа'!$B:$Z,X$1,0))</f>
        <v>10990</v>
      </c>
      <c r="Y177" s="75">
        <v>1</v>
      </c>
      <c r="Z177" s="75">
        <v>0</v>
      </c>
      <c r="AA177" s="85">
        <v>10990</v>
      </c>
      <c r="AB177" s="63" t="s">
        <v>1215</v>
      </c>
      <c r="AC177" s="48" t="s">
        <v>804</v>
      </c>
      <c r="AD177" s="102">
        <f>IFERROR(ROUND((VLOOKUP($A177,'Из ГУГЛа'!$B:$Z,AD$1,0)+AF177)*AE177,),VLOOKUP($A177,'Из ГУГЛа'!$B:$Z,AD$1,0))</f>
        <v>0</v>
      </c>
      <c r="AE177" s="100">
        <v>1</v>
      </c>
      <c r="AF177" s="100"/>
      <c r="AG177" s="103">
        <v>11539</v>
      </c>
      <c r="AH177" s="103" t="s">
        <v>2066</v>
      </c>
      <c r="AI177" s="102">
        <f>IFERROR(ROUND((VLOOKUP($A177,'Из ГУГЛа'!$B:$Z,AI$1,0)+AK177)*AJ177,),VLOOKUP($A177,'Из ГУГЛа'!$B:$Z,AI$1,0))</f>
        <v>0</v>
      </c>
      <c r="AJ177" s="100">
        <v>1</v>
      </c>
      <c r="AK177" s="100"/>
      <c r="AL177" s="103"/>
      <c r="AM177" s="103"/>
      <c r="AN177" s="102">
        <f>IFERROR(ROUND((VLOOKUP($A177,'Из ГУГЛа'!$B:$Z,AN$1,0)+AP177)*AO177,),VLOOKUP($A177,'Из ГУГЛа'!$B:$Z,AN$1,0))</f>
        <v>0</v>
      </c>
      <c r="AO177" s="100">
        <v>1</v>
      </c>
      <c r="AP177" s="100"/>
      <c r="AQ177" s="103"/>
      <c r="AR177" s="103"/>
    </row>
    <row r="178" spans="1:44" ht="46.5" thickTop="1" thickBot="1" x14ac:dyDescent="0.3">
      <c r="A178" s="57">
        <v>144880</v>
      </c>
      <c r="B178" s="57">
        <f>VLOOKUP($A178,'Выгр Кат'!$A:$T,B$1,0)</f>
        <v>3998</v>
      </c>
      <c r="C178" s="58" t="str">
        <f>VLOOKUP($A178,'Выгр Кат'!$A:$T,C$1,0)</f>
        <v>Жгут проводов контроллера для ВАЗ 2108-21099, 2113-2115 8-ми клапанный двигатель 1.5 л, контроллер Январь 5.1.1 2111-61</v>
      </c>
      <c r="D178" s="57" t="str">
        <f>VLOOKUP($A178,'Выгр Кат'!$A:$T,D$1,0)</f>
        <v>Y</v>
      </c>
      <c r="E178" s="57" t="str">
        <f>VLOOKUP($A178,'Выгр Кат'!$A:$T,E$1,0)</f>
        <v>1</v>
      </c>
      <c r="F178" s="57">
        <f>VLOOKUP($A178,'Выгр Кат'!$A:$T,F$1,0)</f>
        <v>0</v>
      </c>
      <c r="G178" s="57" t="str">
        <f>VLOOKUP($A178,'Выгр Кат'!$A:$T,G$1,0)</f>
        <v>21150372402650</v>
      </c>
      <c r="H178" s="57" t="str">
        <f>VLOOKUP($A178,'Выгр Кат'!$A:$T,H$1,0)</f>
        <v>2115-3724026</v>
      </c>
      <c r="I178" s="39" t="s">
        <v>633</v>
      </c>
      <c r="J178" s="1" t="s">
        <v>526</v>
      </c>
      <c r="K178" s="47">
        <f>VLOOKUP(I178,Прайс!A:E,5,0)</f>
        <v>9000</v>
      </c>
      <c r="L178" s="7">
        <f>VLOOKUP(K178,Наценка!$A$1:$B$8,2,1)</f>
        <v>1.32</v>
      </c>
      <c r="M178" s="44">
        <f t="shared" si="42"/>
        <v>11880</v>
      </c>
      <c r="N178" s="62">
        <f t="shared" si="39"/>
        <v>11890</v>
      </c>
      <c r="O178" s="60">
        <f>VLOOKUP($A178,'Выгр Кат'!$A:$P,O$1,0)</f>
        <v>9000</v>
      </c>
      <c r="P178" s="60">
        <f>VLOOKUP($A178,'Выгр Кат'!$A:$P,P$1,0)</f>
        <v>11590</v>
      </c>
      <c r="Q178" s="73">
        <f t="shared" si="40"/>
        <v>0</v>
      </c>
      <c r="R178" s="73">
        <f t="shared" si="41"/>
        <v>-300</v>
      </c>
      <c r="S178" s="97">
        <f t="shared" si="43"/>
        <v>11890</v>
      </c>
      <c r="T178" s="98">
        <f t="shared" si="44"/>
        <v>0.32111111111111112</v>
      </c>
      <c r="U178" s="98">
        <f t="shared" si="45"/>
        <v>-0.14492055849783342</v>
      </c>
      <c r="V178" s="98">
        <f t="shared" si="46"/>
        <v>0.15388888888888896</v>
      </c>
      <c r="W178" s="106">
        <f t="shared" si="52"/>
        <v>10385</v>
      </c>
      <c r="X178" s="102">
        <f>IFERROR(ROUND((VLOOKUP($A178,'Из ГУГЛа'!$B:$Z,X$1,0)+Z178)*Y178,),VLOOKUP($A178,'Из ГУГЛа'!$B:$Z,X$1,0))</f>
        <v>10990</v>
      </c>
      <c r="Y178" s="75">
        <v>1</v>
      </c>
      <c r="Z178" s="75">
        <v>0</v>
      </c>
      <c r="AA178" s="63">
        <v>10990</v>
      </c>
      <c r="AB178" s="63" t="s">
        <v>1215</v>
      </c>
      <c r="AC178" s="48" t="s">
        <v>1104</v>
      </c>
      <c r="AD178" s="102">
        <f>IFERROR(ROUND((VLOOKUP($A178,'Из ГУГЛа'!$B:$Z,AD$1,0)+AF178)*AE178,),VLOOKUP($A178,'Из ГУГЛа'!$B:$Z,AD$1,0))</f>
        <v>0</v>
      </c>
      <c r="AE178" s="100">
        <v>1</v>
      </c>
      <c r="AF178" s="100"/>
      <c r="AG178" s="103">
        <v>10385</v>
      </c>
      <c r="AH178" s="103" t="s">
        <v>2067</v>
      </c>
      <c r="AI178" s="102">
        <f>IFERROR(ROUND((VLOOKUP($A178,'Из ГУГЛа'!$B:$Z,AI$1,0)+AK178)*AJ178,),VLOOKUP($A178,'Из ГУГЛа'!$B:$Z,AI$1,0))</f>
        <v>0</v>
      </c>
      <c r="AJ178" s="100">
        <v>1</v>
      </c>
      <c r="AK178" s="100"/>
      <c r="AL178" s="103"/>
      <c r="AM178" s="103"/>
      <c r="AN178" s="102">
        <f>IFERROR(ROUND((VLOOKUP($A178,'Из ГУГЛа'!$B:$Z,AN$1,0)+AP178)*AO178,),VLOOKUP($A178,'Из ГУГЛа'!$B:$Z,AN$1,0))</f>
        <v>0</v>
      </c>
      <c r="AO178" s="100">
        <v>1</v>
      </c>
      <c r="AP178" s="100"/>
      <c r="AQ178" s="103"/>
      <c r="AR178" s="103"/>
    </row>
    <row r="179" spans="1:44" ht="46.5" thickTop="1" thickBot="1" x14ac:dyDescent="0.3">
      <c r="A179" s="57">
        <v>144881</v>
      </c>
      <c r="B179" s="57">
        <f>VLOOKUP($A179,'Выгр Кат'!$A:$T,B$1,0)</f>
        <v>3999</v>
      </c>
      <c r="C179" s="58" t="str">
        <f>VLOOKUP($A179,'Выгр Кат'!$A:$T,C$1,0)</f>
        <v>Жгут проводов контроллера для ВАЗ 2113-2115 8-ми клапанный двигатель 1.5 л, контроллер BOSCH 2111-80, Элкар 2111-81, Итэлма 2111-82</v>
      </c>
      <c r="D179" s="57" t="str">
        <f>VLOOKUP($A179,'Выгр Кат'!$A:$T,D$1,0)</f>
        <v>Y</v>
      </c>
      <c r="E179" s="57" t="str">
        <f>VLOOKUP($A179,'Выгр Кат'!$A:$T,E$1,0)</f>
        <v>1</v>
      </c>
      <c r="F179" s="57">
        <f>VLOOKUP($A179,'Выгр Кат'!$A:$T,F$1,0)</f>
        <v>0</v>
      </c>
      <c r="G179" s="57" t="str">
        <f>VLOOKUP($A179,'Выгр Кат'!$A:$T,G$1,0)</f>
        <v>21150372402670</v>
      </c>
      <c r="H179" s="57" t="str">
        <f>VLOOKUP($A179,'Выгр Кат'!$A:$T,H$1,0)</f>
        <v>2115-3724026</v>
      </c>
      <c r="I179" s="39" t="s">
        <v>637</v>
      </c>
      <c r="J179" s="1" t="s">
        <v>526</v>
      </c>
      <c r="K179" s="47">
        <f>VLOOKUP(I179,Прайс!A:E,5,0)</f>
        <v>9000</v>
      </c>
      <c r="L179" s="7">
        <f>VLOOKUP(K179,Наценка!$A$1:$B$8,2,1)</f>
        <v>1.32</v>
      </c>
      <c r="M179" s="44">
        <f t="shared" si="42"/>
        <v>11880</v>
      </c>
      <c r="N179" s="62">
        <f t="shared" si="39"/>
        <v>11890</v>
      </c>
      <c r="O179" s="60">
        <f>VLOOKUP($A179,'Выгр Кат'!$A:$P,O$1,0)</f>
        <v>8000</v>
      </c>
      <c r="P179" s="60">
        <f>VLOOKUP($A179,'Выгр Кат'!$A:$P,P$1,0)</f>
        <v>10890</v>
      </c>
      <c r="Q179" s="73">
        <f t="shared" si="40"/>
        <v>-1000</v>
      </c>
      <c r="R179" s="73">
        <f t="shared" si="41"/>
        <v>-1000</v>
      </c>
      <c r="S179" s="97">
        <f t="shared" si="43"/>
        <v>11890</v>
      </c>
      <c r="T179" s="98">
        <f t="shared" si="44"/>
        <v>0.32111111111111112</v>
      </c>
      <c r="U179" s="98">
        <f t="shared" si="45"/>
        <v>-0.39948210922787192</v>
      </c>
      <c r="V179" s="98">
        <f t="shared" si="46"/>
        <v>-5.600000000000005E-2</v>
      </c>
      <c r="W179" s="106">
        <f t="shared" si="52"/>
        <v>8496</v>
      </c>
      <c r="X179" s="102">
        <f>IFERROR(ROUND((VLOOKUP($A179,'Из ГУГЛа'!$B:$Z,X$1,0)+Z179)*Y179,),VLOOKUP($A179,'Из ГУГЛа'!$B:$Z,X$1,0))</f>
        <v>10990</v>
      </c>
      <c r="Y179" s="75">
        <v>1</v>
      </c>
      <c r="Z179" s="75">
        <v>0</v>
      </c>
      <c r="AA179" s="63">
        <v>10990</v>
      </c>
      <c r="AB179" s="63" t="s">
        <v>1215</v>
      </c>
      <c r="AC179" s="48" t="s">
        <v>1105</v>
      </c>
      <c r="AD179" s="102">
        <f>IFERROR(ROUND((VLOOKUP($A179,'Из ГУГЛа'!$B:$Z,AD$1,0)+AF179)*AE179,),VLOOKUP($A179,'Из ГУГЛа'!$B:$Z,AD$1,0))</f>
        <v>0</v>
      </c>
      <c r="AE179" s="100">
        <v>1</v>
      </c>
      <c r="AF179" s="100"/>
      <c r="AG179" s="103">
        <v>8496</v>
      </c>
      <c r="AH179" s="103" t="s">
        <v>2068</v>
      </c>
      <c r="AI179" s="102">
        <f>IFERROR(ROUND((VLOOKUP($A179,'Из ГУГЛа'!$B:$Z,AI$1,0)+AK179)*AJ179,),VLOOKUP($A179,'Из ГУГЛа'!$B:$Z,AI$1,0))</f>
        <v>0</v>
      </c>
      <c r="AJ179" s="100">
        <v>1</v>
      </c>
      <c r="AK179" s="100"/>
      <c r="AL179" s="103"/>
      <c r="AM179" s="103"/>
      <c r="AN179" s="102">
        <f>IFERROR(ROUND((VLOOKUP($A179,'Из ГУГЛа'!$B:$Z,AN$1,0)+AP179)*AO179,),VLOOKUP($A179,'Из ГУГЛа'!$B:$Z,AN$1,0))</f>
        <v>0</v>
      </c>
      <c r="AO179" s="100">
        <v>1</v>
      </c>
      <c r="AP179" s="100"/>
      <c r="AQ179" s="103"/>
      <c r="AR179" s="103"/>
    </row>
    <row r="180" spans="1:44" ht="61.5" thickTop="1" thickBot="1" x14ac:dyDescent="0.3">
      <c r="A180" s="57">
        <v>144882</v>
      </c>
      <c r="B180" s="57">
        <f>VLOOKUP($A180,'Выгр Кат'!$A:$T,B$1,0)</f>
        <v>4000</v>
      </c>
      <c r="C180" s="58" t="str">
        <f>VLOOKUP($A180,'Выгр Кат'!$A:$T,C$1,0)</f>
        <v>Жгут проводов контроллера для ВАЗ 2113-2115 8-ми клапанный двигатель, контроллер Bosch 21114-10, 21114-20, Элкар 21114-11, Итэлма 21114-12,без датчика неровной дороги</v>
      </c>
      <c r="D180" s="57" t="str">
        <f>VLOOKUP($A180,'Выгр Кат'!$A:$T,D$1,0)</f>
        <v>Y</v>
      </c>
      <c r="E180" s="57" t="str">
        <f>VLOOKUP($A180,'Выгр Кат'!$A:$T,E$1,0)</f>
        <v>1</v>
      </c>
      <c r="F180" s="57">
        <f>VLOOKUP($A180,'Выгр Кат'!$A:$T,F$1,0)</f>
        <v>0</v>
      </c>
      <c r="G180" s="57" t="str">
        <f>VLOOKUP($A180,'Выгр Кат'!$A:$T,G$1,0)</f>
        <v>21154372402630</v>
      </c>
      <c r="H180" s="57" t="str">
        <f>VLOOKUP($A180,'Выгр Кат'!$A:$T,H$1,0)</f>
        <v>21154-3724026</v>
      </c>
      <c r="I180" s="39" t="s">
        <v>635</v>
      </c>
      <c r="J180" s="1" t="s">
        <v>526</v>
      </c>
      <c r="K180" s="47">
        <f>VLOOKUP(I180,Прайс!A:E,5,0)</f>
        <v>9000</v>
      </c>
      <c r="L180" s="7">
        <f>VLOOKUP(K180,Наценка!$A$1:$B$8,2,1)</f>
        <v>1.32</v>
      </c>
      <c r="M180" s="44">
        <f t="shared" si="42"/>
        <v>11880</v>
      </c>
      <c r="N180" s="62">
        <f t="shared" si="39"/>
        <v>11890</v>
      </c>
      <c r="O180" s="60">
        <f>VLOOKUP($A180,'Выгр Кат'!$A:$P,O$1,0)</f>
        <v>9000</v>
      </c>
      <c r="P180" s="60">
        <f>VLOOKUP($A180,'Выгр Кат'!$A:$P,P$1,0)</f>
        <v>12290</v>
      </c>
      <c r="Q180" s="73">
        <f t="shared" si="40"/>
        <v>0</v>
      </c>
      <c r="R180" s="73">
        <f t="shared" si="41"/>
        <v>400</v>
      </c>
      <c r="S180" s="97">
        <f t="shared" si="43"/>
        <v>11890</v>
      </c>
      <c r="T180" s="98">
        <f t="shared" si="44"/>
        <v>0.32111111111111112</v>
      </c>
      <c r="U180" s="98">
        <f t="shared" si="45"/>
        <v>-3.0418580466244908E-2</v>
      </c>
      <c r="V180" s="98">
        <f t="shared" si="46"/>
        <v>0.2821111111111112</v>
      </c>
      <c r="W180" s="106">
        <f t="shared" si="52"/>
        <v>11539</v>
      </c>
      <c r="X180" s="102">
        <f>IFERROR(ROUND((VLOOKUP($A180,'Из ГУГЛа'!$B:$Z,X$1,0)+Z180)*Y180,),VLOOKUP($A180,'Из ГУГЛа'!$B:$Z,X$1,0))</f>
        <v>12390</v>
      </c>
      <c r="Y180" s="75">
        <v>1</v>
      </c>
      <c r="Z180" s="75">
        <v>0</v>
      </c>
      <c r="AA180" s="63">
        <v>12390</v>
      </c>
      <c r="AB180" s="63" t="s">
        <v>1215</v>
      </c>
      <c r="AC180" s="48" t="s">
        <v>1106</v>
      </c>
      <c r="AD180" s="102">
        <f>IFERROR(ROUND((VLOOKUP($A180,'Из ГУГЛа'!$B:$Z,AD$1,0)+AF180)*AE180,),VLOOKUP($A180,'Из ГУГЛа'!$B:$Z,AD$1,0))</f>
        <v>0</v>
      </c>
      <c r="AE180" s="100">
        <v>1</v>
      </c>
      <c r="AF180" s="100"/>
      <c r="AG180" s="103">
        <v>11539</v>
      </c>
      <c r="AH180" s="103" t="s">
        <v>2069</v>
      </c>
      <c r="AI180" s="102">
        <f>IFERROR(ROUND((VLOOKUP($A180,'Из ГУГЛа'!$B:$Z,AI$1,0)+AK180)*AJ180,),VLOOKUP($A180,'Из ГУГЛа'!$B:$Z,AI$1,0))</f>
        <v>0</v>
      </c>
      <c r="AJ180" s="100">
        <v>1</v>
      </c>
      <c r="AK180" s="100"/>
      <c r="AL180" s="103"/>
      <c r="AM180" s="103"/>
      <c r="AN180" s="102">
        <f>IFERROR(ROUND((VLOOKUP($A180,'Из ГУГЛа'!$B:$Z,AN$1,0)+AP180)*AO180,),VLOOKUP($A180,'Из ГУГЛа'!$B:$Z,AN$1,0))</f>
        <v>0</v>
      </c>
      <c r="AO180" s="100">
        <v>1</v>
      </c>
      <c r="AP180" s="100"/>
      <c r="AQ180" s="103"/>
      <c r="AR180" s="103"/>
    </row>
    <row r="181" spans="1:44" ht="53.25" thickTop="1" thickBot="1" x14ac:dyDescent="0.3">
      <c r="A181" s="57">
        <v>144883</v>
      </c>
      <c r="B181" s="57">
        <f>VLOOKUP($A181,'Выгр Кат'!$A:$T,B$1,0)</f>
        <v>4001</v>
      </c>
      <c r="C181" s="58" t="str">
        <f>VLOOKUP($A181,'Выгр Кат'!$A:$T,C$1,0)</f>
        <v>Жгут проводов контроллера для ВАЗ 2113-2115 16-ти клапанный двигатель 1.6 л, контроллер BOSCH 21124-30, Автэл 21124-31, Итэлма 21124-32</v>
      </c>
      <c r="D181" s="57" t="str">
        <f>VLOOKUP($A181,'Выгр Кат'!$A:$T,D$1,0)</f>
        <v>Y</v>
      </c>
      <c r="E181" s="57" t="str">
        <f>VLOOKUP($A181,'Выгр Кат'!$A:$T,E$1,0)</f>
        <v>1</v>
      </c>
      <c r="F181" s="57">
        <f>VLOOKUP($A181,'Выгр Кат'!$A:$T,F$1,0)</f>
        <v>0</v>
      </c>
      <c r="G181" s="57" t="str">
        <f>VLOOKUP($A181,'Выгр Кат'!$A:$T,G$1,0)</f>
        <v>21154372402640</v>
      </c>
      <c r="H181" s="57" t="str">
        <f>VLOOKUP($A181,'Выгр Кат'!$A:$T,H$1,0)</f>
        <v>21154-3724026</v>
      </c>
      <c r="I181" s="39" t="s">
        <v>636</v>
      </c>
      <c r="J181" s="1" t="s">
        <v>526</v>
      </c>
      <c r="K181" s="47">
        <f>VLOOKUP(I181,Прайс!A:E,5,0)</f>
        <v>10000</v>
      </c>
      <c r="L181" s="7">
        <f>VLOOKUP(K181,Наценка!$A$1:$B$8,2,1)</f>
        <v>1.3</v>
      </c>
      <c r="M181" s="44">
        <f t="shared" si="42"/>
        <v>13000</v>
      </c>
      <c r="N181" s="62">
        <f t="shared" si="39"/>
        <v>12990</v>
      </c>
      <c r="O181" s="60">
        <f>VLOOKUP($A181,'Выгр Кат'!$A:$P,O$1,0)</f>
        <v>10000</v>
      </c>
      <c r="P181" s="60">
        <f>VLOOKUP($A181,'Выгр Кат'!$A:$P,P$1,0)</f>
        <v>12490</v>
      </c>
      <c r="Q181" s="73">
        <f t="shared" si="40"/>
        <v>0</v>
      </c>
      <c r="R181" s="73">
        <f t="shared" si="41"/>
        <v>-500</v>
      </c>
      <c r="S181" s="97">
        <f t="shared" si="43"/>
        <v>12990</v>
      </c>
      <c r="T181" s="98">
        <f t="shared" si="44"/>
        <v>0.29899999999999993</v>
      </c>
      <c r="U181" s="98">
        <f t="shared" si="45"/>
        <v>-0.18198362147406733</v>
      </c>
      <c r="V181" s="98">
        <f t="shared" si="46"/>
        <v>9.8999999999999977E-2</v>
      </c>
      <c r="W181" s="106">
        <f t="shared" si="52"/>
        <v>10990</v>
      </c>
      <c r="X181" s="102">
        <f>IFERROR(ROUND((VLOOKUP($A181,'Из ГУГЛа'!$B:$Z,X$1,0)+Z181)*Y181,),VLOOKUP($A181,'Из ГУГЛа'!$B:$Z,X$1,0))</f>
        <v>10990</v>
      </c>
      <c r="Y181" s="75">
        <v>1</v>
      </c>
      <c r="Z181" s="75">
        <v>0</v>
      </c>
      <c r="AA181" s="85">
        <v>10990</v>
      </c>
      <c r="AB181" s="63" t="s">
        <v>1215</v>
      </c>
      <c r="AC181" s="48" t="s">
        <v>804</v>
      </c>
      <c r="AD181" s="102">
        <f>IFERROR(ROUND((VLOOKUP($A181,'Из ГУГЛа'!$B:$Z,AD$1,0)+AF181)*AE181,),VLOOKUP($A181,'Из ГУГЛа'!$B:$Z,AD$1,0))</f>
        <v>0</v>
      </c>
      <c r="AE181" s="100">
        <v>1</v>
      </c>
      <c r="AF181" s="100"/>
      <c r="AG181" s="103">
        <v>11230</v>
      </c>
      <c r="AH181" s="103" t="s">
        <v>2070</v>
      </c>
      <c r="AI181" s="102">
        <f>IFERROR(ROUND((VLOOKUP($A181,'Из ГУГЛа'!$B:$Z,AI$1,0)+AK181)*AJ181,),VLOOKUP($A181,'Из ГУГЛа'!$B:$Z,AI$1,0))</f>
        <v>0</v>
      </c>
      <c r="AJ181" s="100">
        <v>1</v>
      </c>
      <c r="AK181" s="100"/>
      <c r="AL181" s="103"/>
      <c r="AM181" s="103"/>
      <c r="AN181" s="102">
        <f>IFERROR(ROUND((VLOOKUP($A181,'Из ГУГЛа'!$B:$Z,AN$1,0)+AP181)*AO181,),VLOOKUP($A181,'Из ГУГЛа'!$B:$Z,AN$1,0))</f>
        <v>0</v>
      </c>
      <c r="AO181" s="100">
        <v>1</v>
      </c>
      <c r="AP181" s="100"/>
      <c r="AQ181" s="103"/>
      <c r="AR181" s="103"/>
    </row>
    <row r="182" spans="1:44" ht="46.5" thickTop="1" thickBot="1" x14ac:dyDescent="0.3">
      <c r="A182" s="57">
        <v>144972</v>
      </c>
      <c r="B182" s="57">
        <f>VLOOKUP($A182,'Выгр Кат'!$A:$T,B$1,0)</f>
        <v>13359</v>
      </c>
      <c r="C182" s="58" t="str">
        <f>VLOOKUP($A182,'Выгр Кат'!$A:$T,C$1,0)</f>
        <v>Жгут проводов контроллера для Лада Приора 16-ти клапанный двигатель 1.6 л, контроллер BOSCH 21126-00,без кондиционера</v>
      </c>
      <c r="D182" s="57" t="str">
        <f>VLOOKUP($A182,'Выгр Кат'!$A:$T,D$1,0)</f>
        <v>Y</v>
      </c>
      <c r="E182" s="57" t="str">
        <f>VLOOKUP($A182,'Выгр Кат'!$A:$T,E$1,0)</f>
        <v>1</v>
      </c>
      <c r="F182" s="57">
        <f>VLOOKUP($A182,'Выгр Кат'!$A:$T,F$1,0)</f>
        <v>0</v>
      </c>
      <c r="G182" s="57" t="str">
        <f>VLOOKUP($A182,'Выгр Кат'!$A:$T,G$1,0)</f>
        <v>21703724026</v>
      </c>
      <c r="H182" s="57" t="str">
        <f>VLOOKUP($A182,'Выгр Кат'!$A:$T,H$1,0)</f>
        <v>2170-3724026</v>
      </c>
      <c r="I182" s="39" t="s">
        <v>713</v>
      </c>
      <c r="J182" s="1" t="s">
        <v>526</v>
      </c>
      <c r="K182" s="46">
        <f>O182</f>
        <v>9000</v>
      </c>
      <c r="L182" s="7">
        <f>VLOOKUP(K182,Наценка!$A$1:$B$8,2,1)</f>
        <v>1.32</v>
      </c>
      <c r="M182" s="44">
        <f t="shared" si="42"/>
        <v>11880</v>
      </c>
      <c r="N182" s="62">
        <f t="shared" si="39"/>
        <v>11890</v>
      </c>
      <c r="O182" s="60">
        <f>VLOOKUP($A182,'Выгр Кат'!$A:$P,O$1,0)</f>
        <v>9000</v>
      </c>
      <c r="P182" s="60">
        <f>VLOOKUP($A182,'Выгр Кат'!$A:$P,P$1,0)</f>
        <v>12290</v>
      </c>
      <c r="Q182" s="73">
        <f t="shared" si="40"/>
        <v>0</v>
      </c>
      <c r="R182" s="73">
        <f t="shared" si="41"/>
        <v>400</v>
      </c>
      <c r="S182" s="97">
        <f t="shared" si="43"/>
        <v>11890</v>
      </c>
      <c r="T182" s="98">
        <f t="shared" si="44"/>
        <v>0.32111111111111112</v>
      </c>
      <c r="U182" s="98">
        <f t="shared" si="45"/>
        <v>-0.13692866704914897</v>
      </c>
      <c r="V182" s="98">
        <f t="shared" si="46"/>
        <v>0.16199999999999992</v>
      </c>
      <c r="W182" s="106">
        <f t="shared" si="52"/>
        <v>10458</v>
      </c>
      <c r="X182" s="102">
        <f>IFERROR(ROUND((VLOOKUP($A182,'Из ГУГЛа'!$B:$Z,X$1,0)+Z182)*Y182,),VLOOKUP($A182,'Из ГУГЛа'!$B:$Z,X$1,0))</f>
        <v>12390</v>
      </c>
      <c r="Y182" s="75">
        <v>1</v>
      </c>
      <c r="Z182" s="75">
        <v>0</v>
      </c>
      <c r="AA182" s="63">
        <v>12390</v>
      </c>
      <c r="AB182" s="63" t="s">
        <v>1215</v>
      </c>
      <c r="AC182" s="48" t="s">
        <v>1048</v>
      </c>
      <c r="AD182" s="102">
        <f>IFERROR(ROUND((VLOOKUP($A182,'Из ГУГЛа'!$B:$Z,AD$1,0)+AF182)*AE182,),VLOOKUP($A182,'Из ГУГЛа'!$B:$Z,AD$1,0))</f>
        <v>0</v>
      </c>
      <c r="AE182" s="100">
        <v>1</v>
      </c>
      <c r="AF182" s="100"/>
      <c r="AG182" s="103">
        <v>10458</v>
      </c>
      <c r="AH182" s="103" t="s">
        <v>2071</v>
      </c>
      <c r="AI182" s="102">
        <f>IFERROR(ROUND((VLOOKUP($A182,'Из ГУГЛа'!$B:$Z,AI$1,0)+AK182)*AJ182,),VLOOKUP($A182,'Из ГУГЛа'!$B:$Z,AI$1,0))</f>
        <v>0</v>
      </c>
      <c r="AJ182" s="100">
        <v>1</v>
      </c>
      <c r="AK182" s="100"/>
      <c r="AL182" s="103"/>
      <c r="AM182" s="103"/>
      <c r="AN182" s="102">
        <f>IFERROR(ROUND((VLOOKUP($A182,'Из ГУГЛа'!$B:$Z,AN$1,0)+AP182)*AO182,),VLOOKUP($A182,'Из ГУГЛа'!$B:$Z,AN$1,0))</f>
        <v>0</v>
      </c>
      <c r="AO182" s="100">
        <v>1</v>
      </c>
      <c r="AP182" s="100"/>
      <c r="AQ182" s="103"/>
      <c r="AR182" s="103"/>
    </row>
    <row r="183" spans="1:44" ht="40.5" thickTop="1" thickBot="1" x14ac:dyDescent="0.3">
      <c r="A183" s="57">
        <v>144973</v>
      </c>
      <c r="B183" s="57">
        <f>VLOOKUP($A183,'Выгр Кат'!$A:$T,B$1,0)</f>
        <v>13364</v>
      </c>
      <c r="C183" s="58" t="str">
        <f>VLOOKUP($A183,'Выгр Кат'!$A:$T,C$1,0)</f>
        <v>Жгут проводов системы зажигания 2190-3724026-40 на Лада Гранта</v>
      </c>
      <c r="D183" s="57" t="str">
        <f>VLOOKUP($A183,'Выгр Кат'!$A:$T,D$1,0)</f>
        <v>Y</v>
      </c>
      <c r="E183" s="57" t="str">
        <f>VLOOKUP($A183,'Выгр Кат'!$A:$T,E$1,0)</f>
        <v>1</v>
      </c>
      <c r="F183" s="57">
        <f>VLOOKUP($A183,'Выгр Кат'!$A:$T,F$1,0)</f>
        <v>0</v>
      </c>
      <c r="G183" s="57" t="str">
        <f>VLOOKUP($A183,'Выгр Кат'!$A:$T,G$1,0)</f>
        <v>2190372402640</v>
      </c>
      <c r="H183" s="57" t="str">
        <f>VLOOKUP($A183,'Выгр Кат'!$A:$T,H$1,0)</f>
        <v>2190-3724026</v>
      </c>
      <c r="I183" s="39" t="s">
        <v>717</v>
      </c>
      <c r="J183" s="1" t="s">
        <v>526</v>
      </c>
      <c r="K183" s="47">
        <f>VLOOKUP(I183,Прайс!A:E,5,0)</f>
        <v>11000</v>
      </c>
      <c r="L183" s="7">
        <f>VLOOKUP(K183,Наценка!$A$1:$B$8,2,1)</f>
        <v>1.3</v>
      </c>
      <c r="M183" s="44">
        <f t="shared" si="42"/>
        <v>14300</v>
      </c>
      <c r="N183" s="62">
        <f t="shared" si="39"/>
        <v>14290</v>
      </c>
      <c r="O183" s="60">
        <f>VLOOKUP($A183,'Выгр Кат'!$A:$P,O$1,0)</f>
        <v>10000</v>
      </c>
      <c r="P183" s="60">
        <f>VLOOKUP($A183,'Выгр Кат'!$A:$P,P$1,0)</f>
        <v>12990</v>
      </c>
      <c r="Q183" s="73">
        <f t="shared" si="40"/>
        <v>-1000</v>
      </c>
      <c r="R183" s="73">
        <f t="shared" si="41"/>
        <v>-1300</v>
      </c>
      <c r="S183" s="97">
        <f t="shared" si="43"/>
        <v>14290</v>
      </c>
      <c r="T183" s="98">
        <f t="shared" si="44"/>
        <v>0.29909090909090907</v>
      </c>
      <c r="U183" s="98">
        <f t="shared" si="45"/>
        <v>-0.32094657053059716</v>
      </c>
      <c r="V183" s="98">
        <f t="shared" si="46"/>
        <v>-1.654545454545453E-2</v>
      </c>
      <c r="W183" s="106">
        <f t="shared" si="52"/>
        <v>10818</v>
      </c>
      <c r="X183" s="102">
        <f>IFERROR(ROUND((VLOOKUP($A183,'Из ГУГЛа'!$B:$Z,X$1,0)+Z183)*Y183,),VLOOKUP($A183,'Из ГУГЛа'!$B:$Z,X$1,0))</f>
        <v>13790</v>
      </c>
      <c r="Y183" s="75">
        <v>1</v>
      </c>
      <c r="Z183" s="75">
        <v>0</v>
      </c>
      <c r="AA183" s="63">
        <v>13790</v>
      </c>
      <c r="AB183" s="63" t="s">
        <v>1215</v>
      </c>
      <c r="AC183" s="48" t="s">
        <v>1047</v>
      </c>
      <c r="AD183" s="102">
        <f>IFERROR(ROUND((VLOOKUP($A183,'Из ГУГЛа'!$B:$Z,AD$1,0)+AF183)*AE183,),VLOOKUP($A183,'Из ГУГЛа'!$B:$Z,AD$1,0))</f>
        <v>0</v>
      </c>
      <c r="AE183" s="100">
        <v>1</v>
      </c>
      <c r="AF183" s="100"/>
      <c r="AG183" s="103">
        <v>10818</v>
      </c>
      <c r="AH183" s="103" t="s">
        <v>2072</v>
      </c>
      <c r="AI183" s="102">
        <f>IFERROR(ROUND((VLOOKUP($A183,'Из ГУГЛа'!$B:$Z,AI$1,0)+AK183)*AJ183,),VLOOKUP($A183,'Из ГУГЛа'!$B:$Z,AI$1,0))</f>
        <v>0</v>
      </c>
      <c r="AJ183" s="100">
        <v>1</v>
      </c>
      <c r="AK183" s="100"/>
      <c r="AL183" s="103"/>
      <c r="AM183" s="103"/>
      <c r="AN183" s="102">
        <f>IFERROR(ROUND((VLOOKUP($A183,'Из ГУГЛа'!$B:$Z,AN$1,0)+AP183)*AO183,),VLOOKUP($A183,'Из ГУГЛа'!$B:$Z,AN$1,0))</f>
        <v>0</v>
      </c>
      <c r="AO183" s="100">
        <v>1</v>
      </c>
      <c r="AP183" s="100"/>
      <c r="AQ183" s="103"/>
      <c r="AR183" s="103"/>
    </row>
    <row r="184" spans="1:44" ht="27.75" thickTop="1" thickBot="1" x14ac:dyDescent="0.3">
      <c r="A184" s="57">
        <v>144899</v>
      </c>
      <c r="B184" s="57">
        <f>VLOOKUP($A184,'Выгр Кат'!$A:$T,B$1,0)</f>
        <v>13391</v>
      </c>
      <c r="C184" s="58" t="str">
        <f>VLOOKUP($A184,'Выгр Кат'!$A:$T,C$1,0)</f>
        <v>Жгут проводов моторного отсека для Лада Гранта</v>
      </c>
      <c r="D184" s="57" t="str">
        <f>VLOOKUP($A184,'Выгр Кат'!$A:$T,D$1,0)</f>
        <v>Y</v>
      </c>
      <c r="E184" s="57" t="str">
        <f>VLOOKUP($A184,'Выгр Кат'!$A:$T,E$1,0)</f>
        <v>1</v>
      </c>
      <c r="F184" s="57">
        <f>VLOOKUP($A184,'Выгр Кат'!$A:$T,F$1,0)</f>
        <v>0</v>
      </c>
      <c r="G184" s="57" t="str">
        <f>VLOOKUP($A184,'Выгр Кат'!$A:$T,G$1,0)</f>
        <v>21900372401013</v>
      </c>
      <c r="H184" s="57" t="str">
        <f>VLOOKUP($A184,'Выгр Кат'!$A:$T,H$1,0)</f>
        <v>2190-3724010</v>
      </c>
      <c r="I184" s="39"/>
      <c r="J184" s="1" t="s">
        <v>526</v>
      </c>
      <c r="K184" s="46">
        <f>O184</f>
        <v>8000</v>
      </c>
      <c r="L184" s="7">
        <f>VLOOKUP(K184,Наценка!$A$1:$B$8,2,1)</f>
        <v>1.32</v>
      </c>
      <c r="M184" s="44">
        <f t="shared" si="42"/>
        <v>10560</v>
      </c>
      <c r="N184" s="62">
        <f t="shared" si="39"/>
        <v>10590</v>
      </c>
      <c r="O184" s="60">
        <f>VLOOKUP($A184,'Выгр Кат'!$A:$P,O$1,0)</f>
        <v>8000</v>
      </c>
      <c r="P184" s="60">
        <f>VLOOKUP($A184,'Выгр Кат'!$A:$P,P$1,0)</f>
        <v>9990</v>
      </c>
      <c r="Q184" s="73">
        <f t="shared" si="40"/>
        <v>0</v>
      </c>
      <c r="R184" s="73">
        <f t="shared" si="41"/>
        <v>-600</v>
      </c>
      <c r="S184" s="97">
        <f t="shared" si="43"/>
        <v>10590</v>
      </c>
      <c r="T184" s="98">
        <f t="shared" si="44"/>
        <v>0.32374999999999998</v>
      </c>
      <c r="U184" s="98" t="str">
        <f t="shared" si="45"/>
        <v/>
      </c>
      <c r="V184" s="98" t="str">
        <f t="shared" si="46"/>
        <v/>
      </c>
      <c r="W184" s="103"/>
      <c r="X184" s="102">
        <f>IFERROR(ROUND((VLOOKUP($A184,'Из ГУГЛа'!$B:$Z,X$1,0)+Z184)*Y184,),VLOOKUP($A184,'Из ГУГЛа'!$B:$Z,X$1,0))</f>
        <v>9390</v>
      </c>
      <c r="Y184" s="75">
        <v>1</v>
      </c>
      <c r="Z184" s="75">
        <v>0</v>
      </c>
      <c r="AA184" s="85">
        <v>9390</v>
      </c>
      <c r="AB184" s="63" t="s">
        <v>1215</v>
      </c>
      <c r="AC184" s="48" t="s">
        <v>805</v>
      </c>
      <c r="AD184" s="102">
        <f>IFERROR(ROUND((VLOOKUP($A184,'Из ГУГЛа'!$B:$Z,AD$1,0)+AF184)*AE184,),VLOOKUP($A184,'Из ГУГЛа'!$B:$Z,AD$1,0))</f>
        <v>0</v>
      </c>
      <c r="AE184" s="100">
        <v>1</v>
      </c>
      <c r="AF184" s="100"/>
      <c r="AG184" s="103" t="s">
        <v>1017</v>
      </c>
      <c r="AH184" s="103"/>
      <c r="AI184" s="102">
        <f>IFERROR(ROUND((VLOOKUP($A184,'Из ГУГЛа'!$B:$Z,AI$1,0)+AK184)*AJ184,),VLOOKUP($A184,'Из ГУГЛа'!$B:$Z,AI$1,0))</f>
        <v>0</v>
      </c>
      <c r="AJ184" s="100">
        <v>1</v>
      </c>
      <c r="AK184" s="100"/>
      <c r="AL184" s="103"/>
      <c r="AM184" s="103"/>
      <c r="AN184" s="102">
        <f>IFERROR(ROUND((VLOOKUP($A184,'Из ГУГЛа'!$B:$Z,AN$1,0)+AP184)*AO184,),VLOOKUP($A184,'Из ГУГЛа'!$B:$Z,AN$1,0))</f>
        <v>0</v>
      </c>
      <c r="AO184" s="100">
        <v>1</v>
      </c>
      <c r="AP184" s="100"/>
      <c r="AQ184" s="103"/>
      <c r="AR184" s="103"/>
    </row>
    <row r="185" spans="1:44" ht="40.5" thickTop="1" thickBot="1" x14ac:dyDescent="0.3">
      <c r="A185" s="57">
        <v>144997</v>
      </c>
      <c r="B185" s="57">
        <f>VLOOKUP($A185,'Выгр Кат'!$A:$T,B$1,0)</f>
        <v>13389</v>
      </c>
      <c r="C185" s="58" t="str">
        <f>VLOOKUP($A185,'Выгр Кат'!$A:$T,C$1,0)</f>
        <v>Жгут проводов фар и генератора для Лада Гранта</v>
      </c>
      <c r="D185" s="57" t="str">
        <f>VLOOKUP($A185,'Выгр Кат'!$A:$T,D$1,0)</f>
        <v>Y</v>
      </c>
      <c r="E185" s="57" t="str">
        <f>VLOOKUP($A185,'Выгр Кат'!$A:$T,E$1,0)</f>
        <v>1</v>
      </c>
      <c r="F185" s="57">
        <f>VLOOKUP($A185,'Выгр Кат'!$A:$T,F$1,0)</f>
        <v>0</v>
      </c>
      <c r="G185" s="57" t="str">
        <f>VLOOKUP($A185,'Выгр Кат'!$A:$T,G$1,0)</f>
        <v>21904372401000</v>
      </c>
      <c r="H185" s="57" t="str">
        <f>VLOOKUP($A185,'Выгр Кат'!$A:$T,H$1,0)</f>
        <v>21904-3724010</v>
      </c>
      <c r="I185" s="39" t="s">
        <v>739</v>
      </c>
      <c r="J185" s="1" t="s">
        <v>526</v>
      </c>
      <c r="K185" s="47">
        <f>VLOOKUP(I185,Прайс!A:E,5,0)</f>
        <v>8000</v>
      </c>
      <c r="L185" s="7">
        <f>VLOOKUP(K185,Наценка!$A$1:$B$8,2,1)</f>
        <v>1.32</v>
      </c>
      <c r="M185" s="44">
        <f t="shared" si="42"/>
        <v>10560</v>
      </c>
      <c r="N185" s="62">
        <f t="shared" si="39"/>
        <v>10590</v>
      </c>
      <c r="O185" s="60">
        <f>VLOOKUP($A185,'Выгр Кат'!$A:$P,O$1,0)</f>
        <v>8000</v>
      </c>
      <c r="P185" s="60">
        <f>VLOOKUP($A185,'Выгр Кат'!$A:$P,P$1,0)</f>
        <v>10890</v>
      </c>
      <c r="Q185" s="73">
        <f t="shared" si="40"/>
        <v>0</v>
      </c>
      <c r="R185" s="73">
        <f t="shared" si="41"/>
        <v>300</v>
      </c>
      <c r="S185" s="97">
        <f t="shared" si="43"/>
        <v>10590</v>
      </c>
      <c r="T185" s="98">
        <f t="shared" si="44"/>
        <v>0.32374999999999998</v>
      </c>
      <c r="U185" s="98">
        <f t="shared" si="45"/>
        <v>1.1318619128466328E-3</v>
      </c>
      <c r="V185" s="98">
        <f t="shared" si="46"/>
        <v>0.32525000000000004</v>
      </c>
      <c r="W185" s="106">
        <f t="shared" ref="W185:W190" si="53">MIN(AA185,AG185,AL185,AQ185)</f>
        <v>10602</v>
      </c>
      <c r="X185" s="102">
        <f>IFERROR(ROUND((VLOOKUP($A185,'Из ГУГЛа'!$B:$Z,X$1,0)+Z185)*Y185,),VLOOKUP($A185,'Из ГУГЛа'!$B:$Z,X$1,0))</f>
        <v>10990</v>
      </c>
      <c r="Y185" s="75">
        <v>1</v>
      </c>
      <c r="Z185" s="75">
        <v>0</v>
      </c>
      <c r="AA185" s="85">
        <v>10990</v>
      </c>
      <c r="AB185" s="63" t="s">
        <v>1215</v>
      </c>
      <c r="AC185" s="48" t="s">
        <v>806</v>
      </c>
      <c r="AD185" s="102">
        <f>IFERROR(ROUND((VLOOKUP($A185,'Из ГУГЛа'!$B:$Z,AD$1,0)+AF185)*AE185,),VLOOKUP($A185,'Из ГУГЛа'!$B:$Z,AD$1,0))</f>
        <v>0</v>
      </c>
      <c r="AE185" s="100">
        <v>1</v>
      </c>
      <c r="AF185" s="100"/>
      <c r="AG185" s="103">
        <v>10602</v>
      </c>
      <c r="AH185" s="103" t="s">
        <v>2073</v>
      </c>
      <c r="AI185" s="102">
        <f>IFERROR(ROUND((VLOOKUP($A185,'Из ГУГЛа'!$B:$Z,AI$1,0)+AK185)*AJ185,),VLOOKUP($A185,'Из ГУГЛа'!$B:$Z,AI$1,0))</f>
        <v>0</v>
      </c>
      <c r="AJ185" s="100">
        <v>1</v>
      </c>
      <c r="AK185" s="100"/>
      <c r="AL185" s="103"/>
      <c r="AM185" s="103"/>
      <c r="AN185" s="102">
        <f>IFERROR(ROUND((VLOOKUP($A185,'Из ГУГЛа'!$B:$Z,AN$1,0)+AP185)*AO185,),VLOOKUP($A185,'Из ГУГЛа'!$B:$Z,AN$1,0))</f>
        <v>0</v>
      </c>
      <c r="AO185" s="100">
        <v>1</v>
      </c>
      <c r="AP185" s="100"/>
      <c r="AQ185" s="103"/>
      <c r="AR185" s="103"/>
    </row>
    <row r="186" spans="1:44" ht="40.5" thickTop="1" thickBot="1" x14ac:dyDescent="0.3">
      <c r="A186" s="57">
        <v>144999</v>
      </c>
      <c r="B186" s="57">
        <f>VLOOKUP($A186,'Выгр Кат'!$A:$T,B$1,0)</f>
        <v>13388</v>
      </c>
      <c r="C186" s="58" t="str">
        <f>VLOOKUP($A186,'Выгр Кат'!$A:$T,C$1,0)</f>
        <v>Жгут проводов фар и генератора  на Лада Гранта</v>
      </c>
      <c r="D186" s="57" t="str">
        <f>VLOOKUP($A186,'Выгр Кат'!$A:$T,D$1,0)</f>
        <v>Y</v>
      </c>
      <c r="E186" s="57" t="str">
        <f>VLOOKUP($A186,'Выгр Кат'!$A:$T,E$1,0)</f>
        <v>1</v>
      </c>
      <c r="F186" s="57">
        <f>VLOOKUP($A186,'Выгр Кат'!$A:$T,F$1,0)</f>
        <v>0</v>
      </c>
      <c r="G186" s="57" t="str">
        <f>VLOOKUP($A186,'Выгр Кат'!$A:$T,G$1,0)</f>
        <v>21920372401012</v>
      </c>
      <c r="H186" s="57" t="str">
        <f>VLOOKUP($A186,'Выгр Кат'!$A:$T,H$1,0)</f>
        <v>2192-3724010</v>
      </c>
      <c r="I186" s="39" t="s">
        <v>570</v>
      </c>
      <c r="J186" s="1" t="s">
        <v>526</v>
      </c>
      <c r="K186" s="47">
        <f>VLOOKUP(I186,Прайс!A:E,5,0)</f>
        <v>8000</v>
      </c>
      <c r="L186" s="7">
        <f>VLOOKUP(K186,Наценка!$A$1:$B$8,2,1)</f>
        <v>1.32</v>
      </c>
      <c r="M186" s="44">
        <f t="shared" si="42"/>
        <v>10560</v>
      </c>
      <c r="N186" s="62">
        <f t="shared" si="39"/>
        <v>10590</v>
      </c>
      <c r="O186" s="60">
        <f>VLOOKUP($A186,'Выгр Кат'!$A:$P,O$1,0)</f>
        <v>8000</v>
      </c>
      <c r="P186" s="60">
        <f>VLOOKUP($A186,'Выгр Кат'!$A:$P,P$1,0)</f>
        <v>10890</v>
      </c>
      <c r="Q186" s="73">
        <f t="shared" si="40"/>
        <v>0</v>
      </c>
      <c r="R186" s="73">
        <f t="shared" si="41"/>
        <v>300</v>
      </c>
      <c r="S186" s="97">
        <f t="shared" si="43"/>
        <v>10590</v>
      </c>
      <c r="T186" s="98">
        <f t="shared" si="44"/>
        <v>0.32374999999999998</v>
      </c>
      <c r="U186" s="98">
        <f t="shared" si="45"/>
        <v>1.1318619128466328E-3</v>
      </c>
      <c r="V186" s="98">
        <f t="shared" si="46"/>
        <v>0.32525000000000004</v>
      </c>
      <c r="W186" s="106">
        <f t="shared" si="53"/>
        <v>10602</v>
      </c>
      <c r="X186" s="102">
        <f>IFERROR(ROUND((VLOOKUP($A186,'Из ГУГЛа'!$B:$Z,X$1,0)+Z186)*Y186,),VLOOKUP($A186,'Из ГУГЛа'!$B:$Z,X$1,0))</f>
        <v>10990</v>
      </c>
      <c r="Y186" s="75">
        <v>1</v>
      </c>
      <c r="Z186" s="75">
        <v>0</v>
      </c>
      <c r="AA186" s="85">
        <v>10990</v>
      </c>
      <c r="AB186" s="63" t="s">
        <v>1215</v>
      </c>
      <c r="AC186" s="48" t="s">
        <v>807</v>
      </c>
      <c r="AD186" s="102">
        <f>IFERROR(ROUND((VLOOKUP($A186,'Из ГУГЛа'!$B:$Z,AD$1,0)+AF186)*AE186,),VLOOKUP($A186,'Из ГУГЛа'!$B:$Z,AD$1,0))</f>
        <v>0</v>
      </c>
      <c r="AE186" s="100">
        <v>1</v>
      </c>
      <c r="AF186" s="100"/>
      <c r="AG186" s="103">
        <v>10602</v>
      </c>
      <c r="AH186" s="103" t="s">
        <v>2074</v>
      </c>
      <c r="AI186" s="102">
        <f>IFERROR(ROUND((VLOOKUP($A186,'Из ГУГЛа'!$B:$Z,AI$1,0)+AK186)*AJ186,),VLOOKUP($A186,'Из ГУГЛа'!$B:$Z,AI$1,0))</f>
        <v>0</v>
      </c>
      <c r="AJ186" s="100">
        <v>1</v>
      </c>
      <c r="AK186" s="100"/>
      <c r="AL186" s="103"/>
      <c r="AM186" s="103"/>
      <c r="AN186" s="102">
        <f>IFERROR(ROUND((VLOOKUP($A186,'Из ГУГЛа'!$B:$Z,AN$1,0)+AP186)*AO186,),VLOOKUP($A186,'Из ГУГЛа'!$B:$Z,AN$1,0))</f>
        <v>0</v>
      </c>
      <c r="AO186" s="100">
        <v>1</v>
      </c>
      <c r="AP186" s="100"/>
      <c r="AQ186" s="103"/>
      <c r="AR186" s="103"/>
    </row>
    <row r="187" spans="1:44" ht="53.25" thickTop="1" thickBot="1" x14ac:dyDescent="0.3">
      <c r="A187" s="57">
        <v>145003</v>
      </c>
      <c r="B187" s="57">
        <f>VLOOKUP($A187,'Выгр Кат'!$A:$T,B$1,0)</f>
        <v>13419</v>
      </c>
      <c r="C187" s="58" t="str">
        <f>VLOOKUP($A187,'Выгр Кат'!$A:$T,C$1,0)</f>
        <v>Жгут проводов фар и генератора 31631-3724020 на УАЗ Патриот с АБС и кондиционером</v>
      </c>
      <c r="D187" s="57" t="str">
        <f>VLOOKUP($A187,'Выгр Кат'!$A:$T,D$1,0)</f>
        <v>Y</v>
      </c>
      <c r="E187" s="57" t="str">
        <f>VLOOKUP($A187,'Выгр Кат'!$A:$T,E$1,0)</f>
        <v>1</v>
      </c>
      <c r="F187" s="57">
        <f>VLOOKUP($A187,'Выгр Кат'!$A:$T,F$1,0)</f>
        <v>0</v>
      </c>
      <c r="G187" s="57">
        <f>VLOOKUP($A187,'Выгр Кат'!$A:$T,G$1,0)</f>
        <v>0</v>
      </c>
      <c r="H187" s="57">
        <f>VLOOKUP($A187,'Выгр Кат'!$A:$T,H$1,0)</f>
        <v>0</v>
      </c>
      <c r="I187" s="39" t="s">
        <v>741</v>
      </c>
      <c r="J187" s="1" t="s">
        <v>526</v>
      </c>
      <c r="K187" s="47">
        <f>VLOOKUP(I187,Прайс!A:E,5,0)</f>
        <v>10000</v>
      </c>
      <c r="L187" s="7">
        <f>VLOOKUP(K187,Наценка!$A$1:$B$8,2,1)</f>
        <v>1.3</v>
      </c>
      <c r="M187" s="44">
        <f t="shared" si="42"/>
        <v>13000</v>
      </c>
      <c r="N187" s="62">
        <f t="shared" si="39"/>
        <v>12990</v>
      </c>
      <c r="O187" s="60">
        <f>VLOOKUP($A187,'Выгр Кат'!$A:$P,O$1,0)</f>
        <v>10000</v>
      </c>
      <c r="P187" s="60">
        <f>VLOOKUP($A187,'Выгр Кат'!$A:$P,P$1,0)</f>
        <v>12990</v>
      </c>
      <c r="Q187" s="73">
        <f t="shared" si="40"/>
        <v>0</v>
      </c>
      <c r="R187" s="73">
        <f t="shared" si="41"/>
        <v>0</v>
      </c>
      <c r="S187" s="97">
        <f t="shared" si="43"/>
        <v>12990</v>
      </c>
      <c r="T187" s="98">
        <f t="shared" si="44"/>
        <v>0.29899999999999993</v>
      </c>
      <c r="U187" s="98">
        <f t="shared" si="45"/>
        <v>-0.20077648363838047</v>
      </c>
      <c r="V187" s="98">
        <f t="shared" si="46"/>
        <v>8.1800000000000095E-2</v>
      </c>
      <c r="W187" s="106">
        <f t="shared" si="53"/>
        <v>10818</v>
      </c>
      <c r="X187" s="102">
        <f>IFERROR(ROUND((VLOOKUP($A187,'Из ГУГЛа'!$B:$Z,X$1,0)+Z187)*Y187,),VLOOKUP($A187,'Из ГУГЛа'!$B:$Z,X$1,0))</f>
        <v>13790</v>
      </c>
      <c r="Y187" s="75">
        <v>1</v>
      </c>
      <c r="Z187" s="75">
        <v>0</v>
      </c>
      <c r="AA187" s="63">
        <v>13790</v>
      </c>
      <c r="AB187" s="63" t="s">
        <v>1215</v>
      </c>
      <c r="AC187" s="48" t="s">
        <v>1046</v>
      </c>
      <c r="AD187" s="102">
        <f>IFERROR(ROUND((VLOOKUP($A187,'Из ГУГЛа'!$B:$Z,AD$1,0)+AF187)*AE187,),VLOOKUP($A187,'Из ГУГЛа'!$B:$Z,AD$1,0))</f>
        <v>0</v>
      </c>
      <c r="AE187" s="100">
        <v>1</v>
      </c>
      <c r="AF187" s="100"/>
      <c r="AG187" s="103">
        <v>10818</v>
      </c>
      <c r="AH187" s="103" t="s">
        <v>2075</v>
      </c>
      <c r="AI187" s="102">
        <f>IFERROR(ROUND((VLOOKUP($A187,'Из ГУГЛа'!$B:$Z,AI$1,0)+AK187)*AJ187,),VLOOKUP($A187,'Из ГУГЛа'!$B:$Z,AI$1,0))</f>
        <v>0</v>
      </c>
      <c r="AJ187" s="100">
        <v>1</v>
      </c>
      <c r="AK187" s="100"/>
      <c r="AL187" s="103"/>
      <c r="AM187" s="103"/>
      <c r="AN187" s="102">
        <f>IFERROR(ROUND((VLOOKUP($A187,'Из ГУГЛа'!$B:$Z,AN$1,0)+AP187)*AO187,),VLOOKUP($A187,'Из ГУГЛа'!$B:$Z,AN$1,0))</f>
        <v>0</v>
      </c>
      <c r="AO187" s="100">
        <v>1</v>
      </c>
      <c r="AP187" s="100"/>
      <c r="AQ187" s="103"/>
      <c r="AR187" s="103"/>
    </row>
    <row r="188" spans="1:44" ht="40.5" thickTop="1" thickBot="1" x14ac:dyDescent="0.3">
      <c r="A188" s="57">
        <v>144974</v>
      </c>
      <c r="B188" s="57">
        <f>VLOOKUP($A188,'Выгр Кат'!$A:$T,B$1,0)</f>
        <v>13367</v>
      </c>
      <c r="C188" s="58" t="str">
        <f>VLOOKUP($A188,'Выгр Кат'!$A:$T,C$1,0)</f>
        <v>Жгут проводов системы зажигания для Лада Гранта</v>
      </c>
      <c r="D188" s="57" t="str">
        <f>VLOOKUP($A188,'Выгр Кат'!$A:$T,D$1,0)</f>
        <v>Y</v>
      </c>
      <c r="E188" s="57" t="str">
        <f>VLOOKUP($A188,'Выгр Кат'!$A:$T,E$1,0)</f>
        <v>1</v>
      </c>
      <c r="F188" s="57">
        <f>VLOOKUP($A188,'Выгр Кат'!$A:$T,F$1,0)</f>
        <v>0</v>
      </c>
      <c r="G188" s="57" t="str">
        <f>VLOOKUP($A188,'Выгр Кат'!$A:$T,G$1,0)</f>
        <v>21903372402645</v>
      </c>
      <c r="H188" s="57" t="str">
        <f>VLOOKUP($A188,'Выгр Кат'!$A:$T,H$1,0)</f>
        <v>21903-3724026</v>
      </c>
      <c r="I188" s="39" t="s">
        <v>720</v>
      </c>
      <c r="J188" s="1" t="s">
        <v>526</v>
      </c>
      <c r="K188" s="47">
        <f>VLOOKUP(I188,Прайс!A:E,5,0)</f>
        <v>15000</v>
      </c>
      <c r="L188" s="7">
        <f>VLOOKUP(K188,Наценка!$A$1:$B$8,2,1)</f>
        <v>1.3</v>
      </c>
      <c r="M188" s="44">
        <f t="shared" si="42"/>
        <v>19500</v>
      </c>
      <c r="N188" s="62">
        <f t="shared" si="39"/>
        <v>19490</v>
      </c>
      <c r="O188" s="60">
        <f>VLOOKUP($A188,'Выгр Кат'!$A:$P,O$1,0)</f>
        <v>13000</v>
      </c>
      <c r="P188" s="60">
        <f>VLOOKUP($A188,'Выгр Кат'!$A:$P,P$1,0)</f>
        <v>16890</v>
      </c>
      <c r="Q188" s="73">
        <f t="shared" si="40"/>
        <v>-2000</v>
      </c>
      <c r="R188" s="73">
        <f t="shared" si="41"/>
        <v>-2600</v>
      </c>
      <c r="S188" s="97">
        <f t="shared" si="43"/>
        <v>19490</v>
      </c>
      <c r="T188" s="98">
        <f t="shared" si="44"/>
        <v>0.29933333333333323</v>
      </c>
      <c r="U188" s="98">
        <f t="shared" si="45"/>
        <v>-0.43245626929295899</v>
      </c>
      <c r="V188" s="98">
        <f t="shared" si="46"/>
        <v>-9.2933333333333312E-2</v>
      </c>
      <c r="W188" s="106">
        <f t="shared" si="53"/>
        <v>13606</v>
      </c>
      <c r="X188" s="102">
        <f>IFERROR(ROUND((VLOOKUP($A188,'Из ГУГЛа'!$B:$Z,X$1,0)+Z188)*Y188,),VLOOKUP($A188,'Из ГУГЛа'!$B:$Z,X$1,0))</f>
        <v>17890</v>
      </c>
      <c r="Y188" s="75">
        <v>1</v>
      </c>
      <c r="Z188" s="75">
        <v>0</v>
      </c>
      <c r="AA188" s="63">
        <v>17890</v>
      </c>
      <c r="AB188" s="63" t="s">
        <v>1215</v>
      </c>
      <c r="AC188" s="48" t="s">
        <v>884</v>
      </c>
      <c r="AD188" s="102">
        <f>IFERROR(ROUND((VLOOKUP($A188,'Из ГУГЛа'!$B:$Z,AD$1,0)+AF188)*AE188,),VLOOKUP($A188,'Из ГУГЛа'!$B:$Z,AD$1,0))</f>
        <v>0</v>
      </c>
      <c r="AE188" s="100">
        <v>1</v>
      </c>
      <c r="AF188" s="100"/>
      <c r="AG188" s="103">
        <v>13606</v>
      </c>
      <c r="AH188" s="103" t="s">
        <v>1975</v>
      </c>
      <c r="AI188" s="102">
        <f>IFERROR(ROUND((VLOOKUP($A188,'Из ГУГЛа'!$B:$Z,AI$1,0)+AK188)*AJ188,),VLOOKUP($A188,'Из ГУГЛа'!$B:$Z,AI$1,0))</f>
        <v>0</v>
      </c>
      <c r="AJ188" s="100">
        <v>1</v>
      </c>
      <c r="AK188" s="100"/>
      <c r="AL188" s="103"/>
      <c r="AM188" s="103"/>
      <c r="AN188" s="102">
        <f>IFERROR(ROUND((VLOOKUP($A188,'Из ГУГЛа'!$B:$Z,AN$1,0)+AP188)*AO188,),VLOOKUP($A188,'Из ГУГЛа'!$B:$Z,AN$1,0))</f>
        <v>0</v>
      </c>
      <c r="AO188" s="100">
        <v>1</v>
      </c>
      <c r="AP188" s="100"/>
      <c r="AQ188" s="103"/>
      <c r="AR188" s="103"/>
    </row>
    <row r="189" spans="1:44" ht="40.5" thickTop="1" thickBot="1" x14ac:dyDescent="0.3">
      <c r="A189" s="57">
        <v>144995</v>
      </c>
      <c r="B189" s="57">
        <f>VLOOKUP($A189,'Выгр Кат'!$A:$T,B$1,0)</f>
        <v>13383</v>
      </c>
      <c r="C189" s="58" t="str">
        <f>VLOOKUP($A189,'Выгр Кат'!$A:$T,C$1,0)</f>
        <v>Жгут проводов фар и генератора для Лада Гранта</v>
      </c>
      <c r="D189" s="57" t="str">
        <f>VLOOKUP($A189,'Выгр Кат'!$A:$T,D$1,0)</f>
        <v>Y</v>
      </c>
      <c r="E189" s="57" t="str">
        <f>VLOOKUP($A189,'Выгр Кат'!$A:$T,E$1,0)</f>
        <v>1</v>
      </c>
      <c r="F189" s="57">
        <f>VLOOKUP($A189,'Выгр Кат'!$A:$T,F$1,0)</f>
        <v>0</v>
      </c>
      <c r="G189" s="57" t="str">
        <f>VLOOKUP($A189,'Выгр Кат'!$A:$T,G$1,0)</f>
        <v>2190372401003</v>
      </c>
      <c r="H189" s="57" t="str">
        <f>VLOOKUP($A189,'Выгр Кат'!$A:$T,H$1,0)</f>
        <v>2190-3724010</v>
      </c>
      <c r="I189" s="39" t="s">
        <v>736</v>
      </c>
      <c r="J189" s="1" t="s">
        <v>526</v>
      </c>
      <c r="K189" s="47">
        <f>VLOOKUP(I189,Прайс!A:E,5,0)</f>
        <v>8000</v>
      </c>
      <c r="L189" s="7">
        <f>VLOOKUP(K189,Наценка!$A$1:$B$8,2,1)</f>
        <v>1.32</v>
      </c>
      <c r="M189" s="44">
        <f t="shared" si="42"/>
        <v>10560</v>
      </c>
      <c r="N189" s="62">
        <f t="shared" si="39"/>
        <v>10590</v>
      </c>
      <c r="O189" s="60">
        <f>VLOOKUP($A189,'Выгр Кат'!$A:$P,O$1,0)</f>
        <v>8000</v>
      </c>
      <c r="P189" s="60">
        <f>VLOOKUP($A189,'Выгр Кат'!$A:$P,P$1,0)</f>
        <v>10890</v>
      </c>
      <c r="Q189" s="73">
        <f t="shared" si="40"/>
        <v>0</v>
      </c>
      <c r="R189" s="73">
        <f t="shared" si="41"/>
        <v>300</v>
      </c>
      <c r="S189" s="97">
        <f t="shared" si="43"/>
        <v>10590</v>
      </c>
      <c r="T189" s="98">
        <f t="shared" si="44"/>
        <v>0.32374999999999998</v>
      </c>
      <c r="U189" s="98">
        <f t="shared" si="45"/>
        <v>2.4502579218865145E-2</v>
      </c>
      <c r="V189" s="98">
        <f t="shared" si="46"/>
        <v>0.35699999999999998</v>
      </c>
      <c r="W189" s="106">
        <f t="shared" si="53"/>
        <v>10856</v>
      </c>
      <c r="X189" s="102">
        <f>IFERROR(ROUND((VLOOKUP($A189,'Из ГУГЛа'!$B:$Z,X$1,0)+Z189)*Y189,),VLOOKUP($A189,'Из ГУГЛа'!$B:$Z,X$1,0))</f>
        <v>10990</v>
      </c>
      <c r="Y189" s="75">
        <v>1</v>
      </c>
      <c r="Z189" s="75">
        <v>0</v>
      </c>
      <c r="AA189" s="85">
        <v>10990</v>
      </c>
      <c r="AB189" s="63" t="s">
        <v>1215</v>
      </c>
      <c r="AC189" s="48" t="s">
        <v>808</v>
      </c>
      <c r="AD189" s="102">
        <f>IFERROR(ROUND((VLOOKUP($A189,'Из ГУГЛа'!$B:$Z,AD$1,0)+AF189)*AE189,),VLOOKUP($A189,'Из ГУГЛа'!$B:$Z,AD$1,0))</f>
        <v>0</v>
      </c>
      <c r="AE189" s="100">
        <v>1</v>
      </c>
      <c r="AF189" s="100"/>
      <c r="AG189" s="103">
        <v>10856</v>
      </c>
      <c r="AH189" s="103" t="s">
        <v>1976</v>
      </c>
      <c r="AI189" s="102">
        <f>IFERROR(ROUND((VLOOKUP($A189,'Из ГУГЛа'!$B:$Z,AI$1,0)+AK189)*AJ189,),VLOOKUP($A189,'Из ГУГЛа'!$B:$Z,AI$1,0))</f>
        <v>0</v>
      </c>
      <c r="AJ189" s="100">
        <v>1</v>
      </c>
      <c r="AK189" s="100"/>
      <c r="AL189" s="103"/>
      <c r="AM189" s="103"/>
      <c r="AN189" s="102">
        <f>IFERROR(ROUND((VLOOKUP($A189,'Из ГУГЛа'!$B:$Z,AN$1,0)+AP189)*AO189,),VLOOKUP($A189,'Из ГУГЛа'!$B:$Z,AN$1,0))</f>
        <v>0</v>
      </c>
      <c r="AO189" s="100">
        <v>1</v>
      </c>
      <c r="AP189" s="100"/>
      <c r="AQ189" s="103"/>
      <c r="AR189" s="103"/>
    </row>
    <row r="190" spans="1:44" ht="53.25" thickTop="1" thickBot="1" x14ac:dyDescent="0.3">
      <c r="A190" s="57">
        <v>144928</v>
      </c>
      <c r="B190" s="57">
        <f>VLOOKUP($A190,'Выгр Кат'!$A:$T,B$1,0)</f>
        <v>13313</v>
      </c>
      <c r="C190" s="58" t="str">
        <f>VLOOKUP($A190,'Выгр Кат'!$A:$T,C$1,0)</f>
        <v>Жгут проводов панели приборов 1118 в сборе с монтажным блоком для Лада Калина</v>
      </c>
      <c r="D190" s="57" t="str">
        <f>VLOOKUP($A190,'Выгр Кат'!$A:$T,D$1,0)</f>
        <v>Y</v>
      </c>
      <c r="E190" s="57" t="str">
        <f>VLOOKUP($A190,'Выгр Кат'!$A:$T,E$1,0)</f>
        <v>1</v>
      </c>
      <c r="F190" s="57">
        <f>VLOOKUP($A190,'Выгр Кат'!$A:$T,F$1,0)</f>
        <v>0</v>
      </c>
      <c r="G190" s="57" t="str">
        <f>VLOOKUP($A190,'Выгр Кат'!$A:$T,G$1,0)</f>
        <v>11183724030</v>
      </c>
      <c r="H190" s="57" t="str">
        <f>VLOOKUP($A190,'Выгр Кат'!$A:$T,H$1,0)</f>
        <v>1118-3724030</v>
      </c>
      <c r="I190" s="39" t="s">
        <v>650</v>
      </c>
      <c r="J190" s="1" t="s">
        <v>526</v>
      </c>
      <c r="K190" s="47">
        <f>VLOOKUP(I190,Прайс!A:E,5,0)</f>
        <v>10000</v>
      </c>
      <c r="L190" s="7">
        <f>VLOOKUP(K190,Наценка!$A$1:$B$8,2,1)</f>
        <v>1.3</v>
      </c>
      <c r="M190" s="44">
        <f t="shared" si="42"/>
        <v>13000</v>
      </c>
      <c r="N190" s="62">
        <f t="shared" si="39"/>
        <v>12990</v>
      </c>
      <c r="O190" s="60">
        <f>VLOOKUP($A190,'Выгр Кат'!$A:$P,O$1,0)</f>
        <v>10000</v>
      </c>
      <c r="P190" s="60">
        <f>VLOOKUP($A190,'Выгр Кат'!$A:$P,P$1,0)</f>
        <v>13690</v>
      </c>
      <c r="Q190" s="73">
        <f t="shared" si="40"/>
        <v>0</v>
      </c>
      <c r="R190" s="73">
        <f t="shared" si="41"/>
        <v>700</v>
      </c>
      <c r="S190" s="97">
        <f t="shared" si="43"/>
        <v>12990</v>
      </c>
      <c r="T190" s="98">
        <f t="shared" si="44"/>
        <v>0.29899999999999993</v>
      </c>
      <c r="U190" s="98">
        <f t="shared" si="45"/>
        <v>-2.1601604690634161E-3</v>
      </c>
      <c r="V190" s="98">
        <f t="shared" si="46"/>
        <v>0.29620000000000002</v>
      </c>
      <c r="W190" s="106">
        <f t="shared" si="53"/>
        <v>12962</v>
      </c>
      <c r="X190" s="102">
        <f>IFERROR(ROUND((VLOOKUP($A190,'Из ГУГЛа'!$B:$Z,X$1,0)+Z190)*Y190,),VLOOKUP($A190,'Из ГУГЛа'!$B:$Z,X$1,0))</f>
        <v>13790</v>
      </c>
      <c r="Y190" s="75">
        <v>1</v>
      </c>
      <c r="Z190" s="75">
        <v>0</v>
      </c>
      <c r="AA190" s="63">
        <v>13790</v>
      </c>
      <c r="AB190" s="63" t="s">
        <v>1215</v>
      </c>
      <c r="AC190" s="48" t="s">
        <v>1045</v>
      </c>
      <c r="AD190" s="102">
        <f>IFERROR(ROUND((VLOOKUP($A190,'Из ГУГЛа'!$B:$Z,AD$1,0)+AF190)*AE190,),VLOOKUP($A190,'Из ГУГЛа'!$B:$Z,AD$1,0))</f>
        <v>0</v>
      </c>
      <c r="AE190" s="100">
        <v>1</v>
      </c>
      <c r="AF190" s="100"/>
      <c r="AG190" s="103">
        <v>12962</v>
      </c>
      <c r="AH190" s="103" t="s">
        <v>1977</v>
      </c>
      <c r="AI190" s="102">
        <f>IFERROR(ROUND((VLOOKUP($A190,'Из ГУГЛа'!$B:$Z,AI$1,0)+AK190)*AJ190,),VLOOKUP($A190,'Из ГУГЛа'!$B:$Z,AI$1,0))</f>
        <v>0</v>
      </c>
      <c r="AJ190" s="100">
        <v>1</v>
      </c>
      <c r="AK190" s="100"/>
      <c r="AL190" s="103"/>
      <c r="AM190" s="103"/>
      <c r="AN190" s="102">
        <f>IFERROR(ROUND((VLOOKUP($A190,'Из ГУГЛа'!$B:$Z,AN$1,0)+AP190)*AO190,),VLOOKUP($A190,'Из ГУГЛа'!$B:$Z,AN$1,0))</f>
        <v>0</v>
      </c>
      <c r="AO190" s="100">
        <v>1</v>
      </c>
      <c r="AP190" s="100"/>
      <c r="AQ190" s="103"/>
      <c r="AR190" s="103"/>
    </row>
    <row r="191" spans="1:44" ht="46.5" thickTop="1" thickBot="1" x14ac:dyDescent="0.3">
      <c r="A191" s="57">
        <v>144868</v>
      </c>
      <c r="B191" s="57">
        <f>VLOOKUP($A191,'Выгр Кат'!$A:$T,B$1,0)</f>
        <v>3986</v>
      </c>
      <c r="C191" s="58" t="str">
        <f>VLOOKUP($A191,'Выгр Кат'!$A:$T,C$1,0)</f>
        <v>Жгут проводов контроллера для Лада Калина 8-ми клапанный двигатель, контроллер BOSCH 11183-20, 21114-40</v>
      </c>
      <c r="D191" s="57" t="str">
        <f>VLOOKUP($A191,'Выгр Кат'!$A:$T,D$1,0)</f>
        <v>Y</v>
      </c>
      <c r="E191" s="57" t="str">
        <f>VLOOKUP($A191,'Выгр Кат'!$A:$T,E$1,0)</f>
        <v>1</v>
      </c>
      <c r="F191" s="57">
        <f>VLOOKUP($A191,'Выгр Кат'!$A:$T,F$1,0)</f>
        <v>0</v>
      </c>
      <c r="G191" s="57" t="str">
        <f>VLOOKUP($A191,'Выгр Кат'!$A:$T,G$1,0)</f>
        <v>11180372402631</v>
      </c>
      <c r="H191" s="57" t="str">
        <f>VLOOKUP($A191,'Выгр Кат'!$A:$T,H$1,0)</f>
        <v>1118-3724026</v>
      </c>
      <c r="I191" s="39" t="s">
        <v>661</v>
      </c>
      <c r="J191" s="1" t="s">
        <v>526</v>
      </c>
      <c r="K191" s="47">
        <f>VLOOKUP(I191,Прайс!A:E,5,0)</f>
        <v>15000</v>
      </c>
      <c r="L191" s="7">
        <f>VLOOKUP(K191,Наценка!$A$1:$B$8,2,1)</f>
        <v>1.3</v>
      </c>
      <c r="M191" s="44">
        <f t="shared" si="42"/>
        <v>19500</v>
      </c>
      <c r="N191" s="62">
        <f t="shared" ref="N191:N240" si="54">IF(M191&lt;=1000,(ROUNDUP(M191,-1)-1),(ROUNDUP(M191,-2)-10))</f>
        <v>19490</v>
      </c>
      <c r="O191" s="60">
        <f>VLOOKUP($A191,'Выгр Кат'!$A:$P,O$1,0)</f>
        <v>13000</v>
      </c>
      <c r="P191" s="60">
        <f>VLOOKUP($A191,'Выгр Кат'!$A:$P,P$1,0)</f>
        <v>16890</v>
      </c>
      <c r="Q191" s="73">
        <f t="shared" si="40"/>
        <v>-2000</v>
      </c>
      <c r="R191" s="73">
        <f t="shared" si="41"/>
        <v>-2600</v>
      </c>
      <c r="S191" s="97">
        <f t="shared" si="43"/>
        <v>19490</v>
      </c>
      <c r="T191" s="98">
        <f t="shared" si="44"/>
        <v>0.29933333333333323</v>
      </c>
      <c r="U191" s="98" t="str">
        <f t="shared" si="45"/>
        <v/>
      </c>
      <c r="V191" s="98" t="str">
        <f t="shared" si="46"/>
        <v/>
      </c>
      <c r="W191" s="103"/>
      <c r="X191" s="102">
        <f>IFERROR(ROUND((VLOOKUP($A191,'Из ГУГЛа'!$B:$Z,X$1,0)+Z191)*Y191,),VLOOKUP($A191,'Из ГУГЛа'!$B:$Z,X$1,0))</f>
        <v>17890</v>
      </c>
      <c r="Y191" s="75">
        <v>1</v>
      </c>
      <c r="Z191" s="75">
        <v>0</v>
      </c>
      <c r="AA191" s="63">
        <v>17890</v>
      </c>
      <c r="AB191" s="63" t="s">
        <v>1215</v>
      </c>
      <c r="AC191" s="48" t="s">
        <v>1039</v>
      </c>
      <c r="AD191" s="102">
        <f>IFERROR(ROUND((VLOOKUP($A191,'Из ГУГЛа'!$B:$Z,AD$1,0)+AF191)*AE191,),VLOOKUP($A191,'Из ГУГЛа'!$B:$Z,AD$1,0))</f>
        <v>0</v>
      </c>
      <c r="AE191" s="100">
        <v>1</v>
      </c>
      <c r="AF191" s="100"/>
      <c r="AG191" s="103" t="s">
        <v>1017</v>
      </c>
      <c r="AH191" s="103"/>
      <c r="AI191" s="102">
        <f>IFERROR(ROUND((VLOOKUP($A191,'Из ГУГЛа'!$B:$Z,AI$1,0)+AK191)*AJ191,),VLOOKUP($A191,'Из ГУГЛа'!$B:$Z,AI$1,0))</f>
        <v>0</v>
      </c>
      <c r="AJ191" s="100">
        <v>1</v>
      </c>
      <c r="AK191" s="100"/>
      <c r="AL191" s="103"/>
      <c r="AM191" s="103"/>
      <c r="AN191" s="102">
        <f>IFERROR(ROUND((VLOOKUP($A191,'Из ГУГЛа'!$B:$Z,AN$1,0)+AP191)*AO191,),VLOOKUP($A191,'Из ГУГЛа'!$B:$Z,AN$1,0))</f>
        <v>0</v>
      </c>
      <c r="AO191" s="100">
        <v>1</v>
      </c>
      <c r="AP191" s="100"/>
      <c r="AQ191" s="103"/>
      <c r="AR191" s="103"/>
    </row>
    <row r="192" spans="1:44" ht="46.5" thickTop="1" thickBot="1" x14ac:dyDescent="0.3">
      <c r="A192" s="57">
        <v>144967</v>
      </c>
      <c r="B192" s="57">
        <f>VLOOKUP($A192,'Выгр Кат'!$A:$T,B$1,0)</f>
        <v>13428</v>
      </c>
      <c r="C192" s="58" t="str">
        <f>VLOOKUP($A192,'Выгр Кат'!$A:$T,C$1,0)</f>
        <v>Жгут проводов контроллера для Лада Нива 4х4 инжекторный двигатель, контроллер Bosch 2123-10 МР 7.0, Евро 2</v>
      </c>
      <c r="D192" s="57" t="str">
        <f>VLOOKUP($A192,'Выгр Кат'!$A:$T,D$1,0)</f>
        <v>Y</v>
      </c>
      <c r="E192" s="57" t="str">
        <f>VLOOKUP($A192,'Выгр Кат'!$A:$T,E$1,0)</f>
        <v>1</v>
      </c>
      <c r="F192" s="57">
        <f>VLOOKUP($A192,'Выгр Кат'!$A:$T,F$1,0)</f>
        <v>0</v>
      </c>
      <c r="G192" s="57" t="str">
        <f>VLOOKUP($A192,'Выгр Кат'!$A:$T,G$1,0)</f>
        <v>21214372402660</v>
      </c>
      <c r="H192" s="57" t="str">
        <f>VLOOKUP($A192,'Выгр Кат'!$A:$T,H$1,0)</f>
        <v>21214-3724026</v>
      </c>
      <c r="I192" s="39" t="s">
        <v>669</v>
      </c>
      <c r="J192" s="1" t="s">
        <v>526</v>
      </c>
      <c r="K192" s="46">
        <v>14000</v>
      </c>
      <c r="L192" s="7">
        <f>VLOOKUP(K192,Наценка!$A$1:$B$8,2,1)</f>
        <v>1.3</v>
      </c>
      <c r="M192" s="44">
        <f t="shared" si="42"/>
        <v>18200</v>
      </c>
      <c r="N192" s="62">
        <f t="shared" si="54"/>
        <v>18190</v>
      </c>
      <c r="O192" s="60">
        <f>VLOOKUP($A192,'Выгр Кат'!$A:$P,O$1,0)</f>
        <v>11000</v>
      </c>
      <c r="P192" s="60">
        <f>VLOOKUP($A192,'Выгр Кат'!$A:$P,P$1,0)</f>
        <v>14290</v>
      </c>
      <c r="Q192" s="73">
        <f t="shared" si="40"/>
        <v>-3000</v>
      </c>
      <c r="R192" s="73">
        <f t="shared" si="41"/>
        <v>-3900</v>
      </c>
      <c r="S192" s="97">
        <f t="shared" si="43"/>
        <v>18190</v>
      </c>
      <c r="T192" s="98">
        <f t="shared" si="44"/>
        <v>0.29928571428571438</v>
      </c>
      <c r="U192" s="98" t="str">
        <f t="shared" si="45"/>
        <v/>
      </c>
      <c r="V192" s="98" t="str">
        <f t="shared" si="46"/>
        <v/>
      </c>
      <c r="W192" s="99"/>
      <c r="X192" s="102">
        <f>IFERROR(ROUND((VLOOKUP($A192,'Из ГУГЛа'!$B:$Z,X$1,0)+Z192)*Y192,),VLOOKUP($A192,'Из ГУГЛа'!$B:$Z,X$1,0))</f>
        <v>19290</v>
      </c>
      <c r="Y192" s="75">
        <v>1</v>
      </c>
      <c r="Z192" s="75">
        <v>0</v>
      </c>
      <c r="AA192" s="63" t="s">
        <v>1042</v>
      </c>
      <c r="AB192" s="80"/>
      <c r="AC192" s="48" t="s">
        <v>1041</v>
      </c>
      <c r="AD192" s="102">
        <f>IFERROR(ROUND((VLOOKUP($A192,'Из ГУГЛа'!$B:$Z,AD$1,0)+AF192)*AE192,),VLOOKUP($A192,'Из ГУГЛа'!$B:$Z,AD$1,0))</f>
        <v>0</v>
      </c>
      <c r="AE192" s="100">
        <v>1</v>
      </c>
      <c r="AF192" s="100"/>
      <c r="AG192" s="103" t="s">
        <v>1017</v>
      </c>
      <c r="AH192" s="103"/>
      <c r="AI192" s="102">
        <f>IFERROR(ROUND((VLOOKUP($A192,'Из ГУГЛа'!$B:$Z,AI$1,0)+AK192)*AJ192,),VLOOKUP($A192,'Из ГУГЛа'!$B:$Z,AI$1,0))</f>
        <v>0</v>
      </c>
      <c r="AJ192" s="100">
        <v>1</v>
      </c>
      <c r="AK192" s="100"/>
      <c r="AL192" s="103"/>
      <c r="AM192" s="103"/>
      <c r="AN192" s="102">
        <f>IFERROR(ROUND((VLOOKUP($A192,'Из ГУГЛа'!$B:$Z,AN$1,0)+AP192)*AO192,),VLOOKUP($A192,'Из ГУГЛа'!$B:$Z,AN$1,0))</f>
        <v>0</v>
      </c>
      <c r="AO192" s="100">
        <v>1</v>
      </c>
      <c r="AP192" s="100"/>
      <c r="AQ192" s="103"/>
      <c r="AR192" s="103"/>
    </row>
    <row r="193" spans="1:44" ht="46.5" thickTop="1" thickBot="1" x14ac:dyDescent="0.3">
      <c r="A193" s="57">
        <v>144884</v>
      </c>
      <c r="B193" s="57">
        <f>VLOOKUP($A193,'Выгр Кат'!$A:$T,B$1,0)</f>
        <v>4002</v>
      </c>
      <c r="C193" s="58" t="str">
        <f>VLOOKUP($A193,'Выгр Кат'!$A:$T,C$1,0)</f>
        <v>Жгут проводов контроллера для Лада Нива 4х4 инжекторный двигатель, контроллер Bosch 2123-10 МР 7.0</v>
      </c>
      <c r="D193" s="57" t="str">
        <f>VLOOKUP($A193,'Выгр Кат'!$A:$T,D$1,0)</f>
        <v>Y</v>
      </c>
      <c r="E193" s="57" t="str">
        <f>VLOOKUP($A193,'Выгр Кат'!$A:$T,E$1,0)</f>
        <v>1</v>
      </c>
      <c r="F193" s="57">
        <f>VLOOKUP($A193,'Выгр Кат'!$A:$T,F$1,0)</f>
        <v>0</v>
      </c>
      <c r="G193" s="57" t="str">
        <f>VLOOKUP($A193,'Выгр Кат'!$A:$T,G$1,0)</f>
        <v>21214372402661</v>
      </c>
      <c r="H193" s="57" t="str">
        <f>VLOOKUP($A193,'Выгр Кат'!$A:$T,H$1,0)</f>
        <v>21214-3724026</v>
      </c>
      <c r="I193" s="39" t="s">
        <v>670</v>
      </c>
      <c r="J193" s="1" t="s">
        <v>526</v>
      </c>
      <c r="K193" s="47">
        <f>VLOOKUP(I193,Прайс!A:E,5,0)</f>
        <v>14000</v>
      </c>
      <c r="L193" s="7">
        <f>VLOOKUP(K193,Наценка!$A$1:$B$8,2,1)</f>
        <v>1.3</v>
      </c>
      <c r="M193" s="44">
        <f t="shared" si="42"/>
        <v>18200</v>
      </c>
      <c r="N193" s="62">
        <f t="shared" si="54"/>
        <v>18190</v>
      </c>
      <c r="O193" s="60">
        <f>VLOOKUP($A193,'Выгр Кат'!$A:$P,O$1,0)</f>
        <v>12000</v>
      </c>
      <c r="P193" s="60">
        <f>VLOOKUP($A193,'Выгр Кат'!$A:$P,P$1,0)</f>
        <v>16390</v>
      </c>
      <c r="Q193" s="73">
        <f t="shared" ref="Q193:Q243" si="55">O193-K193</f>
        <v>-2000</v>
      </c>
      <c r="R193" s="73">
        <f t="shared" ref="R193:R243" si="56">P193-N193</f>
        <v>-1800</v>
      </c>
      <c r="S193" s="97">
        <f t="shared" si="43"/>
        <v>18190</v>
      </c>
      <c r="T193" s="98">
        <f t="shared" si="44"/>
        <v>0.29928571428571438</v>
      </c>
      <c r="U193" s="98">
        <f t="shared" si="45"/>
        <v>-0.10309278350515463</v>
      </c>
      <c r="V193" s="98">
        <f t="shared" si="46"/>
        <v>0.17785714285714294</v>
      </c>
      <c r="W193" s="106">
        <f t="shared" ref="W193:W198" si="57">MIN(AA193,AG193,AL193,AQ193)</f>
        <v>16490</v>
      </c>
      <c r="X193" s="102">
        <f>IFERROR(ROUND((VLOOKUP($A193,'Из ГУГЛа'!$B:$Z,X$1,0)+Z193)*Y193,),VLOOKUP($A193,'Из ГУГЛа'!$B:$Z,X$1,0))</f>
        <v>16490</v>
      </c>
      <c r="Y193" s="75">
        <v>1</v>
      </c>
      <c r="Z193" s="75">
        <v>0</v>
      </c>
      <c r="AA193" s="63">
        <v>16490</v>
      </c>
      <c r="AB193" s="63" t="s">
        <v>1215</v>
      </c>
      <c r="AC193" s="48" t="s">
        <v>1043</v>
      </c>
      <c r="AD193" s="102">
        <f>IFERROR(ROUND((VLOOKUP($A193,'Из ГУГЛа'!$B:$Z,AD$1,0)+AF193)*AE193,),VLOOKUP($A193,'Из ГУГЛа'!$B:$Z,AD$1,0))</f>
        <v>0</v>
      </c>
      <c r="AE193" s="100">
        <v>1</v>
      </c>
      <c r="AF193" s="100"/>
      <c r="AG193" s="103">
        <v>18093</v>
      </c>
      <c r="AH193" s="103" t="s">
        <v>1978</v>
      </c>
      <c r="AI193" s="102">
        <f>IFERROR(ROUND((VLOOKUP($A193,'Из ГУГЛа'!$B:$Z,AI$1,0)+AK193)*AJ193,),VLOOKUP($A193,'Из ГУГЛа'!$B:$Z,AI$1,0))</f>
        <v>0</v>
      </c>
      <c r="AJ193" s="100">
        <v>1</v>
      </c>
      <c r="AK193" s="100"/>
      <c r="AL193" s="103"/>
      <c r="AM193" s="103"/>
      <c r="AN193" s="102">
        <f>IFERROR(ROUND((VLOOKUP($A193,'Из ГУГЛа'!$B:$Z,AN$1,0)+AP193)*AO193,),VLOOKUP($A193,'Из ГУГЛа'!$B:$Z,AN$1,0))</f>
        <v>0</v>
      </c>
      <c r="AO193" s="100">
        <v>1</v>
      </c>
      <c r="AP193" s="100"/>
      <c r="AQ193" s="103"/>
      <c r="AR193" s="103"/>
    </row>
    <row r="194" spans="1:44" ht="46.5" thickTop="1" thickBot="1" x14ac:dyDescent="0.3">
      <c r="A194" s="57">
        <v>144885</v>
      </c>
      <c r="B194" s="57">
        <f>VLOOKUP($A194,'Выгр Кат'!$A:$T,B$1,0)</f>
        <v>4003</v>
      </c>
      <c r="C194" s="58" t="str">
        <f>VLOOKUP($A194,'Выгр Кат'!$A:$T,C$1,0)</f>
        <v>Жгут проводов контроллера для Лада Нива 4х4 инжекторный двигатель, контроллер Bosch 21214-30 M7.9.7</v>
      </c>
      <c r="D194" s="57" t="str">
        <f>VLOOKUP($A194,'Выгр Кат'!$A:$T,D$1,0)</f>
        <v>Y</v>
      </c>
      <c r="E194" s="57" t="str">
        <f>VLOOKUP($A194,'Выгр Кат'!$A:$T,E$1,0)</f>
        <v>1</v>
      </c>
      <c r="F194" s="57">
        <f>VLOOKUP($A194,'Выгр Кат'!$A:$T,F$1,0)</f>
        <v>0</v>
      </c>
      <c r="G194" s="57" t="str">
        <f>VLOOKUP($A194,'Выгр Кат'!$A:$T,G$1,0)</f>
        <v>21214372402680</v>
      </c>
      <c r="H194" s="57" t="str">
        <f>VLOOKUP($A194,'Выгр Кат'!$A:$T,H$1,0)</f>
        <v>21214-3724026</v>
      </c>
      <c r="I194" s="39" t="s">
        <v>671</v>
      </c>
      <c r="J194" s="1" t="s">
        <v>526</v>
      </c>
      <c r="K194" s="47">
        <f>VLOOKUP(I194,Прайс!A:E,5,0)</f>
        <v>14000</v>
      </c>
      <c r="L194" s="7">
        <f>VLOOKUP(K194,Наценка!$A$1:$B$8,2,1)</f>
        <v>1.3</v>
      </c>
      <c r="M194" s="44">
        <f t="shared" si="42"/>
        <v>18200</v>
      </c>
      <c r="N194" s="62">
        <f t="shared" si="54"/>
        <v>18190</v>
      </c>
      <c r="O194" s="60">
        <f>VLOOKUP($A194,'Выгр Кат'!$A:$P,O$1,0)</f>
        <v>12000</v>
      </c>
      <c r="P194" s="60">
        <f>VLOOKUP($A194,'Выгр Кат'!$A:$P,P$1,0)</f>
        <v>16390</v>
      </c>
      <c r="Q194" s="73">
        <f t="shared" si="55"/>
        <v>-2000</v>
      </c>
      <c r="R194" s="73">
        <f t="shared" si="56"/>
        <v>-1800</v>
      </c>
      <c r="S194" s="97">
        <f t="shared" si="43"/>
        <v>18190</v>
      </c>
      <c r="T194" s="98">
        <f t="shared" si="44"/>
        <v>0.29928571428571438</v>
      </c>
      <c r="U194" s="98">
        <f t="shared" si="45"/>
        <v>-0.25725739563173899</v>
      </c>
      <c r="V194" s="98">
        <f t="shared" si="46"/>
        <v>3.3428571428571363E-2</v>
      </c>
      <c r="W194" s="106">
        <f t="shared" si="57"/>
        <v>14468</v>
      </c>
      <c r="X194" s="102">
        <f>IFERROR(ROUND((VLOOKUP($A194,'Из ГУГЛа'!$B:$Z,X$1,0)+Z194)*Y194,),VLOOKUP($A194,'Из ГУГЛа'!$B:$Z,X$1,0))</f>
        <v>16490</v>
      </c>
      <c r="Y194" s="75">
        <v>1</v>
      </c>
      <c r="Z194" s="75">
        <v>0</v>
      </c>
      <c r="AA194" s="63">
        <v>16490</v>
      </c>
      <c r="AB194" s="63" t="s">
        <v>1215</v>
      </c>
      <c r="AC194" s="48" t="s">
        <v>809</v>
      </c>
      <c r="AD194" s="102">
        <f>IFERROR(ROUND((VLOOKUP($A194,'Из ГУГЛа'!$B:$Z,AD$1,0)+AF194)*AE194,),VLOOKUP($A194,'Из ГУГЛа'!$B:$Z,AD$1,0))</f>
        <v>0</v>
      </c>
      <c r="AE194" s="100">
        <v>1</v>
      </c>
      <c r="AF194" s="100"/>
      <c r="AG194" s="103">
        <v>14468</v>
      </c>
      <c r="AH194" s="103" t="s">
        <v>1979</v>
      </c>
      <c r="AI194" s="102">
        <f>IFERROR(ROUND((VLOOKUP($A194,'Из ГУГЛа'!$B:$Z,AI$1,0)+AK194)*AJ194,),VLOOKUP($A194,'Из ГУГЛа'!$B:$Z,AI$1,0))</f>
        <v>0</v>
      </c>
      <c r="AJ194" s="100">
        <v>1</v>
      </c>
      <c r="AK194" s="100"/>
      <c r="AL194" s="103"/>
      <c r="AM194" s="103"/>
      <c r="AN194" s="102">
        <f>IFERROR(ROUND((VLOOKUP($A194,'Из ГУГЛа'!$B:$Z,AN$1,0)+AP194)*AO194,),VLOOKUP($A194,'Из ГУГЛа'!$B:$Z,AN$1,0))</f>
        <v>0</v>
      </c>
      <c r="AO194" s="100">
        <v>1</v>
      </c>
      <c r="AP194" s="100"/>
      <c r="AQ194" s="103"/>
      <c r="AR194" s="103"/>
    </row>
    <row r="195" spans="1:44" ht="40.5" thickTop="1" thickBot="1" x14ac:dyDescent="0.3">
      <c r="A195" s="57">
        <v>144968</v>
      </c>
      <c r="B195" s="57">
        <f>VLOOKUP($A195,'Выгр Кат'!$A:$T,B$1,0)</f>
        <v>13429</v>
      </c>
      <c r="C195" s="58" t="str">
        <f>VLOOKUP($A195,'Выгр Кат'!$A:$T,C$1,0)</f>
        <v>Жгут проводов контроллера для Лада Нива 4х4 инжекторный двигатель, контроллер Январь 7</v>
      </c>
      <c r="D195" s="57" t="str">
        <f>VLOOKUP($A195,'Выгр Кат'!$A:$T,D$1,0)</f>
        <v>Y</v>
      </c>
      <c r="E195" s="57" t="str">
        <f>VLOOKUP($A195,'Выгр Кат'!$A:$T,E$1,0)</f>
        <v>1</v>
      </c>
      <c r="F195" s="57">
        <f>VLOOKUP($A195,'Выгр Кат'!$A:$T,F$1,0)</f>
        <v>0</v>
      </c>
      <c r="G195" s="57" t="str">
        <f>VLOOKUP($A195,'Выгр Кат'!$A:$T,G$1,0)</f>
        <v>21214372402686</v>
      </c>
      <c r="H195" s="57" t="str">
        <f>VLOOKUP($A195,'Выгр Кат'!$A:$T,H$1,0)</f>
        <v>21214-3724026</v>
      </c>
      <c r="I195" s="39" t="s">
        <v>672</v>
      </c>
      <c r="J195" s="1" t="s">
        <v>526</v>
      </c>
      <c r="K195" s="47">
        <f>VLOOKUP(I195,Прайс!A:E,5,0)</f>
        <v>14000</v>
      </c>
      <c r="L195" s="7">
        <f>VLOOKUP(K195,Наценка!$A$1:$B$8,2,1)</f>
        <v>1.3</v>
      </c>
      <c r="M195" s="44">
        <f t="shared" ref="M195:M258" si="58">K195*L195</f>
        <v>18200</v>
      </c>
      <c r="N195" s="62">
        <f t="shared" si="54"/>
        <v>18190</v>
      </c>
      <c r="O195" s="60">
        <f>VLOOKUP($A195,'Выгр Кат'!$A:$P,O$1,0)</f>
        <v>12000</v>
      </c>
      <c r="P195" s="60">
        <f>VLOOKUP($A195,'Выгр Кат'!$A:$P,P$1,0)</f>
        <v>16390</v>
      </c>
      <c r="Q195" s="73">
        <f t="shared" si="55"/>
        <v>-2000</v>
      </c>
      <c r="R195" s="73">
        <f t="shared" si="56"/>
        <v>-1800</v>
      </c>
      <c r="S195" s="97">
        <f t="shared" si="43"/>
        <v>18190</v>
      </c>
      <c r="T195" s="98">
        <f t="shared" si="44"/>
        <v>0.29928571428571438</v>
      </c>
      <c r="U195" s="98">
        <f t="shared" si="45"/>
        <v>-0.56891495601173026</v>
      </c>
      <c r="V195" s="98">
        <f t="shared" si="46"/>
        <v>-0.17185714285714282</v>
      </c>
      <c r="W195" s="106">
        <f t="shared" si="57"/>
        <v>11594</v>
      </c>
      <c r="X195" s="102">
        <f>IFERROR(ROUND((VLOOKUP($A195,'Из ГУГЛа'!$B:$Z,X$1,0)+Z195)*Y195,),VLOOKUP($A195,'Из ГУГЛа'!$B:$Z,X$1,0))</f>
        <v>16490</v>
      </c>
      <c r="Y195" s="75">
        <v>1</v>
      </c>
      <c r="Z195" s="75">
        <v>0</v>
      </c>
      <c r="AA195" s="63">
        <v>16490</v>
      </c>
      <c r="AB195" s="63" t="s">
        <v>1215</v>
      </c>
      <c r="AC195" s="48" t="s">
        <v>883</v>
      </c>
      <c r="AD195" s="102">
        <f>IFERROR(ROUND((VLOOKUP($A195,'Из ГУГЛа'!$B:$Z,AD$1,0)+AF195)*AE195,),VLOOKUP($A195,'Из ГУГЛа'!$B:$Z,AD$1,0))</f>
        <v>0</v>
      </c>
      <c r="AE195" s="100">
        <v>1</v>
      </c>
      <c r="AF195" s="100"/>
      <c r="AG195" s="103">
        <v>11594</v>
      </c>
      <c r="AH195" s="103" t="s">
        <v>1980</v>
      </c>
      <c r="AI195" s="102">
        <f>IFERROR(ROUND((VLOOKUP($A195,'Из ГУГЛа'!$B:$Z,AI$1,0)+AK195)*AJ195,),VLOOKUP($A195,'Из ГУГЛа'!$B:$Z,AI$1,0))</f>
        <v>0</v>
      </c>
      <c r="AJ195" s="100">
        <v>1</v>
      </c>
      <c r="AK195" s="100"/>
      <c r="AL195" s="103"/>
      <c r="AM195" s="103"/>
      <c r="AN195" s="102">
        <f>IFERROR(ROUND((VLOOKUP($A195,'Из ГУГЛа'!$B:$Z,AN$1,0)+AP195)*AO195,),VLOOKUP($A195,'Из ГУГЛа'!$B:$Z,AN$1,0))</f>
        <v>0</v>
      </c>
      <c r="AO195" s="100">
        <v>1</v>
      </c>
      <c r="AP195" s="100"/>
      <c r="AQ195" s="103"/>
      <c r="AR195" s="103"/>
    </row>
    <row r="196" spans="1:44" ht="46.5" thickTop="1" thickBot="1" x14ac:dyDescent="0.3">
      <c r="A196" s="57">
        <v>144886</v>
      </c>
      <c r="B196" s="57">
        <f>VLOOKUP($A196,'Выгр Кат'!$A:$T,B$1,0)</f>
        <v>4004</v>
      </c>
      <c r="C196" s="58" t="str">
        <f>VLOOKUP($A196,'Выгр Кат'!$A:$T,C$1,0)</f>
        <v>Жгут проводов контроллера для Лада Нива 4х4 инжекторный двигатель, контроллер BOSCH 21214-20 M7.9.7, Евро 4</v>
      </c>
      <c r="D196" s="57" t="str">
        <f>VLOOKUP($A196,'Выгр Кат'!$A:$T,D$1,0)</f>
        <v>Y</v>
      </c>
      <c r="E196" s="57" t="str">
        <f>VLOOKUP($A196,'Выгр Кат'!$A:$T,E$1,0)</f>
        <v>1</v>
      </c>
      <c r="F196" s="57">
        <f>VLOOKUP($A196,'Выгр Кат'!$A:$T,F$1,0)</f>
        <v>0</v>
      </c>
      <c r="G196" s="57" t="str">
        <f>VLOOKUP($A196,'Выгр Кат'!$A:$T,G$1,0)</f>
        <v>21214372402697</v>
      </c>
      <c r="H196" s="57" t="str">
        <f>VLOOKUP($A196,'Выгр Кат'!$A:$T,H$1,0)</f>
        <v>21214-3724026</v>
      </c>
      <c r="I196" s="39" t="s">
        <v>673</v>
      </c>
      <c r="J196" s="1" t="s">
        <v>526</v>
      </c>
      <c r="K196" s="47">
        <f>VLOOKUP(I196,Прайс!A:E,5,0)</f>
        <v>14000</v>
      </c>
      <c r="L196" s="7">
        <f>VLOOKUP(K196,Наценка!$A$1:$B$8,2,1)</f>
        <v>1.3</v>
      </c>
      <c r="M196" s="44">
        <f t="shared" si="58"/>
        <v>18200</v>
      </c>
      <c r="N196" s="62">
        <f t="shared" si="54"/>
        <v>18190</v>
      </c>
      <c r="O196" s="60">
        <f>VLOOKUP($A196,'Выгр Кат'!$A:$P,O$1,0)</f>
        <v>12000</v>
      </c>
      <c r="P196" s="60">
        <f>VLOOKUP($A196,'Выгр Кат'!$A:$P,P$1,0)</f>
        <v>16390</v>
      </c>
      <c r="Q196" s="73">
        <f t="shared" si="55"/>
        <v>-2000</v>
      </c>
      <c r="R196" s="73">
        <f t="shared" si="56"/>
        <v>-1800</v>
      </c>
      <c r="S196" s="97">
        <f t="shared" ref="S196:S259" si="59">IFERROR(ROUND(N196*(1-$S$2),),"")</f>
        <v>18190</v>
      </c>
      <c r="T196" s="98">
        <f t="shared" ref="T196:T259" si="60">IFERROR(S196/K196-1,"")</f>
        <v>0.29928571428571438</v>
      </c>
      <c r="U196" s="98">
        <f t="shared" ref="U196:U259" si="61">IFERROR((W196-S196)/W196,"")</f>
        <v>-0.56891495601173026</v>
      </c>
      <c r="V196" s="98">
        <f t="shared" ref="V196:V259" si="62">IFERROR(IF(W196="","",W196/K196-1),"")</f>
        <v>-0.17185714285714282</v>
      </c>
      <c r="W196" s="106">
        <f t="shared" si="57"/>
        <v>11594</v>
      </c>
      <c r="X196" s="102">
        <f>IFERROR(ROUND((VLOOKUP($A196,'Из ГУГЛа'!$B:$Z,X$1,0)+Z196)*Y196,),VLOOKUP($A196,'Из ГУГЛа'!$B:$Z,X$1,0))</f>
        <v>16490</v>
      </c>
      <c r="Y196" s="75">
        <v>1</v>
      </c>
      <c r="Z196" s="75">
        <v>0</v>
      </c>
      <c r="AA196" s="63">
        <v>16490</v>
      </c>
      <c r="AB196" s="63" t="s">
        <v>1215</v>
      </c>
      <c r="AC196" s="48" t="s">
        <v>1040</v>
      </c>
      <c r="AD196" s="102">
        <f>IFERROR(ROUND((VLOOKUP($A196,'Из ГУГЛа'!$B:$Z,AD$1,0)+AF196)*AE196,),VLOOKUP($A196,'Из ГУГЛа'!$B:$Z,AD$1,0))</f>
        <v>0</v>
      </c>
      <c r="AE196" s="100">
        <v>1</v>
      </c>
      <c r="AF196" s="100"/>
      <c r="AG196" s="103">
        <v>11594</v>
      </c>
      <c r="AH196" s="103" t="s">
        <v>1981</v>
      </c>
      <c r="AI196" s="102">
        <f>IFERROR(ROUND((VLOOKUP($A196,'Из ГУГЛа'!$B:$Z,AI$1,0)+AK196)*AJ196,),VLOOKUP($A196,'Из ГУГЛа'!$B:$Z,AI$1,0))</f>
        <v>0</v>
      </c>
      <c r="AJ196" s="100">
        <v>1</v>
      </c>
      <c r="AK196" s="100"/>
      <c r="AL196" s="103"/>
      <c r="AM196" s="103"/>
      <c r="AN196" s="102">
        <f>IFERROR(ROUND((VLOOKUP($A196,'Из ГУГЛа'!$B:$Z,AN$1,0)+AP196)*AO196,),VLOOKUP($A196,'Из ГУГЛа'!$B:$Z,AN$1,0))</f>
        <v>0</v>
      </c>
      <c r="AO196" s="100">
        <v>1</v>
      </c>
      <c r="AP196" s="100"/>
      <c r="AQ196" s="103"/>
      <c r="AR196" s="103"/>
    </row>
    <row r="197" spans="1:44" ht="53.25" thickTop="1" thickBot="1" x14ac:dyDescent="0.3">
      <c r="A197" s="57">
        <v>144887</v>
      </c>
      <c r="B197" s="57">
        <f>VLOOKUP($A197,'Выгр Кат'!$A:$T,B$1,0)</f>
        <v>4009</v>
      </c>
      <c r="C197" s="58" t="str">
        <f>VLOOKUP($A197,'Выгр Кат'!$A:$T,C$1,0)</f>
        <v>Жгут проводов контроллера для Шевроле Нива двигатель 1.7 л, контроллер BOSCH 21230-30, 21230-40, 21230-00, без кондиционера</v>
      </c>
      <c r="D197" s="57" t="str">
        <f>VLOOKUP($A197,'Выгр Кат'!$A:$T,D$1,0)</f>
        <v>Y</v>
      </c>
      <c r="E197" s="57" t="str">
        <f>VLOOKUP($A197,'Выгр Кат'!$A:$T,E$1,0)</f>
        <v>1</v>
      </c>
      <c r="F197" s="57">
        <f>VLOOKUP($A197,'Выгр Кат'!$A:$T,F$1,0)</f>
        <v>0</v>
      </c>
      <c r="G197" s="57" t="str">
        <f>VLOOKUP($A197,'Выгр Кат'!$A:$T,G$1,0)</f>
        <v>21230372402662</v>
      </c>
      <c r="H197" s="57" t="str">
        <f>VLOOKUP($A197,'Выгр Кат'!$A:$T,H$1,0)</f>
        <v>2123-3724026</v>
      </c>
      <c r="I197" s="39" t="s">
        <v>686</v>
      </c>
      <c r="J197" s="1" t="s">
        <v>526</v>
      </c>
      <c r="K197" s="47">
        <f>VLOOKUP(I197,Прайс!A:E,5,0)</f>
        <v>14000</v>
      </c>
      <c r="L197" s="7">
        <f>VLOOKUP(K197,Наценка!$A$1:$B$8,2,1)</f>
        <v>1.3</v>
      </c>
      <c r="M197" s="44">
        <f t="shared" si="58"/>
        <v>18200</v>
      </c>
      <c r="N197" s="62">
        <f t="shared" si="54"/>
        <v>18190</v>
      </c>
      <c r="O197" s="60">
        <f>VLOOKUP($A197,'Выгр Кат'!$A:$P,O$1,0)</f>
        <v>12000</v>
      </c>
      <c r="P197" s="60">
        <f>VLOOKUP($A197,'Выгр Кат'!$A:$P,P$1,0)</f>
        <v>16390</v>
      </c>
      <c r="Q197" s="73">
        <f t="shared" si="55"/>
        <v>-2000</v>
      </c>
      <c r="R197" s="73">
        <f t="shared" si="56"/>
        <v>-1800</v>
      </c>
      <c r="S197" s="97">
        <f t="shared" si="59"/>
        <v>18190</v>
      </c>
      <c r="T197" s="98">
        <f t="shared" si="60"/>
        <v>0.29928571428571438</v>
      </c>
      <c r="U197" s="98">
        <f t="shared" si="61"/>
        <v>-0.14647674272028235</v>
      </c>
      <c r="V197" s="98">
        <f t="shared" si="62"/>
        <v>0.13328571428571423</v>
      </c>
      <c r="W197" s="106">
        <f t="shared" si="57"/>
        <v>15866</v>
      </c>
      <c r="X197" s="102">
        <f>IFERROR(ROUND((VLOOKUP($A197,'Из ГУГЛа'!$B:$Z,X$1,0)+Z197)*Y197,),VLOOKUP($A197,'Из ГУГЛа'!$B:$Z,X$1,0))</f>
        <v>16490</v>
      </c>
      <c r="Y197" s="75">
        <v>1</v>
      </c>
      <c r="Z197" s="75">
        <v>0</v>
      </c>
      <c r="AA197" s="63">
        <v>16490</v>
      </c>
      <c r="AB197" s="63" t="s">
        <v>1215</v>
      </c>
      <c r="AC197" s="48" t="s">
        <v>810</v>
      </c>
      <c r="AD197" s="102">
        <f>IFERROR(ROUND((VLOOKUP($A197,'Из ГУГЛа'!$B:$Z,AD$1,0)+AF197)*AE197,),VLOOKUP($A197,'Из ГУГЛа'!$B:$Z,AD$1,0))</f>
        <v>0</v>
      </c>
      <c r="AE197" s="100">
        <v>1</v>
      </c>
      <c r="AF197" s="100"/>
      <c r="AG197" s="103">
        <v>15866</v>
      </c>
      <c r="AH197" s="103" t="s">
        <v>2076</v>
      </c>
      <c r="AI197" s="102">
        <f>IFERROR(ROUND((VLOOKUP($A197,'Из ГУГЛа'!$B:$Z,AI$1,0)+AK197)*AJ197,),VLOOKUP($A197,'Из ГУГЛа'!$B:$Z,AI$1,0))</f>
        <v>0</v>
      </c>
      <c r="AJ197" s="100">
        <v>1</v>
      </c>
      <c r="AK197" s="100"/>
      <c r="AL197" s="103"/>
      <c r="AM197" s="103"/>
      <c r="AN197" s="102">
        <f>IFERROR(ROUND((VLOOKUP($A197,'Из ГУГЛа'!$B:$Z,AN$1,0)+AP197)*AO197,),VLOOKUP($A197,'Из ГУГЛа'!$B:$Z,AN$1,0))</f>
        <v>0</v>
      </c>
      <c r="AO197" s="100">
        <v>1</v>
      </c>
      <c r="AP197" s="100"/>
      <c r="AQ197" s="103"/>
      <c r="AR197" s="103"/>
    </row>
    <row r="198" spans="1:44" ht="53.25" thickTop="1" thickBot="1" x14ac:dyDescent="0.3">
      <c r="A198" s="57">
        <v>144992</v>
      </c>
      <c r="B198" s="57">
        <f>VLOOKUP($A198,'Выгр Кат'!$A:$T,B$1,0)</f>
        <v>13357</v>
      </c>
      <c r="C198" s="58" t="str">
        <f>VLOOKUP($A198,'Выгр Кат'!$A:$T,C$1,0)</f>
        <v>Жгут проводов фар и генератора для Лада Приора, Приора 2 с АБС и кондиционером</v>
      </c>
      <c r="D198" s="57" t="str">
        <f>VLOOKUP($A198,'Выгр Кат'!$A:$T,D$1,0)</f>
        <v>Y</v>
      </c>
      <c r="E198" s="57" t="str">
        <f>VLOOKUP($A198,'Выгр Кат'!$A:$T,E$1,0)</f>
        <v>1</v>
      </c>
      <c r="F198" s="57">
        <f>VLOOKUP($A198,'Выгр Кат'!$A:$T,F$1,0)</f>
        <v>0</v>
      </c>
      <c r="G198" s="57" t="str">
        <f>VLOOKUP($A198,'Выгр Кат'!$A:$T,G$1,0)</f>
        <v>2170372401062</v>
      </c>
      <c r="H198" s="57" t="str">
        <f>VLOOKUP($A198,'Выгр Кат'!$A:$T,H$1,0)</f>
        <v>2170-3724010</v>
      </c>
      <c r="I198" s="39" t="s">
        <v>711</v>
      </c>
      <c r="J198" s="1" t="s">
        <v>526</v>
      </c>
      <c r="K198" s="47">
        <f>VLOOKUP(I198,Прайс!A:E,5,0)</f>
        <v>13000</v>
      </c>
      <c r="L198" s="7">
        <f>VLOOKUP(K198,Наценка!$A$1:$B$8,2,1)</f>
        <v>1.3</v>
      </c>
      <c r="M198" s="44">
        <f t="shared" si="58"/>
        <v>16900</v>
      </c>
      <c r="N198" s="62">
        <f t="shared" si="54"/>
        <v>16890</v>
      </c>
      <c r="O198" s="60">
        <f>VLOOKUP($A198,'Выгр Кат'!$A:$P,O$1,0)</f>
        <v>13000</v>
      </c>
      <c r="P198" s="60">
        <f>VLOOKUP($A198,'Выгр Кат'!$A:$P,P$1,0)</f>
        <v>16890</v>
      </c>
      <c r="Q198" s="73">
        <f t="shared" si="55"/>
        <v>0</v>
      </c>
      <c r="R198" s="73">
        <f t="shared" si="56"/>
        <v>0</v>
      </c>
      <c r="S198" s="97">
        <f t="shared" si="59"/>
        <v>16890</v>
      </c>
      <c r="T198" s="98">
        <f t="shared" si="60"/>
        <v>0.29923076923076919</v>
      </c>
      <c r="U198" s="98">
        <f t="shared" si="61"/>
        <v>-0.22827430732310378</v>
      </c>
      <c r="V198" s="98">
        <f t="shared" si="62"/>
        <v>5.7769230769230795E-2</v>
      </c>
      <c r="W198" s="106">
        <f t="shared" si="57"/>
        <v>13751</v>
      </c>
      <c r="X198" s="102">
        <f>IFERROR(ROUND((VLOOKUP($A198,'Из ГУГЛа'!$B:$Z,X$1,0)+Z198)*Y198,),VLOOKUP($A198,'Из ГУГЛа'!$B:$Z,X$1,0))</f>
        <v>17890</v>
      </c>
      <c r="Y198" s="75">
        <v>1</v>
      </c>
      <c r="Z198" s="75">
        <v>0</v>
      </c>
      <c r="AA198" s="63">
        <v>17890</v>
      </c>
      <c r="AB198" s="63" t="s">
        <v>1215</v>
      </c>
      <c r="AC198" s="48" t="s">
        <v>1044</v>
      </c>
      <c r="AD198" s="102">
        <f>IFERROR(ROUND((VLOOKUP($A198,'Из ГУГЛа'!$B:$Z,AD$1,0)+AF198)*AE198,),VLOOKUP($A198,'Из ГУГЛа'!$B:$Z,AD$1,0))</f>
        <v>0</v>
      </c>
      <c r="AE198" s="100">
        <v>1</v>
      </c>
      <c r="AF198" s="100"/>
      <c r="AG198" s="103">
        <v>13751</v>
      </c>
      <c r="AH198" s="103" t="s">
        <v>1982</v>
      </c>
      <c r="AI198" s="102">
        <f>IFERROR(ROUND((VLOOKUP($A198,'Из ГУГЛа'!$B:$Z,AI$1,0)+AK198)*AJ198,),VLOOKUP($A198,'Из ГУГЛа'!$B:$Z,AI$1,0))</f>
        <v>0</v>
      </c>
      <c r="AJ198" s="100">
        <v>1</v>
      </c>
      <c r="AK198" s="100"/>
      <c r="AL198" s="103"/>
      <c r="AM198" s="103"/>
      <c r="AN198" s="102">
        <f>IFERROR(ROUND((VLOOKUP($A198,'Из ГУГЛа'!$B:$Z,AN$1,0)+AP198)*AO198,),VLOOKUP($A198,'Из ГУГЛа'!$B:$Z,AN$1,0))</f>
        <v>0</v>
      </c>
      <c r="AO198" s="100">
        <v>1</v>
      </c>
      <c r="AP198" s="100"/>
      <c r="AQ198" s="103"/>
      <c r="AR198" s="103"/>
    </row>
    <row r="199" spans="1:44" ht="53.25" thickTop="1" thickBot="1" x14ac:dyDescent="0.3">
      <c r="A199" s="57">
        <v>144869</v>
      </c>
      <c r="B199" s="57">
        <f>VLOOKUP($A199,'Выгр Кат'!$A:$T,B$1,0)</f>
        <v>3987</v>
      </c>
      <c r="C199" s="58" t="str">
        <f>VLOOKUP($A199,'Выгр Кат'!$A:$T,C$1,0)</f>
        <v>Жгут проводов контроллера для Лада Калина</v>
      </c>
      <c r="D199" s="57" t="str">
        <f>VLOOKUP($A199,'Выгр Кат'!$A:$T,D$1,0)</f>
        <v>Y</v>
      </c>
      <c r="E199" s="57" t="str">
        <f>VLOOKUP($A199,'Выгр Кат'!$A:$T,E$1,0)</f>
        <v>0</v>
      </c>
      <c r="F199" s="57">
        <f>VLOOKUP($A199,'Выгр Кат'!$A:$T,F$1,0)</f>
        <v>0</v>
      </c>
      <c r="G199" s="57" t="str">
        <f>VLOOKUP($A199,'Выгр Кат'!$A:$T,G$1,0)</f>
        <v>11183372402641</v>
      </c>
      <c r="H199" s="57" t="str">
        <f>VLOOKUP($A199,'Выгр Кат'!$A:$T,H$1,0)</f>
        <v>11183-3724026</v>
      </c>
      <c r="I199" s="39" t="s">
        <v>656</v>
      </c>
      <c r="J199" s="1" t="s">
        <v>526</v>
      </c>
      <c r="K199" s="47">
        <f>VLOOKUP(I199,Прайс!A:E,5,0)</f>
        <v>15000</v>
      </c>
      <c r="L199" s="7">
        <f>VLOOKUP(K199,Наценка!$A$1:$B$8,2,1)</f>
        <v>1.3</v>
      </c>
      <c r="M199" s="44">
        <f t="shared" si="58"/>
        <v>19500</v>
      </c>
      <c r="N199" s="62">
        <f t="shared" si="54"/>
        <v>19490</v>
      </c>
      <c r="O199" s="60">
        <f>VLOOKUP($A199,'Выгр Кат'!$A:$P,O$1,0)</f>
        <v>13000</v>
      </c>
      <c r="P199" s="60">
        <f>VLOOKUP($A199,'Выгр Кат'!$A:$P,P$1,0)</f>
        <v>17790</v>
      </c>
      <c r="Q199" s="73">
        <f t="shared" si="55"/>
        <v>-2000</v>
      </c>
      <c r="R199" s="73">
        <f t="shared" si="56"/>
        <v>-1700</v>
      </c>
      <c r="S199" s="97">
        <f t="shared" si="59"/>
        <v>19490</v>
      </c>
      <c r="T199" s="98">
        <f t="shared" si="60"/>
        <v>0.29933333333333323</v>
      </c>
      <c r="U199" s="98" t="str">
        <f t="shared" si="61"/>
        <v/>
      </c>
      <c r="V199" s="98" t="str">
        <f t="shared" si="62"/>
        <v/>
      </c>
      <c r="W199" s="103"/>
      <c r="X199" s="102">
        <f>IFERROR(ROUND((VLOOKUP($A199,'Из ГУГЛа'!$B:$Z,X$1,0)+Z199)*Y199,),VLOOKUP($A199,'Из ГУГЛа'!$B:$Z,X$1,0))</f>
        <v>17890</v>
      </c>
      <c r="Y199" s="75">
        <v>1</v>
      </c>
      <c r="Z199" s="75">
        <v>0</v>
      </c>
      <c r="AA199" s="63">
        <v>17890</v>
      </c>
      <c r="AB199" s="63" t="s">
        <v>1215</v>
      </c>
      <c r="AC199" s="48" t="s">
        <v>1038</v>
      </c>
      <c r="AD199" s="102">
        <f>IFERROR(ROUND((VLOOKUP($A199,'Из ГУГЛа'!$B:$Z,AD$1,0)+AF199)*AE199,),VLOOKUP($A199,'Из ГУГЛа'!$B:$Z,AD$1,0))</f>
        <v>0</v>
      </c>
      <c r="AE199" s="100">
        <v>1</v>
      </c>
      <c r="AF199" s="100"/>
      <c r="AG199" s="103" t="s">
        <v>1017</v>
      </c>
      <c r="AH199" s="103"/>
      <c r="AI199" s="102">
        <f>IFERROR(ROUND((VLOOKUP($A199,'Из ГУГЛа'!$B:$Z,AI$1,0)+AK199)*AJ199,),VLOOKUP($A199,'Из ГУГЛа'!$B:$Z,AI$1,0))</f>
        <v>0</v>
      </c>
      <c r="AJ199" s="100">
        <v>1</v>
      </c>
      <c r="AK199" s="100"/>
      <c r="AL199" s="103"/>
      <c r="AM199" s="103"/>
      <c r="AN199" s="102">
        <f>IFERROR(ROUND((VLOOKUP($A199,'Из ГУГЛа'!$B:$Z,AN$1,0)+AP199)*AO199,),VLOOKUP($A199,'Из ГУГЛа'!$B:$Z,AN$1,0))</f>
        <v>0</v>
      </c>
      <c r="AO199" s="100">
        <v>1</v>
      </c>
      <c r="AP199" s="100"/>
      <c r="AQ199" s="103"/>
      <c r="AR199" s="103"/>
    </row>
    <row r="200" spans="1:44" ht="53.25" thickTop="1" thickBot="1" x14ac:dyDescent="0.3">
      <c r="A200" s="57">
        <v>144962</v>
      </c>
      <c r="B200" s="57">
        <f>VLOOKUP($A200,'Выгр Кат'!$A:$T,B$1,0)</f>
        <v>13322</v>
      </c>
      <c r="C200" s="58" t="str">
        <f>VLOOKUP($A200,'Выгр Кат'!$A:$T,C$1,0)</f>
        <v>Жгут проводов контроллера для Лада Калина 8-ми клапанный двигатель, контроллер Итэлма 11183-52, Е-Газ</v>
      </c>
      <c r="D200" s="57" t="str">
        <f>VLOOKUP($A200,'Выгр Кат'!$A:$T,D$1,0)</f>
        <v>Y</v>
      </c>
      <c r="E200" s="57" t="str">
        <f>VLOOKUP($A200,'Выгр Кат'!$A:$T,E$1,0)</f>
        <v>1</v>
      </c>
      <c r="F200" s="57">
        <f>VLOOKUP($A200,'Выгр Кат'!$A:$T,F$1,0)</f>
        <v>0</v>
      </c>
      <c r="G200" s="57" t="str">
        <f>VLOOKUP($A200,'Выгр Кат'!$A:$T,G$1,0)</f>
        <v>1118372402640</v>
      </c>
      <c r="H200" s="57" t="str">
        <f>VLOOKUP($A200,'Выгр Кат'!$A:$T,H$1,0)</f>
        <v>1118-3724026</v>
      </c>
      <c r="I200" s="39" t="s">
        <v>656</v>
      </c>
      <c r="J200" s="1" t="s">
        <v>526</v>
      </c>
      <c r="K200" s="47">
        <f>VLOOKUP(I200,Прайс!A:E,5,0)</f>
        <v>15000</v>
      </c>
      <c r="L200" s="7">
        <f>VLOOKUP(K200,Наценка!$A$1:$B$8,2,1)</f>
        <v>1.3</v>
      </c>
      <c r="M200" s="44">
        <f t="shared" si="58"/>
        <v>19500</v>
      </c>
      <c r="N200" s="62">
        <f t="shared" si="54"/>
        <v>19490</v>
      </c>
      <c r="O200" s="60">
        <f>VLOOKUP($A200,'Выгр Кат'!$A:$P,O$1,0)</f>
        <v>13000</v>
      </c>
      <c r="P200" s="60">
        <f>VLOOKUP($A200,'Выгр Кат'!$A:$P,P$1,0)</f>
        <v>17790</v>
      </c>
      <c r="Q200" s="73">
        <f t="shared" si="55"/>
        <v>-2000</v>
      </c>
      <c r="R200" s="73">
        <f t="shared" si="56"/>
        <v>-1700</v>
      </c>
      <c r="S200" s="97">
        <f t="shared" si="59"/>
        <v>19490</v>
      </c>
      <c r="T200" s="98">
        <f t="shared" si="60"/>
        <v>0.29933333333333323</v>
      </c>
      <c r="U200" s="98" t="str">
        <f t="shared" si="61"/>
        <v/>
      </c>
      <c r="V200" s="98" t="str">
        <f t="shared" si="62"/>
        <v/>
      </c>
      <c r="W200" s="103"/>
      <c r="X200" s="102">
        <f>IFERROR(ROUND((VLOOKUP($A200,'Из ГУГЛа'!$B:$Z,X$1,0)+Z200)*Y200,),VLOOKUP($A200,'Из ГУГЛа'!$B:$Z,X$1,0))</f>
        <v>17890</v>
      </c>
      <c r="Y200" s="75">
        <v>1</v>
      </c>
      <c r="Z200" s="75">
        <v>0</v>
      </c>
      <c r="AA200" s="63">
        <v>17890</v>
      </c>
      <c r="AB200" s="63" t="s">
        <v>1215</v>
      </c>
      <c r="AC200" s="48" t="s">
        <v>1038</v>
      </c>
      <c r="AD200" s="102">
        <f>IFERROR(ROUND((VLOOKUP($A200,'Из ГУГЛа'!$B:$Z,AD$1,0)+AF200)*AE200,),VLOOKUP($A200,'Из ГУГЛа'!$B:$Z,AD$1,0))</f>
        <v>0</v>
      </c>
      <c r="AE200" s="100">
        <v>1</v>
      </c>
      <c r="AF200" s="100"/>
      <c r="AG200" s="103" t="s">
        <v>1017</v>
      </c>
      <c r="AH200" s="103"/>
      <c r="AI200" s="102">
        <f>IFERROR(ROUND((VLOOKUP($A200,'Из ГУГЛа'!$B:$Z,AI$1,0)+AK200)*AJ200,),VLOOKUP($A200,'Из ГУГЛа'!$B:$Z,AI$1,0))</f>
        <v>0</v>
      </c>
      <c r="AJ200" s="100">
        <v>1</v>
      </c>
      <c r="AK200" s="100"/>
      <c r="AL200" s="103"/>
      <c r="AM200" s="103"/>
      <c r="AN200" s="102">
        <f>IFERROR(ROUND((VLOOKUP($A200,'Из ГУГЛа'!$B:$Z,AN$1,0)+AP200)*AO200,),VLOOKUP($A200,'Из ГУГЛа'!$B:$Z,AN$1,0))</f>
        <v>0</v>
      </c>
      <c r="AO200" s="100">
        <v>1</v>
      </c>
      <c r="AP200" s="100"/>
      <c r="AQ200" s="103"/>
      <c r="AR200" s="103"/>
    </row>
    <row r="201" spans="1:44" ht="46.5" thickTop="1" thickBot="1" x14ac:dyDescent="0.3">
      <c r="A201" s="57">
        <v>144889</v>
      </c>
      <c r="B201" s="57">
        <f>VLOOKUP($A201,'Выгр Кат'!$A:$T,B$1,0)</f>
        <v>4010</v>
      </c>
      <c r="C201" s="58" t="str">
        <f>VLOOKUP($A201,'Выгр Кат'!$A:$T,C$1,0)</f>
        <v>Жгут проводов контроллера для Шевроле Нива двигатель 1.7 л, контроллер BOSCH 21230-30, 21230-40, 21230-90, с кондиционером</v>
      </c>
      <c r="D201" s="57" t="str">
        <f>VLOOKUP($A201,'Выгр Кат'!$A:$T,D$1,0)</f>
        <v>Y</v>
      </c>
      <c r="E201" s="57" t="str">
        <f>VLOOKUP($A201,'Выгр Кат'!$A:$T,E$1,0)</f>
        <v>1</v>
      </c>
      <c r="F201" s="57">
        <f>VLOOKUP($A201,'Выгр Кат'!$A:$T,F$1,0)</f>
        <v>0</v>
      </c>
      <c r="G201" s="57" t="str">
        <f>VLOOKUP($A201,'Выгр Кат'!$A:$T,G$1,0)</f>
        <v>21230372402682</v>
      </c>
      <c r="H201" s="57" t="str">
        <f>VLOOKUP($A201,'Выгр Кат'!$A:$T,H$1,0)</f>
        <v>2123-3724026</v>
      </c>
      <c r="I201" s="39"/>
      <c r="J201" s="1" t="s">
        <v>526</v>
      </c>
      <c r="K201" s="46">
        <v>15000</v>
      </c>
      <c r="L201" s="7">
        <f>VLOOKUP(K201,Наценка!$A$1:$B$8,2,1)</f>
        <v>1.3</v>
      </c>
      <c r="M201" s="44">
        <f t="shared" si="58"/>
        <v>19500</v>
      </c>
      <c r="N201" s="62">
        <f t="shared" si="54"/>
        <v>19490</v>
      </c>
      <c r="O201" s="60">
        <f>VLOOKUP($A201,'Выгр Кат'!$A:$P,O$1,0)</f>
        <v>11000</v>
      </c>
      <c r="P201" s="60">
        <f>VLOOKUP($A201,'Выгр Кат'!$A:$P,P$1,0)</f>
        <v>14890</v>
      </c>
      <c r="Q201" s="73">
        <f t="shared" si="55"/>
        <v>-4000</v>
      </c>
      <c r="R201" s="73">
        <f t="shared" si="56"/>
        <v>-4600</v>
      </c>
      <c r="S201" s="97">
        <f t="shared" si="59"/>
        <v>19490</v>
      </c>
      <c r="T201" s="98">
        <f t="shared" si="60"/>
        <v>0.29933333333333323</v>
      </c>
      <c r="U201" s="98" t="str">
        <f t="shared" si="61"/>
        <v/>
      </c>
      <c r="V201" s="98" t="str">
        <f t="shared" si="62"/>
        <v/>
      </c>
      <c r="W201" s="103"/>
      <c r="X201" s="102">
        <f>IFERROR(ROUND((VLOOKUP($A201,'Из ГУГЛа'!$B:$Z,X$1,0)+Z201)*Y201,),VLOOKUP($A201,'Из ГУГЛа'!$B:$Z,X$1,0))</f>
        <v>14990</v>
      </c>
      <c r="Y201" s="75">
        <v>1</v>
      </c>
      <c r="Z201" s="75">
        <v>0</v>
      </c>
      <c r="AA201" s="63">
        <v>14990</v>
      </c>
      <c r="AB201" s="63" t="s">
        <v>1215</v>
      </c>
      <c r="AC201" s="48" t="s">
        <v>1036</v>
      </c>
      <c r="AD201" s="102">
        <f>IFERROR(ROUND((VLOOKUP($A201,'Из ГУГЛа'!$B:$Z,AD$1,0)+AF201)*AE201,),VLOOKUP($A201,'Из ГУГЛа'!$B:$Z,AD$1,0))</f>
        <v>0</v>
      </c>
      <c r="AE201" s="100">
        <v>1</v>
      </c>
      <c r="AF201" s="100"/>
      <c r="AG201" s="103" t="s">
        <v>2045</v>
      </c>
      <c r="AH201" s="103" t="s">
        <v>2077</v>
      </c>
      <c r="AI201" s="102">
        <f>IFERROR(ROUND((VLOOKUP($A201,'Из ГУГЛа'!$B:$Z,AI$1,0)+AK201)*AJ201,),VLOOKUP($A201,'Из ГУГЛа'!$B:$Z,AI$1,0))</f>
        <v>0</v>
      </c>
      <c r="AJ201" s="100">
        <v>1</v>
      </c>
      <c r="AK201" s="100"/>
      <c r="AL201" s="103"/>
      <c r="AM201" s="103"/>
      <c r="AN201" s="102">
        <f>IFERROR(ROUND((VLOOKUP($A201,'Из ГУГЛа'!$B:$Z,AN$1,0)+AP201)*AO201,),VLOOKUP($A201,'Из ГУГЛа'!$B:$Z,AN$1,0))</f>
        <v>0</v>
      </c>
      <c r="AO201" s="100">
        <v>1</v>
      </c>
      <c r="AP201" s="100"/>
      <c r="AQ201" s="103"/>
      <c r="AR201" s="103"/>
    </row>
    <row r="202" spans="1:44" ht="46.5" thickTop="1" thickBot="1" x14ac:dyDescent="0.3">
      <c r="A202" s="57">
        <v>144961</v>
      </c>
      <c r="B202" s="57">
        <f>VLOOKUP($A202,'Выгр Кат'!$A:$T,B$1,0)</f>
        <v>13323</v>
      </c>
      <c r="C202" s="58" t="str">
        <f>VLOOKUP($A202,'Выгр Кат'!$A:$T,C$1,0)</f>
        <v>Жгут проводов контроллера для Лада Калина 8-ми клапанный двигатель 1.6 л, контроллер BOSCH 21114-1411020</v>
      </c>
      <c r="D202" s="57" t="str">
        <f>VLOOKUP($A202,'Выгр Кат'!$A:$T,D$1,0)</f>
        <v>Y</v>
      </c>
      <c r="E202" s="57" t="str">
        <f>VLOOKUP($A202,'Выгр Кат'!$A:$T,E$1,0)</f>
        <v>1</v>
      </c>
      <c r="F202" s="57">
        <f>VLOOKUP($A202,'Выгр Кат'!$A:$T,F$1,0)</f>
        <v>0</v>
      </c>
      <c r="G202" s="57" t="str">
        <f>VLOOKUP($A202,'Выгр Кат'!$A:$T,G$1,0)</f>
        <v>1118372402620</v>
      </c>
      <c r="H202" s="57" t="str">
        <f>VLOOKUP($A202,'Выгр Кат'!$A:$T,H$1,0)</f>
        <v>1118-3724026</v>
      </c>
      <c r="I202" s="39" t="s">
        <v>657</v>
      </c>
      <c r="J202" s="1" t="s">
        <v>526</v>
      </c>
      <c r="K202" s="47">
        <f>VLOOKUP(I202,Прайс!A:E,5,0)</f>
        <v>15000</v>
      </c>
      <c r="L202" s="7">
        <f>VLOOKUP(K202,Наценка!$A$1:$B$8,2,1)</f>
        <v>1.3</v>
      </c>
      <c r="M202" s="44">
        <f t="shared" si="58"/>
        <v>19500</v>
      </c>
      <c r="N202" s="62">
        <f t="shared" si="54"/>
        <v>19490</v>
      </c>
      <c r="O202" s="60">
        <f>VLOOKUP($A202,'Выгр Кат'!$A:$P,O$1,0)</f>
        <v>13000</v>
      </c>
      <c r="P202" s="60">
        <f>VLOOKUP($A202,'Выгр Кат'!$A:$P,P$1,0)</f>
        <v>17790</v>
      </c>
      <c r="Q202" s="73">
        <f t="shared" si="55"/>
        <v>-2000</v>
      </c>
      <c r="R202" s="73">
        <f t="shared" si="56"/>
        <v>-1700</v>
      </c>
      <c r="S202" s="97">
        <f t="shared" si="59"/>
        <v>19490</v>
      </c>
      <c r="T202" s="98">
        <f t="shared" si="60"/>
        <v>0.29933333333333323</v>
      </c>
      <c r="U202" s="98">
        <f t="shared" si="61"/>
        <v>-0.25628464612607965</v>
      </c>
      <c r="V202" s="98">
        <f t="shared" si="62"/>
        <v>3.4266666666666667E-2</v>
      </c>
      <c r="W202" s="106">
        <f t="shared" ref="W202:W210" si="63">MIN(AA202,AG202,AL202,AQ202)</f>
        <v>15514</v>
      </c>
      <c r="X202" s="102">
        <f>IFERROR(ROUND((VLOOKUP($A202,'Из ГУГЛа'!$B:$Z,X$1,0)+Z202)*Y202,),VLOOKUP($A202,'Из ГУГЛа'!$B:$Z,X$1,0))</f>
        <v>17890</v>
      </c>
      <c r="Y202" s="75">
        <v>1</v>
      </c>
      <c r="Z202" s="75">
        <v>0</v>
      </c>
      <c r="AA202" s="85">
        <v>17890</v>
      </c>
      <c r="AB202" s="63" t="s">
        <v>1215</v>
      </c>
      <c r="AC202" s="48" t="s">
        <v>882</v>
      </c>
      <c r="AD202" s="102">
        <f>IFERROR(ROUND((VLOOKUP($A202,'Из ГУГЛа'!$B:$Z,AD$1,0)+AF202)*AE202,),VLOOKUP($A202,'Из ГУГЛа'!$B:$Z,AD$1,0))</f>
        <v>0</v>
      </c>
      <c r="AE202" s="100">
        <v>1</v>
      </c>
      <c r="AF202" s="100"/>
      <c r="AG202" s="103">
        <v>15514</v>
      </c>
      <c r="AH202" s="103" t="s">
        <v>1983</v>
      </c>
      <c r="AI202" s="102">
        <f>IFERROR(ROUND((VLOOKUP($A202,'Из ГУГЛа'!$B:$Z,AI$1,0)+AK202)*AJ202,),VLOOKUP($A202,'Из ГУГЛа'!$B:$Z,AI$1,0))</f>
        <v>0</v>
      </c>
      <c r="AJ202" s="100">
        <v>1</v>
      </c>
      <c r="AK202" s="100"/>
      <c r="AL202" s="103"/>
      <c r="AM202" s="103"/>
      <c r="AN202" s="102">
        <f>IFERROR(ROUND((VLOOKUP($A202,'Из ГУГЛа'!$B:$Z,AN$1,0)+AP202)*AO202,),VLOOKUP($A202,'Из ГУГЛа'!$B:$Z,AN$1,0))</f>
        <v>0</v>
      </c>
      <c r="AO202" s="100">
        <v>1</v>
      </c>
      <c r="AP202" s="100"/>
      <c r="AQ202" s="103"/>
      <c r="AR202" s="103"/>
    </row>
    <row r="203" spans="1:44" ht="46.5" thickTop="1" thickBot="1" x14ac:dyDescent="0.3">
      <c r="A203" s="57">
        <v>144870</v>
      </c>
      <c r="B203" s="57">
        <f>VLOOKUP($A203,'Выгр Кат'!$A:$T,B$1,0)</f>
        <v>4005</v>
      </c>
      <c r="C203" s="58" t="str">
        <f>VLOOKUP($A203,'Выгр Кат'!$A:$T,C$1,0)</f>
        <v>Жгут проводов контроллера для Лада Калина 16-ти калпаный двигатель 1.6 л, контроллер BOSCH 11194-10, Автэл 11194-01, Итэлма 11194-02</v>
      </c>
      <c r="D203" s="57" t="str">
        <f>VLOOKUP($A203,'Выгр Кат'!$A:$T,D$1,0)</f>
        <v>Y</v>
      </c>
      <c r="E203" s="57" t="str">
        <f>VLOOKUP($A203,'Выгр Кат'!$A:$T,E$1,0)</f>
        <v>1</v>
      </c>
      <c r="F203" s="57">
        <f>VLOOKUP($A203,'Выгр Кат'!$A:$T,F$1,0)</f>
        <v>0</v>
      </c>
      <c r="G203" s="57" t="str">
        <f>VLOOKUP($A203,'Выгр Кат'!$A:$T,G$1,0)</f>
        <v>11184372402610</v>
      </c>
      <c r="H203" s="57" t="str">
        <f>VLOOKUP($A203,'Выгр Кат'!$A:$T,H$1,0)</f>
        <v>11184-3724026</v>
      </c>
      <c r="I203" s="39" t="s">
        <v>658</v>
      </c>
      <c r="J203" s="1" t="s">
        <v>526</v>
      </c>
      <c r="K203" s="47">
        <f>VLOOKUP(I203,Прайс!A:E,5,0)</f>
        <v>15000</v>
      </c>
      <c r="L203" s="7">
        <f>VLOOKUP(K203,Наценка!$A$1:$B$8,2,1)</f>
        <v>1.3</v>
      </c>
      <c r="M203" s="44">
        <f t="shared" si="58"/>
        <v>19500</v>
      </c>
      <c r="N203" s="62">
        <f t="shared" si="54"/>
        <v>19490</v>
      </c>
      <c r="O203" s="60">
        <f>VLOOKUP($A203,'Выгр Кат'!$A:$P,O$1,0)</f>
        <v>13000</v>
      </c>
      <c r="P203" s="60">
        <f>VLOOKUP($A203,'Выгр Кат'!$A:$P,P$1,0)</f>
        <v>17790</v>
      </c>
      <c r="Q203" s="73">
        <f t="shared" si="55"/>
        <v>-2000</v>
      </c>
      <c r="R203" s="73">
        <f t="shared" si="56"/>
        <v>-1700</v>
      </c>
      <c r="S203" s="97">
        <f t="shared" si="59"/>
        <v>19490</v>
      </c>
      <c r="T203" s="98">
        <f t="shared" si="60"/>
        <v>0.29933333333333323</v>
      </c>
      <c r="U203" s="98">
        <f t="shared" si="61"/>
        <v>-0.20101059896475229</v>
      </c>
      <c r="V203" s="98">
        <f t="shared" si="62"/>
        <v>8.1866666666666754E-2</v>
      </c>
      <c r="W203" s="106">
        <f t="shared" si="63"/>
        <v>16228</v>
      </c>
      <c r="X203" s="102">
        <f>IFERROR(ROUND((VLOOKUP($A203,'Из ГУГЛа'!$B:$Z,X$1,0)+Z203)*Y203,),VLOOKUP($A203,'Из ГУГЛа'!$B:$Z,X$1,0))</f>
        <v>17890</v>
      </c>
      <c r="Y203" s="75">
        <v>1</v>
      </c>
      <c r="Z203" s="75">
        <v>0</v>
      </c>
      <c r="AA203" s="63">
        <v>17890</v>
      </c>
      <c r="AB203" s="63" t="s">
        <v>1215</v>
      </c>
      <c r="AC203" s="48" t="s">
        <v>1037</v>
      </c>
      <c r="AD203" s="102">
        <f>IFERROR(ROUND((VLOOKUP($A203,'Из ГУГЛа'!$B:$Z,AD$1,0)+AF203)*AE203,),VLOOKUP($A203,'Из ГУГЛа'!$B:$Z,AD$1,0))</f>
        <v>0</v>
      </c>
      <c r="AE203" s="100">
        <v>1</v>
      </c>
      <c r="AF203" s="100"/>
      <c r="AG203" s="103">
        <v>16228</v>
      </c>
      <c r="AH203" s="103" t="s">
        <v>1984</v>
      </c>
      <c r="AI203" s="102">
        <f>IFERROR(ROUND((VLOOKUP($A203,'Из ГУГЛа'!$B:$Z,AI$1,0)+AK203)*AJ203,),VLOOKUP($A203,'Из ГУГЛа'!$B:$Z,AI$1,0))</f>
        <v>0</v>
      </c>
      <c r="AJ203" s="100">
        <v>1</v>
      </c>
      <c r="AK203" s="100"/>
      <c r="AL203" s="103"/>
      <c r="AM203" s="103"/>
      <c r="AN203" s="102">
        <f>IFERROR(ROUND((VLOOKUP($A203,'Из ГУГЛа'!$B:$Z,AN$1,0)+AP203)*AO203,),VLOOKUP($A203,'Из ГУГЛа'!$B:$Z,AN$1,0))</f>
        <v>0</v>
      </c>
      <c r="AO203" s="100">
        <v>1</v>
      </c>
      <c r="AP203" s="100"/>
      <c r="AQ203" s="103"/>
      <c r="AR203" s="103"/>
    </row>
    <row r="204" spans="1:44" ht="46.5" thickTop="1" thickBot="1" x14ac:dyDescent="0.3">
      <c r="A204" s="57">
        <v>144965</v>
      </c>
      <c r="B204" s="57">
        <f>VLOOKUP($A204,'Выгр Кат'!$A:$T,B$1,0)</f>
        <v>13426</v>
      </c>
      <c r="C204" s="58" t="str">
        <f>VLOOKUP($A204,'Выгр Кат'!$A:$T,C$1,0)</f>
        <v>Жгут проводов контроллера для Лада Нива 4х4 инжекторный двигатель, контроллер Bosch 21214-20 VS 7.9.7, Евро 3</v>
      </c>
      <c r="D204" s="57" t="str">
        <f>VLOOKUP($A204,'Выгр Кат'!$A:$T,D$1,0)</f>
        <v>Y</v>
      </c>
      <c r="E204" s="57" t="str">
        <f>VLOOKUP($A204,'Выгр Кат'!$A:$T,E$1,0)</f>
        <v>1</v>
      </c>
      <c r="F204" s="57">
        <f>VLOOKUP($A204,'Выгр Кат'!$A:$T,F$1,0)</f>
        <v>0</v>
      </c>
      <c r="G204" s="57" t="str">
        <f>VLOOKUP($A204,'Выгр Кат'!$A:$T,G$1,0)</f>
        <v>21214372402621</v>
      </c>
      <c r="H204" s="57" t="str">
        <f>VLOOKUP($A204,'Выгр Кат'!$A:$T,H$1,0)</f>
        <v>21214-3724026</v>
      </c>
      <c r="I204" s="39" t="s">
        <v>667</v>
      </c>
      <c r="J204" s="1" t="s">
        <v>526</v>
      </c>
      <c r="K204" s="46">
        <v>15000</v>
      </c>
      <c r="L204" s="7">
        <f>VLOOKUP(K204,Наценка!$A$1:$B$8,2,1)</f>
        <v>1.3</v>
      </c>
      <c r="M204" s="44">
        <f t="shared" si="58"/>
        <v>19500</v>
      </c>
      <c r="N204" s="62">
        <f t="shared" si="54"/>
        <v>19490</v>
      </c>
      <c r="O204" s="60">
        <f>VLOOKUP($A204,'Выгр Кат'!$A:$P,O$1,0)</f>
        <v>12000</v>
      </c>
      <c r="P204" s="60">
        <f>VLOOKUP($A204,'Выгр Кат'!$A:$P,P$1,0)</f>
        <v>16390</v>
      </c>
      <c r="Q204" s="73">
        <f t="shared" si="55"/>
        <v>-3000</v>
      </c>
      <c r="R204" s="73">
        <f t="shared" si="56"/>
        <v>-3100</v>
      </c>
      <c r="S204" s="97">
        <f t="shared" si="59"/>
        <v>19490</v>
      </c>
      <c r="T204" s="98">
        <f t="shared" si="60"/>
        <v>0.29933333333333323</v>
      </c>
      <c r="U204" s="98">
        <f t="shared" si="61"/>
        <v>-0.22841295852766924</v>
      </c>
      <c r="V204" s="98">
        <f t="shared" si="62"/>
        <v>5.7733333333333414E-2</v>
      </c>
      <c r="W204" s="106">
        <f t="shared" si="63"/>
        <v>15866</v>
      </c>
      <c r="X204" s="102">
        <f>IFERROR(ROUND((VLOOKUP($A204,'Из ГУГЛа'!$B:$Z,X$1,0)+Z204)*Y204,),VLOOKUP($A204,'Из ГУГЛа'!$B:$Z,X$1,0))</f>
        <v>16490</v>
      </c>
      <c r="Y204" s="75">
        <v>1</v>
      </c>
      <c r="Z204" s="75">
        <v>0</v>
      </c>
      <c r="AA204" s="85">
        <v>16490</v>
      </c>
      <c r="AB204" s="63" t="s">
        <v>1215</v>
      </c>
      <c r="AC204" s="48" t="s">
        <v>881</v>
      </c>
      <c r="AD204" s="102">
        <f>IFERROR(ROUND((VLOOKUP($A204,'Из ГУГЛа'!$B:$Z,AD$1,0)+AF204)*AE204,),VLOOKUP($A204,'Из ГУГЛа'!$B:$Z,AD$1,0))</f>
        <v>0</v>
      </c>
      <c r="AE204" s="100">
        <v>1</v>
      </c>
      <c r="AF204" s="100"/>
      <c r="AG204" s="103">
        <v>15866</v>
      </c>
      <c r="AH204" s="103" t="s">
        <v>1985</v>
      </c>
      <c r="AI204" s="102">
        <f>IFERROR(ROUND((VLOOKUP($A204,'Из ГУГЛа'!$B:$Z,AI$1,0)+AK204)*AJ204,),VLOOKUP($A204,'Из ГУГЛа'!$B:$Z,AI$1,0))</f>
        <v>0</v>
      </c>
      <c r="AJ204" s="100">
        <v>1</v>
      </c>
      <c r="AK204" s="100"/>
      <c r="AL204" s="103"/>
      <c r="AM204" s="103"/>
      <c r="AN204" s="102">
        <f>IFERROR(ROUND((VLOOKUP($A204,'Из ГУГЛа'!$B:$Z,AN$1,0)+AP204)*AO204,),VLOOKUP($A204,'Из ГУГЛа'!$B:$Z,AN$1,0))</f>
        <v>0</v>
      </c>
      <c r="AO204" s="100">
        <v>1</v>
      </c>
      <c r="AP204" s="100"/>
      <c r="AQ204" s="103"/>
      <c r="AR204" s="103"/>
    </row>
    <row r="205" spans="1:44" ht="66" thickTop="1" thickBot="1" x14ac:dyDescent="0.3">
      <c r="A205" s="57">
        <v>144966</v>
      </c>
      <c r="B205" s="57">
        <f>VLOOKUP($A205,'Выгр Кат'!$A:$T,B$1,0)</f>
        <v>13427</v>
      </c>
      <c r="C205" s="58" t="str">
        <f>VLOOKUP($A205,'Выгр Кат'!$A:$T,C$1,0)</f>
        <v>Жгут проводов контроллера для Лада Нива 4х4 инжекторный двигатель, коктроллер Bosch 21214-50 М 17.9.7, Е-Газ</v>
      </c>
      <c r="D205" s="57" t="str">
        <f>VLOOKUP($A205,'Выгр Кат'!$A:$T,D$1,0)</f>
        <v>Y</v>
      </c>
      <c r="E205" s="57" t="str">
        <f>VLOOKUP($A205,'Выгр Кат'!$A:$T,E$1,0)</f>
        <v>1</v>
      </c>
      <c r="F205" s="57">
        <f>VLOOKUP($A205,'Выгр Кат'!$A:$T,F$1,0)</f>
        <v>0</v>
      </c>
      <c r="G205" s="57" t="str">
        <f>VLOOKUP($A205,'Выгр Кат'!$A:$T,G$1,0)</f>
        <v>21214372402644</v>
      </c>
      <c r="H205" s="57" t="str">
        <f>VLOOKUP($A205,'Выгр Кат'!$A:$T,H$1,0)</f>
        <v>21214-3724026</v>
      </c>
      <c r="I205" s="39" t="s">
        <v>668</v>
      </c>
      <c r="J205" s="1" t="s">
        <v>526</v>
      </c>
      <c r="K205" s="47">
        <f>VLOOKUP(I205,Прайс!A:E,5,0)</f>
        <v>15000</v>
      </c>
      <c r="L205" s="7">
        <f>VLOOKUP(K205,Наценка!$A$1:$B$8,2,1)</f>
        <v>1.3</v>
      </c>
      <c r="M205" s="44">
        <f t="shared" si="58"/>
        <v>19500</v>
      </c>
      <c r="N205" s="62">
        <f t="shared" si="54"/>
        <v>19490</v>
      </c>
      <c r="O205" s="60">
        <f>VLOOKUP($A205,'Выгр Кат'!$A:$P,O$1,0)</f>
        <v>13000</v>
      </c>
      <c r="P205" s="60">
        <f>VLOOKUP($A205,'Выгр Кат'!$A:$P,P$1,0)</f>
        <v>17790</v>
      </c>
      <c r="Q205" s="73">
        <f t="shared" si="55"/>
        <v>-2000</v>
      </c>
      <c r="R205" s="73">
        <f t="shared" si="56"/>
        <v>-1700</v>
      </c>
      <c r="S205" s="97">
        <f t="shared" si="59"/>
        <v>19490</v>
      </c>
      <c r="T205" s="98">
        <f t="shared" si="60"/>
        <v>0.29933333333333323</v>
      </c>
      <c r="U205" s="98">
        <f t="shared" si="61"/>
        <v>-8.9435438792621572E-2</v>
      </c>
      <c r="V205" s="98">
        <f t="shared" si="62"/>
        <v>0.19266666666666676</v>
      </c>
      <c r="W205" s="106">
        <f t="shared" si="63"/>
        <v>17890</v>
      </c>
      <c r="X205" s="102">
        <f>IFERROR(ROUND((VLOOKUP($A205,'Из ГУГЛа'!$B:$Z,X$1,0)+Z205)*Y205,),VLOOKUP($A205,'Из ГУГЛа'!$B:$Z,X$1,0))</f>
        <v>17890</v>
      </c>
      <c r="Y205" s="75">
        <v>1</v>
      </c>
      <c r="Z205" s="75">
        <v>0</v>
      </c>
      <c r="AA205" s="85">
        <v>17890</v>
      </c>
      <c r="AB205" s="63" t="s">
        <v>1215</v>
      </c>
      <c r="AC205" s="48" t="s">
        <v>811</v>
      </c>
      <c r="AD205" s="102">
        <f>IFERROR(ROUND((VLOOKUP($A205,'Из ГУГЛа'!$B:$Z,AD$1,0)+AF205)*AE205,),VLOOKUP($A205,'Из ГУГЛа'!$B:$Z,AD$1,0))</f>
        <v>0</v>
      </c>
      <c r="AE205" s="100">
        <v>1</v>
      </c>
      <c r="AF205" s="100"/>
      <c r="AG205" s="103">
        <v>18391</v>
      </c>
      <c r="AH205" s="103" t="s">
        <v>1986</v>
      </c>
      <c r="AI205" s="102">
        <f>IFERROR(ROUND((VLOOKUP($A205,'Из ГУГЛа'!$B:$Z,AI$1,0)+AK205)*AJ205,),VLOOKUP($A205,'Из ГУГЛа'!$B:$Z,AI$1,0))</f>
        <v>0</v>
      </c>
      <c r="AJ205" s="100">
        <v>1</v>
      </c>
      <c r="AK205" s="100"/>
      <c r="AL205" s="103"/>
      <c r="AM205" s="103"/>
      <c r="AN205" s="102">
        <f>IFERROR(ROUND((VLOOKUP($A205,'Из ГУГЛа'!$B:$Z,AN$1,0)+AP205)*AO205,),VLOOKUP($A205,'Из ГУГЛа'!$B:$Z,AN$1,0))</f>
        <v>0</v>
      </c>
      <c r="AO205" s="100">
        <v>1</v>
      </c>
      <c r="AP205" s="100"/>
      <c r="AQ205" s="103"/>
      <c r="AR205" s="103"/>
    </row>
    <row r="206" spans="1:44" ht="53.25" thickTop="1" thickBot="1" x14ac:dyDescent="0.3">
      <c r="A206" s="57">
        <v>144969</v>
      </c>
      <c r="B206" s="57">
        <f>VLOOKUP($A206,'Выгр Кат'!$A:$T,B$1,0)</f>
        <v>13408</v>
      </c>
      <c r="C206" s="58" t="str">
        <f>VLOOKUP($A206,'Выгр Кат'!$A:$T,C$1,0)</f>
        <v>Жгут проводов контроллера для Шевроле Нивадвигатель 1.7 л, контроллер BOSCH 21230-00, 21230-90, без кондиционера, Евро 2</v>
      </c>
      <c r="D206" s="57" t="str">
        <f>VLOOKUP($A206,'Выгр Кат'!$A:$T,D$1,0)</f>
        <v>Y</v>
      </c>
      <c r="E206" s="57" t="str">
        <f>VLOOKUP($A206,'Выгр Кат'!$A:$T,E$1,0)</f>
        <v>1</v>
      </c>
      <c r="F206" s="57">
        <f>VLOOKUP($A206,'Выгр Кат'!$A:$T,F$1,0)</f>
        <v>0</v>
      </c>
      <c r="G206" s="57" t="str">
        <f>VLOOKUP($A206,'Выгр Кат'!$A:$T,G$1,0)</f>
        <v>2123372402630</v>
      </c>
      <c r="H206" s="57" t="str">
        <f>VLOOKUP($A206,'Выгр Кат'!$A:$T,H$1,0)</f>
        <v>2123-3724026</v>
      </c>
      <c r="I206" s="39" t="s">
        <v>682</v>
      </c>
      <c r="J206" s="1" t="s">
        <v>526</v>
      </c>
      <c r="K206" s="47">
        <f>VLOOKUP(I206,Прайс!A:E,5,0)</f>
        <v>15000</v>
      </c>
      <c r="L206" s="7">
        <f>VLOOKUP(K206,Наценка!$A$1:$B$8,2,1)</f>
        <v>1.3</v>
      </c>
      <c r="M206" s="44">
        <f t="shared" si="58"/>
        <v>19500</v>
      </c>
      <c r="N206" s="62">
        <f t="shared" si="54"/>
        <v>19490</v>
      </c>
      <c r="O206" s="60">
        <f>VLOOKUP($A206,'Выгр Кат'!$A:$P,O$1,0)</f>
        <v>12000</v>
      </c>
      <c r="P206" s="60">
        <f>VLOOKUP($A206,'Выгр Кат'!$A:$P,P$1,0)</f>
        <v>16390</v>
      </c>
      <c r="Q206" s="73">
        <f t="shared" si="55"/>
        <v>-3000</v>
      </c>
      <c r="R206" s="73">
        <f t="shared" si="56"/>
        <v>-3100</v>
      </c>
      <c r="S206" s="97">
        <f t="shared" si="59"/>
        <v>19490</v>
      </c>
      <c r="T206" s="98">
        <f t="shared" si="60"/>
        <v>0.29933333333333323</v>
      </c>
      <c r="U206" s="98">
        <f t="shared" si="61"/>
        <v>-0.24076903488668194</v>
      </c>
      <c r="V206" s="98">
        <f t="shared" si="62"/>
        <v>4.7199999999999909E-2</v>
      </c>
      <c r="W206" s="106">
        <f t="shared" si="63"/>
        <v>15708</v>
      </c>
      <c r="X206" s="102">
        <f>IFERROR(ROUND((VLOOKUP($A206,'Из ГУГЛа'!$B:$Z,X$1,0)+Z206)*Y206,),VLOOKUP($A206,'Из ГУГЛа'!$B:$Z,X$1,0))</f>
        <v>16490</v>
      </c>
      <c r="Y206" s="75">
        <v>1</v>
      </c>
      <c r="Z206" s="75">
        <v>0</v>
      </c>
      <c r="AA206" s="63">
        <v>16490</v>
      </c>
      <c r="AB206" s="63" t="s">
        <v>1215</v>
      </c>
      <c r="AC206" s="48" t="s">
        <v>1035</v>
      </c>
      <c r="AD206" s="102">
        <f>IFERROR(ROUND((VLOOKUP($A206,'Из ГУГЛа'!$B:$Z,AD$1,0)+AF206)*AE206,),VLOOKUP($A206,'Из ГУГЛа'!$B:$Z,AD$1,0))</f>
        <v>0</v>
      </c>
      <c r="AE206" s="100">
        <v>1</v>
      </c>
      <c r="AF206" s="100"/>
      <c r="AG206" s="103">
        <v>15708</v>
      </c>
      <c r="AH206" s="103" t="s">
        <v>1987</v>
      </c>
      <c r="AI206" s="102">
        <f>IFERROR(ROUND((VLOOKUP($A206,'Из ГУГЛа'!$B:$Z,AI$1,0)+AK206)*AJ206,),VLOOKUP($A206,'Из ГУГЛа'!$B:$Z,AI$1,0))</f>
        <v>0</v>
      </c>
      <c r="AJ206" s="100">
        <v>1</v>
      </c>
      <c r="AK206" s="100"/>
      <c r="AL206" s="103"/>
      <c r="AM206" s="103"/>
      <c r="AN206" s="102">
        <f>IFERROR(ROUND((VLOOKUP($A206,'Из ГУГЛа'!$B:$Z,AN$1,0)+AP206)*AO206,),VLOOKUP($A206,'Из ГУГЛа'!$B:$Z,AN$1,0))</f>
        <v>0</v>
      </c>
      <c r="AO206" s="100">
        <v>1</v>
      </c>
      <c r="AP206" s="100"/>
      <c r="AQ206" s="103"/>
      <c r="AR206" s="103"/>
    </row>
    <row r="207" spans="1:44" ht="53.25" thickTop="1" thickBot="1" x14ac:dyDescent="0.3">
      <c r="A207" s="57">
        <v>144970</v>
      </c>
      <c r="B207" s="57">
        <f>VLOOKUP($A207,'Выгр Кат'!$A:$T,B$1,0)</f>
        <v>13409</v>
      </c>
      <c r="C207" s="58" t="str">
        <f>VLOOKUP($A207,'Выгр Кат'!$A:$T,C$1,0)</f>
        <v>Жгут проводов контроллера для Шевроле Нива двигатель 1.7 л, контроллер BOSCH 21230-30, 21230-40, 21230-00, без кондиционера</v>
      </c>
      <c r="D207" s="57" t="str">
        <f>VLOOKUP($A207,'Выгр Кат'!$A:$T,D$1,0)</f>
        <v>Y</v>
      </c>
      <c r="E207" s="57" t="str">
        <f>VLOOKUP($A207,'Выгр Кат'!$A:$T,E$1,0)</f>
        <v>1</v>
      </c>
      <c r="F207" s="57">
        <f>VLOOKUP($A207,'Выгр Кат'!$A:$T,F$1,0)</f>
        <v>0</v>
      </c>
      <c r="G207" s="57" t="str">
        <f>VLOOKUP($A207,'Выгр Кат'!$A:$T,G$1,0)</f>
        <v>2123372402660</v>
      </c>
      <c r="H207" s="57" t="str">
        <f>VLOOKUP($A207,'Выгр Кат'!$A:$T,H$1,0)</f>
        <v>2123-3724026</v>
      </c>
      <c r="I207" s="39" t="s">
        <v>683</v>
      </c>
      <c r="J207" s="1" t="s">
        <v>526</v>
      </c>
      <c r="K207" s="47">
        <f>VLOOKUP(I207,Прайс!A:E,5,0)</f>
        <v>15000</v>
      </c>
      <c r="L207" s="7">
        <f>VLOOKUP(K207,Наценка!$A$1:$B$8,2,1)</f>
        <v>1.3</v>
      </c>
      <c r="M207" s="44">
        <f t="shared" si="58"/>
        <v>19500</v>
      </c>
      <c r="N207" s="62">
        <f t="shared" si="54"/>
        <v>19490</v>
      </c>
      <c r="O207" s="60">
        <f>VLOOKUP($A207,'Выгр Кат'!$A:$P,O$1,0)</f>
        <v>12000</v>
      </c>
      <c r="P207" s="60">
        <f>VLOOKUP($A207,'Выгр Кат'!$A:$P,P$1,0)</f>
        <v>16390</v>
      </c>
      <c r="Q207" s="73">
        <f t="shared" si="55"/>
        <v>-3000</v>
      </c>
      <c r="R207" s="73">
        <f t="shared" si="56"/>
        <v>-3100</v>
      </c>
      <c r="S207" s="97">
        <f t="shared" si="59"/>
        <v>19490</v>
      </c>
      <c r="T207" s="98">
        <f t="shared" si="60"/>
        <v>0.29933333333333323</v>
      </c>
      <c r="U207" s="98">
        <f t="shared" si="61"/>
        <v>-0.25693280020637171</v>
      </c>
      <c r="V207" s="98">
        <f t="shared" si="62"/>
        <v>3.3733333333333393E-2</v>
      </c>
      <c r="W207" s="106">
        <f t="shared" si="63"/>
        <v>15506</v>
      </c>
      <c r="X207" s="102">
        <f>IFERROR(ROUND((VLOOKUP($A207,'Из ГУГЛа'!$B:$Z,X$1,0)+Z207)*Y207,),VLOOKUP($A207,'Из ГУГЛа'!$B:$Z,X$1,0))</f>
        <v>16490</v>
      </c>
      <c r="Y207" s="75">
        <v>1</v>
      </c>
      <c r="Z207" s="75">
        <v>0</v>
      </c>
      <c r="AA207" s="63">
        <v>16490</v>
      </c>
      <c r="AB207" s="63" t="s">
        <v>1215</v>
      </c>
      <c r="AC207" s="48" t="s">
        <v>1034</v>
      </c>
      <c r="AD207" s="102">
        <f>IFERROR(ROUND((VLOOKUP($A207,'Из ГУГЛа'!$B:$Z,AD$1,0)+AF207)*AE207,),VLOOKUP($A207,'Из ГУГЛа'!$B:$Z,AD$1,0))</f>
        <v>0</v>
      </c>
      <c r="AE207" s="100">
        <v>1</v>
      </c>
      <c r="AF207" s="100"/>
      <c r="AG207" s="103">
        <v>15506</v>
      </c>
      <c r="AH207" s="103" t="s">
        <v>1988</v>
      </c>
      <c r="AI207" s="102">
        <f>IFERROR(ROUND((VLOOKUP($A207,'Из ГУГЛа'!$B:$Z,AI$1,0)+AK207)*AJ207,),VLOOKUP($A207,'Из ГУГЛа'!$B:$Z,AI$1,0))</f>
        <v>0</v>
      </c>
      <c r="AJ207" s="100">
        <v>1</v>
      </c>
      <c r="AK207" s="100"/>
      <c r="AL207" s="103"/>
      <c r="AM207" s="103"/>
      <c r="AN207" s="102">
        <f>IFERROR(ROUND((VLOOKUP($A207,'Из ГУГЛа'!$B:$Z,AN$1,0)+AP207)*AO207,),VLOOKUP($A207,'Из ГУГЛа'!$B:$Z,AN$1,0))</f>
        <v>0</v>
      </c>
      <c r="AO207" s="100">
        <v>1</v>
      </c>
      <c r="AP207" s="100"/>
      <c r="AQ207" s="103"/>
      <c r="AR207" s="103"/>
    </row>
    <row r="208" spans="1:44" ht="53.25" thickTop="1" thickBot="1" x14ac:dyDescent="0.3">
      <c r="A208" s="57">
        <v>144888</v>
      </c>
      <c r="B208" s="57">
        <f>VLOOKUP($A208,'Выгр Кат'!$A:$T,B$1,0)</f>
        <v>4008</v>
      </c>
      <c r="C208" s="58" t="str">
        <f>VLOOKUP($A208,'Выгр Кат'!$A:$T,C$1,0)</f>
        <v>Жгут проводов контроллера для Шевроле Нива двигатель 1.7 л, контроллер BOSCH 21230-30, 21230-40, с кондиционером, Е-газ</v>
      </c>
      <c r="D208" s="57" t="str">
        <f>VLOOKUP($A208,'Выгр Кат'!$A:$T,D$1,0)</f>
        <v>Y</v>
      </c>
      <c r="E208" s="57" t="str">
        <f>VLOOKUP($A208,'Выгр Кат'!$A:$T,E$1,0)</f>
        <v>1</v>
      </c>
      <c r="F208" s="57">
        <f>VLOOKUP($A208,'Выгр Кат'!$A:$T,F$1,0)</f>
        <v>0</v>
      </c>
      <c r="G208" s="57" t="str">
        <f>VLOOKUP($A208,'Выгр Кат'!$A:$T,G$1,0)</f>
        <v>21230372402680</v>
      </c>
      <c r="H208" s="57" t="str">
        <f>VLOOKUP($A208,'Выгр Кат'!$A:$T,H$1,0)</f>
        <v>2123-3724026</v>
      </c>
      <c r="I208" s="39" t="s">
        <v>685</v>
      </c>
      <c r="J208" s="1" t="s">
        <v>526</v>
      </c>
      <c r="K208" s="47">
        <f>VLOOKUP(I208,Прайс!A:E,5,0)</f>
        <v>15000</v>
      </c>
      <c r="L208" s="7">
        <f>VLOOKUP(K208,Наценка!$A$1:$B$8,2,1)</f>
        <v>1.3</v>
      </c>
      <c r="M208" s="44">
        <f t="shared" si="58"/>
        <v>19500</v>
      </c>
      <c r="N208" s="62">
        <f t="shared" si="54"/>
        <v>19490</v>
      </c>
      <c r="O208" s="60">
        <f>VLOOKUP($A208,'Выгр Кат'!$A:$P,O$1,0)</f>
        <v>12000</v>
      </c>
      <c r="P208" s="60">
        <f>VLOOKUP($A208,'Выгр Кат'!$A:$P,P$1,0)</f>
        <v>16390</v>
      </c>
      <c r="Q208" s="73">
        <f t="shared" si="55"/>
        <v>-3000</v>
      </c>
      <c r="R208" s="73">
        <f t="shared" si="56"/>
        <v>-3100</v>
      </c>
      <c r="S208" s="97">
        <f t="shared" si="59"/>
        <v>19490</v>
      </c>
      <c r="T208" s="98">
        <f t="shared" si="60"/>
        <v>0.29933333333333323</v>
      </c>
      <c r="U208" s="98">
        <f t="shared" si="61"/>
        <v>-0.39653195758096876</v>
      </c>
      <c r="V208" s="98">
        <f t="shared" si="62"/>
        <v>-6.9599999999999995E-2</v>
      </c>
      <c r="W208" s="106">
        <f t="shared" si="63"/>
        <v>13956</v>
      </c>
      <c r="X208" s="102">
        <f>IFERROR(ROUND((VLOOKUP($A208,'Из ГУГЛа'!$B:$Z,X$1,0)+Z208)*Y208,),VLOOKUP($A208,'Из ГУГЛа'!$B:$Z,X$1,0))</f>
        <v>16490</v>
      </c>
      <c r="Y208" s="75">
        <v>1</v>
      </c>
      <c r="Z208" s="75">
        <v>0</v>
      </c>
      <c r="AA208" s="63">
        <v>16490</v>
      </c>
      <c r="AB208" s="63" t="s">
        <v>1215</v>
      </c>
      <c r="AC208" s="48" t="s">
        <v>1033</v>
      </c>
      <c r="AD208" s="102">
        <f>IFERROR(ROUND((VLOOKUP($A208,'Из ГУГЛа'!$B:$Z,AD$1,0)+AF208)*AE208,),VLOOKUP($A208,'Из ГУГЛа'!$B:$Z,AD$1,0))</f>
        <v>0</v>
      </c>
      <c r="AE208" s="100">
        <v>1</v>
      </c>
      <c r="AF208" s="100"/>
      <c r="AG208" s="103">
        <v>13956</v>
      </c>
      <c r="AH208" s="103" t="s">
        <v>2078</v>
      </c>
      <c r="AI208" s="102">
        <f>IFERROR(ROUND((VLOOKUP($A208,'Из ГУГЛа'!$B:$Z,AI$1,0)+AK208)*AJ208,),VLOOKUP($A208,'Из ГУГЛа'!$B:$Z,AI$1,0))</f>
        <v>0</v>
      </c>
      <c r="AJ208" s="100">
        <v>1</v>
      </c>
      <c r="AK208" s="100"/>
      <c r="AL208" s="103"/>
      <c r="AM208" s="103"/>
      <c r="AN208" s="102">
        <f>IFERROR(ROUND((VLOOKUP($A208,'Из ГУГЛа'!$B:$Z,AN$1,0)+AP208)*AO208,),VLOOKUP($A208,'Из ГУГЛа'!$B:$Z,AN$1,0))</f>
        <v>0</v>
      </c>
      <c r="AO208" s="100">
        <v>1</v>
      </c>
      <c r="AP208" s="100"/>
      <c r="AQ208" s="103"/>
      <c r="AR208" s="103"/>
    </row>
    <row r="209" spans="1:44" ht="53.25" thickTop="1" thickBot="1" x14ac:dyDescent="0.3">
      <c r="A209" s="57">
        <v>144971</v>
      </c>
      <c r="B209" s="57">
        <f>VLOOKUP($A209,'Выгр Кат'!$A:$T,B$1,0)</f>
        <v>13410</v>
      </c>
      <c r="C209" s="58" t="str">
        <f>VLOOKUP($A209,'Выгр Кат'!$A:$T,C$1,0)</f>
        <v>Жгут проводов контроллера для Шевроле Нива двигатель 1.7 л, контроллер BOSCH 21230-90, с кондиционером</v>
      </c>
      <c r="D209" s="57" t="str">
        <f>VLOOKUP($A209,'Выгр Кат'!$A:$T,D$1,0)</f>
        <v>Y</v>
      </c>
      <c r="E209" s="57" t="str">
        <f>VLOOKUP($A209,'Выгр Кат'!$A:$T,E$1,0)</f>
        <v>1</v>
      </c>
      <c r="F209" s="57">
        <f>VLOOKUP($A209,'Выгр Кат'!$A:$T,F$1,0)</f>
        <v>0</v>
      </c>
      <c r="G209" s="57" t="str">
        <f>VLOOKUP($A209,'Выгр Кат'!$A:$T,G$1,0)</f>
        <v>2123372402690</v>
      </c>
      <c r="H209" s="57" t="str">
        <f>VLOOKUP($A209,'Выгр Кат'!$A:$T,H$1,0)</f>
        <v>2123-3724026</v>
      </c>
      <c r="I209" s="39" t="s">
        <v>684</v>
      </c>
      <c r="J209" s="1" t="s">
        <v>526</v>
      </c>
      <c r="K209" s="47">
        <f>VLOOKUP(I209,Прайс!A:E,5,0)</f>
        <v>15000</v>
      </c>
      <c r="L209" s="7">
        <f>VLOOKUP(K209,Наценка!$A$1:$B$8,2,1)</f>
        <v>1.3</v>
      </c>
      <c r="M209" s="44">
        <f t="shared" si="58"/>
        <v>19500</v>
      </c>
      <c r="N209" s="62">
        <f t="shared" si="54"/>
        <v>19490</v>
      </c>
      <c r="O209" s="60">
        <f>VLOOKUP($A209,'Выгр Кат'!$A:$P,O$1,0)</f>
        <v>12000</v>
      </c>
      <c r="P209" s="60">
        <f>VLOOKUP($A209,'Выгр Кат'!$A:$P,P$1,0)</f>
        <v>16390</v>
      </c>
      <c r="Q209" s="73">
        <f t="shared" si="55"/>
        <v>-3000</v>
      </c>
      <c r="R209" s="73">
        <f t="shared" si="56"/>
        <v>-3100</v>
      </c>
      <c r="S209" s="97">
        <f t="shared" si="59"/>
        <v>19490</v>
      </c>
      <c r="T209" s="98">
        <f t="shared" si="60"/>
        <v>0.29933333333333323</v>
      </c>
      <c r="U209" s="98">
        <f t="shared" si="61"/>
        <v>-0.25693280020637171</v>
      </c>
      <c r="V209" s="98">
        <f t="shared" si="62"/>
        <v>3.3733333333333393E-2</v>
      </c>
      <c r="W209" s="106">
        <f t="shared" si="63"/>
        <v>15506</v>
      </c>
      <c r="X209" s="102">
        <f>IFERROR(ROUND((VLOOKUP($A209,'Из ГУГЛа'!$B:$Z,X$1,0)+Z209)*Y209,),VLOOKUP($A209,'Из ГУГЛа'!$B:$Z,X$1,0))</f>
        <v>16490</v>
      </c>
      <c r="Y209" s="75">
        <v>1</v>
      </c>
      <c r="Z209" s="75">
        <v>0</v>
      </c>
      <c r="AA209" s="63">
        <v>16490</v>
      </c>
      <c r="AB209" s="63" t="s">
        <v>1215</v>
      </c>
      <c r="AC209" s="48" t="s">
        <v>1032</v>
      </c>
      <c r="AD209" s="102">
        <f>IFERROR(ROUND((VLOOKUP($A209,'Из ГУГЛа'!$B:$Z,AD$1,0)+AF209)*AE209,),VLOOKUP($A209,'Из ГУГЛа'!$B:$Z,AD$1,0))</f>
        <v>0</v>
      </c>
      <c r="AE209" s="100">
        <v>1</v>
      </c>
      <c r="AF209" s="100"/>
      <c r="AG209" s="103">
        <v>15506</v>
      </c>
      <c r="AH209" s="103" t="s">
        <v>1989</v>
      </c>
      <c r="AI209" s="102">
        <f>IFERROR(ROUND((VLOOKUP($A209,'Из ГУГЛа'!$B:$Z,AI$1,0)+AK209)*AJ209,),VLOOKUP($A209,'Из ГУГЛа'!$B:$Z,AI$1,0))</f>
        <v>0</v>
      </c>
      <c r="AJ209" s="100">
        <v>1</v>
      </c>
      <c r="AK209" s="100"/>
      <c r="AL209" s="103"/>
      <c r="AM209" s="103"/>
      <c r="AN209" s="102">
        <f>IFERROR(ROUND((VLOOKUP($A209,'Из ГУГЛа'!$B:$Z,AN$1,0)+AP209)*AO209,),VLOOKUP($A209,'Из ГУГЛа'!$B:$Z,AN$1,0))</f>
        <v>0</v>
      </c>
      <c r="AO209" s="100">
        <v>1</v>
      </c>
      <c r="AP209" s="100"/>
      <c r="AQ209" s="103"/>
      <c r="AR209" s="103"/>
    </row>
    <row r="210" spans="1:44" ht="46.5" thickTop="1" thickBot="1" x14ac:dyDescent="0.3">
      <c r="A210" s="57">
        <v>144963</v>
      </c>
      <c r="B210" s="57">
        <f>VLOOKUP($A210,'Выгр Кат'!$A:$T,B$1,0)</f>
        <v>13325</v>
      </c>
      <c r="C210" s="58" t="str">
        <f>VLOOKUP($A210,'Выгр Кат'!$A:$T,C$1,0)</f>
        <v>Жгут проводов контроллера для Лада Калина 16-ти клапанный двигатель 1.4 л, контроллер BOSCH 11194-20, 11194-30, Е-Газ</v>
      </c>
      <c r="D210" s="57" t="str">
        <f>VLOOKUP($A210,'Выгр Кат'!$A:$T,D$1,0)</f>
        <v>Y</v>
      </c>
      <c r="E210" s="57" t="str">
        <f>VLOOKUP($A210,'Выгр Кат'!$A:$T,E$1,0)</f>
        <v>1</v>
      </c>
      <c r="F210" s="57">
        <f>VLOOKUP($A210,'Выгр Кат'!$A:$T,F$1,0)</f>
        <v>0</v>
      </c>
      <c r="G210" s="57" t="str">
        <f>VLOOKUP($A210,'Выгр Кат'!$A:$T,G$1,0)</f>
        <v>1118372402646</v>
      </c>
      <c r="H210" s="57" t="str">
        <f>VLOOKUP($A210,'Выгр Кат'!$A:$T,H$1,0)</f>
        <v>1118-3724026</v>
      </c>
      <c r="I210" s="64" t="s">
        <v>660</v>
      </c>
      <c r="J210" s="1" t="s">
        <v>526</v>
      </c>
      <c r="K210" s="47">
        <f>VLOOKUP(I210,Прайс!A:E,5,0)</f>
        <v>15000</v>
      </c>
      <c r="L210" s="7">
        <f>VLOOKUP(K210,Наценка!$A$1:$B$8,2,1)</f>
        <v>1.3</v>
      </c>
      <c r="M210" s="44">
        <f t="shared" si="58"/>
        <v>19500</v>
      </c>
      <c r="N210" s="62">
        <f t="shared" si="54"/>
        <v>19490</v>
      </c>
      <c r="O210" s="60">
        <f>VLOOKUP($A210,'Выгр Кат'!$A:$P,O$1,0)</f>
        <v>13000</v>
      </c>
      <c r="P210" s="60">
        <f>VLOOKUP($A210,'Выгр Кат'!$A:$P,P$1,0)</f>
        <v>19190</v>
      </c>
      <c r="Q210" s="73">
        <f t="shared" si="55"/>
        <v>-2000</v>
      </c>
      <c r="R210" s="73">
        <f t="shared" si="56"/>
        <v>-300</v>
      </c>
      <c r="S210" s="97">
        <f t="shared" si="59"/>
        <v>19490</v>
      </c>
      <c r="T210" s="98">
        <f t="shared" si="60"/>
        <v>0.29933333333333323</v>
      </c>
      <c r="U210" s="98">
        <f t="shared" si="61"/>
        <v>-0.20101059896475229</v>
      </c>
      <c r="V210" s="98">
        <f t="shared" si="62"/>
        <v>8.1866666666666754E-2</v>
      </c>
      <c r="W210" s="106">
        <f t="shared" si="63"/>
        <v>16228</v>
      </c>
      <c r="X210" s="102">
        <f>IFERROR(ROUND((VLOOKUP($A210,'Из ГУГЛа'!$B:$Z,X$1,0)+Z210)*Y210,),VLOOKUP($A210,'Из ГУГЛа'!$B:$Z,X$1,0))</f>
        <v>19290</v>
      </c>
      <c r="Y210" s="75">
        <v>1</v>
      </c>
      <c r="Z210" s="75">
        <v>0</v>
      </c>
      <c r="AA210" s="63">
        <v>19290</v>
      </c>
      <c r="AB210" s="63" t="s">
        <v>1215</v>
      </c>
      <c r="AC210" s="48" t="s">
        <v>880</v>
      </c>
      <c r="AD210" s="102">
        <f>IFERROR(ROUND((VLOOKUP($A210,'Из ГУГЛа'!$B:$Z,AD$1,0)+AF210)*AE210,),VLOOKUP($A210,'Из ГУГЛа'!$B:$Z,AD$1,0))</f>
        <v>0</v>
      </c>
      <c r="AE210" s="100">
        <v>1</v>
      </c>
      <c r="AF210" s="100"/>
      <c r="AG210" s="103">
        <v>16228</v>
      </c>
      <c r="AH210" s="103" t="s">
        <v>1863</v>
      </c>
      <c r="AI210" s="102">
        <f>IFERROR(ROUND((VLOOKUP($A210,'Из ГУГЛа'!$B:$Z,AI$1,0)+AK210)*AJ210,),VLOOKUP($A210,'Из ГУГЛа'!$B:$Z,AI$1,0))</f>
        <v>0</v>
      </c>
      <c r="AJ210" s="100">
        <v>1</v>
      </c>
      <c r="AK210" s="100"/>
      <c r="AL210" s="103"/>
      <c r="AM210" s="103"/>
      <c r="AN210" s="102">
        <f>IFERROR(ROUND((VLOOKUP($A210,'Из ГУГЛа'!$B:$Z,AN$1,0)+AP210)*AO210,),VLOOKUP($A210,'Из ГУГЛа'!$B:$Z,AN$1,0))</f>
        <v>0</v>
      </c>
      <c r="AO210" s="100">
        <v>1</v>
      </c>
      <c r="AP210" s="100"/>
      <c r="AQ210" s="103"/>
      <c r="AR210" s="103"/>
    </row>
    <row r="211" spans="1:44" ht="46.5" thickTop="1" thickBot="1" x14ac:dyDescent="0.3">
      <c r="A211" s="57">
        <v>144975</v>
      </c>
      <c r="B211" s="57">
        <f>VLOOKUP($A211,'Выгр Кат'!$A:$T,B$1,0)</f>
        <v>34254</v>
      </c>
      <c r="C211" s="58" t="str">
        <f>VLOOKUP($A211,'Выгр Кат'!$A:$T,C$1,0)</f>
        <v>Жгут проводов контроллера нового образца для Лада Нива 4x4 инжекторный двигатель, Е-Газ, с 2020 года выпуска</v>
      </c>
      <c r="D211" s="57" t="str">
        <f>VLOOKUP($A211,'Выгр Кат'!$A:$T,D$1,0)</f>
        <v>Y</v>
      </c>
      <c r="E211" s="57" t="str">
        <f>VLOOKUP($A211,'Выгр Кат'!$A:$T,E$1,0)</f>
        <v>1</v>
      </c>
      <c r="F211" s="57">
        <f>VLOOKUP($A211,'Выгр Кат'!$A:$T,F$1,0)</f>
        <v>0</v>
      </c>
      <c r="G211" s="57" t="str">
        <f>VLOOKUP($A211,'Выгр Кат'!$A:$T,G$1,0)</f>
        <v>212143724026A2</v>
      </c>
      <c r="H211" s="57" t="str">
        <f>VLOOKUP($A211,'Выгр Кат'!$A:$T,H$1,0)</f>
        <v>21214-3724026</v>
      </c>
      <c r="I211" s="39" t="s">
        <v>677</v>
      </c>
      <c r="J211" s="1" t="s">
        <v>526</v>
      </c>
      <c r="K211" s="46">
        <f>O211</f>
        <v>12000</v>
      </c>
      <c r="L211" s="7">
        <f>VLOOKUP(K211,Наценка!$A$1:$B$8,2,1)</f>
        <v>1.3</v>
      </c>
      <c r="M211" s="44">
        <f t="shared" si="58"/>
        <v>15600</v>
      </c>
      <c r="N211" s="62">
        <f t="shared" si="54"/>
        <v>15590</v>
      </c>
      <c r="O211" s="60">
        <f>VLOOKUP($A211,'Выгр Кат'!$A:$P,O$1,0)</f>
        <v>12000</v>
      </c>
      <c r="P211" s="60">
        <f>VLOOKUP($A211,'Выгр Кат'!$A:$P,P$1,0)</f>
        <v>15590</v>
      </c>
      <c r="Q211" s="73">
        <f t="shared" si="55"/>
        <v>0</v>
      </c>
      <c r="R211" s="73">
        <f t="shared" si="56"/>
        <v>0</v>
      </c>
      <c r="S211" s="97">
        <f t="shared" si="59"/>
        <v>15590</v>
      </c>
      <c r="T211" s="98">
        <f t="shared" si="60"/>
        <v>0.29916666666666658</v>
      </c>
      <c r="U211" s="98" t="str">
        <f t="shared" si="61"/>
        <v/>
      </c>
      <c r="V211" s="98" t="str">
        <f t="shared" si="62"/>
        <v/>
      </c>
      <c r="W211" s="99"/>
      <c r="X211" s="102">
        <f>IFERROR(ROUND((VLOOKUP($A211,'Из ГУГЛа'!$B:$Z,X$1,0)+Z211)*Y211,),VLOOKUP($A211,'Из ГУГЛа'!$B:$Z,X$1,0))</f>
        <v>10990</v>
      </c>
      <c r="Y211" s="75">
        <v>1</v>
      </c>
      <c r="Z211" s="75">
        <v>0</v>
      </c>
      <c r="AA211" s="63" t="s">
        <v>1031</v>
      </c>
      <c r="AB211" s="80"/>
      <c r="AC211" s="48" t="s">
        <v>1030</v>
      </c>
      <c r="AD211" s="102">
        <f>IFERROR(ROUND((VLOOKUP($A211,'Из ГУГЛа'!$B:$Z,AD$1,0)+AF211)*AE211,),VLOOKUP($A211,'Из ГУГЛа'!$B:$Z,AD$1,0))</f>
        <v>0</v>
      </c>
      <c r="AE211" s="100">
        <v>1</v>
      </c>
      <c r="AF211" s="100"/>
      <c r="AG211" s="103" t="s">
        <v>1017</v>
      </c>
      <c r="AH211" s="103"/>
      <c r="AI211" s="102">
        <f>IFERROR(ROUND((VLOOKUP($A211,'Из ГУГЛа'!$B:$Z,AI$1,0)+AK211)*AJ211,),VLOOKUP($A211,'Из ГУГЛа'!$B:$Z,AI$1,0))</f>
        <v>0</v>
      </c>
      <c r="AJ211" s="100">
        <v>1</v>
      </c>
      <c r="AK211" s="100"/>
      <c r="AL211" s="103"/>
      <c r="AM211" s="103"/>
      <c r="AN211" s="102">
        <f>IFERROR(ROUND((VLOOKUP($A211,'Из ГУГЛа'!$B:$Z,AN$1,0)+AP211)*AO211,),VLOOKUP($A211,'Из ГУГЛа'!$B:$Z,AN$1,0))</f>
        <v>0</v>
      </c>
      <c r="AO211" s="100">
        <v>1</v>
      </c>
      <c r="AP211" s="100"/>
      <c r="AQ211" s="103"/>
      <c r="AR211" s="103"/>
    </row>
    <row r="212" spans="1:44" ht="40.5" thickTop="1" thickBot="1" x14ac:dyDescent="0.3">
      <c r="A212" s="57">
        <v>144929</v>
      </c>
      <c r="B212" s="57">
        <f>VLOOKUP($A212,'Выгр Кат'!$A:$T,B$1,0)</f>
        <v>13320</v>
      </c>
      <c r="C212" s="58" t="str">
        <f>VLOOKUP($A212,'Выгр Кат'!$A:$T,C$1,0)</f>
        <v>Жгут проводов панели приборов 11183 в сборе с монтажным блоком для Лада Калина</v>
      </c>
      <c r="D212" s="57" t="str">
        <f>VLOOKUP($A212,'Выгр Кат'!$A:$T,D$1,0)</f>
        <v>Y</v>
      </c>
      <c r="E212" s="57" t="str">
        <f>VLOOKUP($A212,'Выгр Кат'!$A:$T,E$1,0)</f>
        <v>1</v>
      </c>
      <c r="F212" s="57">
        <f>VLOOKUP($A212,'Выгр Кат'!$A:$T,F$1,0)</f>
        <v>0</v>
      </c>
      <c r="G212" s="57" t="str">
        <f>VLOOKUP($A212,'Выгр Кат'!$A:$T,G$1,0)</f>
        <v>111833724030</v>
      </c>
      <c r="H212" s="57" t="str">
        <f>VLOOKUP($A212,'Выгр Кат'!$A:$T,H$1,0)</f>
        <v>11183-3724030</v>
      </c>
      <c r="I212" s="39" t="s">
        <v>651</v>
      </c>
      <c r="J212" s="1" t="s">
        <v>526</v>
      </c>
      <c r="K212" s="47">
        <f>VLOOKUP(I212,Прайс!A:E,5,0)</f>
        <v>15000</v>
      </c>
      <c r="L212" s="7">
        <f>VLOOKUP(K212,Наценка!$A$1:$B$8,2,1)</f>
        <v>1.3</v>
      </c>
      <c r="M212" s="44">
        <f t="shared" si="58"/>
        <v>19500</v>
      </c>
      <c r="N212" s="62">
        <f t="shared" si="54"/>
        <v>19490</v>
      </c>
      <c r="O212" s="60">
        <f>VLOOKUP($A212,'Выгр Кат'!$A:$P,O$1,0)</f>
        <v>15000</v>
      </c>
      <c r="P212" s="60">
        <f>VLOOKUP($A212,'Выгр Кат'!$A:$P,P$1,0)</f>
        <v>20490</v>
      </c>
      <c r="Q212" s="73">
        <f t="shared" si="55"/>
        <v>0</v>
      </c>
      <c r="R212" s="73">
        <f t="shared" si="56"/>
        <v>1000</v>
      </c>
      <c r="S212" s="97">
        <f t="shared" si="59"/>
        <v>19490</v>
      </c>
      <c r="T212" s="98">
        <f t="shared" si="60"/>
        <v>0.29933333333333323</v>
      </c>
      <c r="U212" s="98">
        <f t="shared" si="61"/>
        <v>-2.7520033741037536E-2</v>
      </c>
      <c r="V212" s="98">
        <f t="shared" si="62"/>
        <v>0.26453333333333329</v>
      </c>
      <c r="W212" s="106">
        <f t="shared" ref="W212:W229" si="64">MIN(AA212,AG212,AL212,AQ212)</f>
        <v>18968</v>
      </c>
      <c r="X212" s="102">
        <f>IFERROR(ROUND((VLOOKUP($A212,'Из ГУГЛа'!$B:$Z,X$1,0)+Z212)*Y212,),VLOOKUP($A212,'Из ГУГЛа'!$B:$Z,X$1,0))</f>
        <v>20590</v>
      </c>
      <c r="Y212" s="75">
        <v>1</v>
      </c>
      <c r="Z212" s="75">
        <v>0</v>
      </c>
      <c r="AA212" s="63">
        <v>20590</v>
      </c>
      <c r="AB212" s="63" t="s">
        <v>1215</v>
      </c>
      <c r="AC212" s="48" t="s">
        <v>1029</v>
      </c>
      <c r="AD212" s="102">
        <f>IFERROR(ROUND((VLOOKUP($A212,'Из ГУГЛа'!$B:$Z,AD$1,0)+AF212)*AE212,),VLOOKUP($A212,'Из ГУГЛа'!$B:$Z,AD$1,0))</f>
        <v>0</v>
      </c>
      <c r="AE212" s="100">
        <v>1</v>
      </c>
      <c r="AF212" s="100"/>
      <c r="AG212" s="103">
        <v>18968</v>
      </c>
      <c r="AH212" s="103" t="s">
        <v>1990</v>
      </c>
      <c r="AI212" s="102">
        <f>IFERROR(ROUND((VLOOKUP($A212,'Из ГУГЛа'!$B:$Z,AI$1,0)+AK212)*AJ212,),VLOOKUP($A212,'Из ГУГЛа'!$B:$Z,AI$1,0))</f>
        <v>0</v>
      </c>
      <c r="AJ212" s="100">
        <v>1</v>
      </c>
      <c r="AK212" s="100"/>
      <c r="AL212" s="103"/>
      <c r="AM212" s="103"/>
      <c r="AN212" s="102">
        <f>IFERROR(ROUND((VLOOKUP($A212,'Из ГУГЛа'!$B:$Z,AN$1,0)+AP212)*AO212,),VLOOKUP($A212,'Из ГУГЛа'!$B:$Z,AN$1,0))</f>
        <v>0</v>
      </c>
      <c r="AO212" s="100">
        <v>1</v>
      </c>
      <c r="AP212" s="100"/>
      <c r="AQ212" s="103"/>
      <c r="AR212" s="103"/>
    </row>
    <row r="213" spans="1:44" ht="53.25" thickTop="1" thickBot="1" x14ac:dyDescent="0.3">
      <c r="A213" s="57">
        <v>144989</v>
      </c>
      <c r="B213" s="57">
        <f>VLOOKUP($A213,'Выгр Кат'!$A:$T,B$1,0)</f>
        <v>13394</v>
      </c>
      <c r="C213" s="58" t="str">
        <f>VLOOKUP($A213,'Выгр Кат'!$A:$T,C$1,0)</f>
        <v>Жгут проводов фар и генератора для Шевроле Нива с ABS</v>
      </c>
      <c r="D213" s="57" t="str">
        <f>VLOOKUP($A213,'Выгр Кат'!$A:$T,D$1,0)</f>
        <v>Y</v>
      </c>
      <c r="E213" s="57" t="str">
        <f>VLOOKUP($A213,'Выгр Кат'!$A:$T,E$1,0)</f>
        <v>0</v>
      </c>
      <c r="F213" s="57">
        <f>VLOOKUP($A213,'Выгр Кат'!$A:$T,F$1,0)</f>
        <v>0</v>
      </c>
      <c r="G213" s="57" t="str">
        <f>VLOOKUP($A213,'Выгр Кат'!$A:$T,G$1,0)</f>
        <v>2123372401058</v>
      </c>
      <c r="H213" s="57" t="str">
        <f>VLOOKUP($A213,'Выгр Кат'!$A:$T,H$1,0)</f>
        <v>2123-3724010</v>
      </c>
      <c r="I213" s="39" t="s">
        <v>678</v>
      </c>
      <c r="J213" s="1" t="s">
        <v>526</v>
      </c>
      <c r="K213" s="46">
        <f>O213</f>
        <v>13000</v>
      </c>
      <c r="L213" s="7">
        <f>VLOOKUP(K213,Наценка!$A$1:$B$8,2,1)</f>
        <v>1.3</v>
      </c>
      <c r="M213" s="44">
        <f t="shared" si="58"/>
        <v>16900</v>
      </c>
      <c r="N213" s="62">
        <f t="shared" si="54"/>
        <v>16890</v>
      </c>
      <c r="O213" s="60">
        <f>VLOOKUP($A213,'Выгр Кат'!$A:$P,O$1,0)</f>
        <v>13000</v>
      </c>
      <c r="P213" s="60">
        <f>VLOOKUP($A213,'Выгр Кат'!$A:$P,P$1,0)</f>
        <v>17790</v>
      </c>
      <c r="Q213" s="73">
        <f t="shared" si="55"/>
        <v>0</v>
      </c>
      <c r="R213" s="73">
        <f t="shared" si="56"/>
        <v>900</v>
      </c>
      <c r="S213" s="97">
        <f t="shared" si="59"/>
        <v>16890</v>
      </c>
      <c r="T213" s="98">
        <f t="shared" si="60"/>
        <v>0.29923076923076919</v>
      </c>
      <c r="U213" s="98">
        <f t="shared" si="61"/>
        <v>5.5897149245388487E-2</v>
      </c>
      <c r="V213" s="98">
        <f t="shared" si="62"/>
        <v>0.37615384615384606</v>
      </c>
      <c r="W213" s="106">
        <f t="shared" si="64"/>
        <v>17890</v>
      </c>
      <c r="X213" s="102">
        <f>IFERROR(ROUND((VLOOKUP($A213,'Из ГУГЛа'!$B:$Z,X$1,0)+Z213)*Y213,),VLOOKUP($A213,'Из ГУГЛа'!$B:$Z,X$1,0))</f>
        <v>17890</v>
      </c>
      <c r="Y213" s="75">
        <v>1</v>
      </c>
      <c r="Z213" s="75">
        <v>0</v>
      </c>
      <c r="AA213" s="85">
        <v>17890</v>
      </c>
      <c r="AB213" s="63" t="s">
        <v>1215</v>
      </c>
      <c r="AC213" s="48" t="s">
        <v>879</v>
      </c>
      <c r="AD213" s="102">
        <f>IFERROR(ROUND((VLOOKUP($A213,'Из ГУГЛа'!$B:$Z,AD$1,0)+AF213)*AE213,),VLOOKUP($A213,'Из ГУГЛа'!$B:$Z,AD$1,0))</f>
        <v>0</v>
      </c>
      <c r="AE213" s="100">
        <v>1</v>
      </c>
      <c r="AF213" s="100"/>
      <c r="AG213" s="103">
        <v>20267</v>
      </c>
      <c r="AH213" s="103" t="s">
        <v>1991</v>
      </c>
      <c r="AI213" s="102">
        <f>IFERROR(ROUND((VLOOKUP($A213,'Из ГУГЛа'!$B:$Z,AI$1,0)+AK213)*AJ213,),VLOOKUP($A213,'Из ГУГЛа'!$B:$Z,AI$1,0))</f>
        <v>0</v>
      </c>
      <c r="AJ213" s="100">
        <v>1</v>
      </c>
      <c r="AK213" s="100"/>
      <c r="AL213" s="103"/>
      <c r="AM213" s="103"/>
      <c r="AN213" s="102">
        <f>IFERROR(ROUND((VLOOKUP($A213,'Из ГУГЛа'!$B:$Z,AN$1,0)+AP213)*AO213,),VLOOKUP($A213,'Из ГУГЛа'!$B:$Z,AN$1,0))</f>
        <v>0</v>
      </c>
      <c r="AO213" s="100">
        <v>1</v>
      </c>
      <c r="AP213" s="100"/>
      <c r="AQ213" s="103"/>
      <c r="AR213" s="103"/>
    </row>
    <row r="214" spans="1:44" ht="40.5" thickTop="1" thickBot="1" x14ac:dyDescent="0.3">
      <c r="A214" s="57">
        <v>145001</v>
      </c>
      <c r="B214" s="57">
        <f>VLOOKUP($A214,'Выгр Кат'!$A:$T,B$1,0)</f>
        <v>13384</v>
      </c>
      <c r="C214" s="58" t="str">
        <f>VLOOKUP($A214,'Выгр Кат'!$A:$T,C$1,0)</f>
        <v>Жгут проводов фар и генератора 21922-3724010-20 на Лада Гранта</v>
      </c>
      <c r="D214" s="57" t="str">
        <f>VLOOKUP($A214,'Выгр Кат'!$A:$T,D$1,0)</f>
        <v>Y</v>
      </c>
      <c r="E214" s="57" t="str">
        <f>VLOOKUP($A214,'Выгр Кат'!$A:$T,E$1,0)</f>
        <v>1</v>
      </c>
      <c r="F214" s="57">
        <f>VLOOKUP($A214,'Выгр Кат'!$A:$T,F$1,0)</f>
        <v>0</v>
      </c>
      <c r="G214" s="57" t="str">
        <f>VLOOKUP($A214,'Выгр Кат'!$A:$T,G$1,0)</f>
        <v>21922372401020</v>
      </c>
      <c r="H214" s="57" t="str">
        <f>VLOOKUP($A214,'Выгр Кат'!$A:$T,H$1,0)</f>
        <v>21922-3724010</v>
      </c>
      <c r="I214" s="39" t="s">
        <v>737</v>
      </c>
      <c r="J214" s="1" t="s">
        <v>526</v>
      </c>
      <c r="K214" s="47">
        <f>VLOOKUP(I214,Прайс!A:E,5,0)</f>
        <v>15000</v>
      </c>
      <c r="L214" s="7">
        <f>VLOOKUP(K214,Наценка!$A$1:$B$8,2,1)</f>
        <v>1.3</v>
      </c>
      <c r="M214" s="44">
        <f t="shared" si="58"/>
        <v>19500</v>
      </c>
      <c r="N214" s="62">
        <f t="shared" si="54"/>
        <v>19490</v>
      </c>
      <c r="O214" s="60">
        <f>VLOOKUP($A214,'Выгр Кат'!$A:$P,O$1,0)</f>
        <v>15000</v>
      </c>
      <c r="P214" s="60">
        <f>VLOOKUP($A214,'Выгр Кат'!$A:$P,P$1,0)</f>
        <v>19490</v>
      </c>
      <c r="Q214" s="73">
        <f t="shared" si="55"/>
        <v>0</v>
      </c>
      <c r="R214" s="73">
        <f t="shared" si="56"/>
        <v>0</v>
      </c>
      <c r="S214" s="97">
        <f t="shared" si="59"/>
        <v>19490</v>
      </c>
      <c r="T214" s="98">
        <f t="shared" si="60"/>
        <v>0.29933333333333323</v>
      </c>
      <c r="U214" s="98">
        <f t="shared" si="61"/>
        <v>-0.14992034928314354</v>
      </c>
      <c r="V214" s="98">
        <f t="shared" si="62"/>
        <v>0.12993333333333323</v>
      </c>
      <c r="W214" s="106">
        <f t="shared" si="64"/>
        <v>16949</v>
      </c>
      <c r="X214" s="102">
        <f>IFERROR(ROUND((VLOOKUP($A214,'Из ГУГЛа'!$B:$Z,X$1,0)+Z214)*Y214,),VLOOKUP($A214,'Из ГУГЛа'!$B:$Z,X$1,0))</f>
        <v>20590</v>
      </c>
      <c r="Y214" s="75">
        <v>1</v>
      </c>
      <c r="Z214" s="75">
        <v>0</v>
      </c>
      <c r="AA214" s="63">
        <v>20590</v>
      </c>
      <c r="AB214" s="63" t="s">
        <v>1215</v>
      </c>
      <c r="AC214" s="48" t="s">
        <v>878</v>
      </c>
      <c r="AD214" s="102">
        <f>IFERROR(ROUND((VLOOKUP($A214,'Из ГУГЛа'!$B:$Z,AD$1,0)+AF214)*AE214,),VLOOKUP($A214,'Из ГУГЛа'!$B:$Z,AD$1,0))</f>
        <v>0</v>
      </c>
      <c r="AE214" s="100">
        <v>1</v>
      </c>
      <c r="AF214" s="100"/>
      <c r="AG214" s="103">
        <v>16949</v>
      </c>
      <c r="AH214" s="103" t="s">
        <v>1992</v>
      </c>
      <c r="AI214" s="102">
        <f>IFERROR(ROUND((VLOOKUP($A214,'Из ГУГЛа'!$B:$Z,AI$1,0)+AK214)*AJ214,),VLOOKUP($A214,'Из ГУГЛа'!$B:$Z,AI$1,0))</f>
        <v>0</v>
      </c>
      <c r="AJ214" s="100">
        <v>1</v>
      </c>
      <c r="AK214" s="100"/>
      <c r="AL214" s="103"/>
      <c r="AM214" s="103"/>
      <c r="AN214" s="102">
        <f>IFERROR(ROUND((VLOOKUP($A214,'Из ГУГЛа'!$B:$Z,AN$1,0)+AP214)*AO214,),VLOOKUP($A214,'Из ГУГЛа'!$B:$Z,AN$1,0))</f>
        <v>0</v>
      </c>
      <c r="AO214" s="100">
        <v>1</v>
      </c>
      <c r="AP214" s="100"/>
      <c r="AQ214" s="103"/>
      <c r="AR214" s="103"/>
    </row>
    <row r="215" spans="1:44" ht="53.25" thickTop="1" thickBot="1" x14ac:dyDescent="0.3">
      <c r="A215" s="57">
        <v>145002</v>
      </c>
      <c r="B215" s="57">
        <f>VLOOKUP($A215,'Выгр Кат'!$A:$T,B$1,0)</f>
        <v>13385</v>
      </c>
      <c r="C215" s="58" t="str">
        <f>VLOOKUP($A215,'Выгр Кат'!$A:$T,C$1,0)</f>
        <v>Жгут проводов фар и генератора для Лада Гранта</v>
      </c>
      <c r="D215" s="57" t="str">
        <f>VLOOKUP($A215,'Выгр Кат'!$A:$T,D$1,0)</f>
        <v>Y</v>
      </c>
      <c r="E215" s="57" t="str">
        <f>VLOOKUP($A215,'Выгр Кат'!$A:$T,E$1,0)</f>
        <v>1</v>
      </c>
      <c r="F215" s="57">
        <f>VLOOKUP($A215,'Выгр Кат'!$A:$T,F$1,0)</f>
        <v>0</v>
      </c>
      <c r="G215" s="57" t="str">
        <f>VLOOKUP($A215,'Выгр Кат'!$A:$T,G$1,0)</f>
        <v>21924372401020</v>
      </c>
      <c r="H215" s="57" t="str">
        <f>VLOOKUP($A215,'Выгр Кат'!$A:$T,H$1,0)</f>
        <v>21924-3724010</v>
      </c>
      <c r="I215" s="39" t="s">
        <v>738</v>
      </c>
      <c r="J215" s="1" t="s">
        <v>526</v>
      </c>
      <c r="K215" s="47">
        <f>VLOOKUP(I215,Прайс!A:E,5,0)</f>
        <v>15000</v>
      </c>
      <c r="L215" s="7">
        <f>VLOOKUP(K215,Наценка!$A$1:$B$8,2,1)</f>
        <v>1.3</v>
      </c>
      <c r="M215" s="44">
        <f t="shared" si="58"/>
        <v>19500</v>
      </c>
      <c r="N215" s="62">
        <f t="shared" si="54"/>
        <v>19490</v>
      </c>
      <c r="O215" s="60">
        <f>VLOOKUP($A215,'Выгр Кат'!$A:$P,O$1,0)</f>
        <v>15000</v>
      </c>
      <c r="P215" s="60">
        <f>VLOOKUP($A215,'Выгр Кат'!$A:$P,P$1,0)</f>
        <v>19490</v>
      </c>
      <c r="Q215" s="73">
        <f t="shared" si="55"/>
        <v>0</v>
      </c>
      <c r="R215" s="73">
        <f t="shared" si="56"/>
        <v>0</v>
      </c>
      <c r="S215" s="97">
        <f t="shared" si="59"/>
        <v>19490</v>
      </c>
      <c r="T215" s="98">
        <f t="shared" si="60"/>
        <v>0.29933333333333323</v>
      </c>
      <c r="U215" s="98">
        <f t="shared" si="61"/>
        <v>-0.14992034928314354</v>
      </c>
      <c r="V215" s="98">
        <f t="shared" si="62"/>
        <v>0.12993333333333323</v>
      </c>
      <c r="W215" s="106">
        <f t="shared" si="64"/>
        <v>16949</v>
      </c>
      <c r="X215" s="102">
        <f>IFERROR(ROUND((VLOOKUP($A215,'Из ГУГЛа'!$B:$Z,X$1,0)+Z215)*Y215,),VLOOKUP($A215,'Из ГУГЛа'!$B:$Z,X$1,0))</f>
        <v>20590</v>
      </c>
      <c r="Y215" s="75">
        <v>1</v>
      </c>
      <c r="Z215" s="75">
        <v>0</v>
      </c>
      <c r="AA215" s="63">
        <v>20590</v>
      </c>
      <c r="AB215" s="63" t="s">
        <v>1215</v>
      </c>
      <c r="AC215" s="48" t="s">
        <v>1021</v>
      </c>
      <c r="AD215" s="102">
        <f>IFERROR(ROUND((VLOOKUP($A215,'Из ГУГЛа'!$B:$Z,AD$1,0)+AF215)*AE215,),VLOOKUP($A215,'Из ГУГЛа'!$B:$Z,AD$1,0))</f>
        <v>0</v>
      </c>
      <c r="AE215" s="100">
        <v>1</v>
      </c>
      <c r="AF215" s="100"/>
      <c r="AG215" s="103">
        <v>16949</v>
      </c>
      <c r="AH215" s="103" t="s">
        <v>1993</v>
      </c>
      <c r="AI215" s="102">
        <f>IFERROR(ROUND((VLOOKUP($A215,'Из ГУГЛа'!$B:$Z,AI$1,0)+AK215)*AJ215,),VLOOKUP($A215,'Из ГУГЛа'!$B:$Z,AI$1,0))</f>
        <v>0</v>
      </c>
      <c r="AJ215" s="100">
        <v>1</v>
      </c>
      <c r="AK215" s="100"/>
      <c r="AL215" s="103"/>
      <c r="AM215" s="103"/>
      <c r="AN215" s="102">
        <f>IFERROR(ROUND((VLOOKUP($A215,'Из ГУГЛа'!$B:$Z,AN$1,0)+AP215)*AO215,),VLOOKUP($A215,'Из ГУГЛа'!$B:$Z,AN$1,0))</f>
        <v>0</v>
      </c>
      <c r="AO215" s="100">
        <v>1</v>
      </c>
      <c r="AP215" s="100"/>
      <c r="AQ215" s="103"/>
      <c r="AR215" s="103"/>
    </row>
    <row r="216" spans="1:44" ht="40.5" thickTop="1" thickBot="1" x14ac:dyDescent="0.3">
      <c r="A216" s="57">
        <v>144902</v>
      </c>
      <c r="B216" s="57">
        <f>VLOOKUP($A216,'Выгр Кат'!$A:$T,B$1,0)</f>
        <v>13321</v>
      </c>
      <c r="C216" s="58" t="str">
        <f>VLOOKUP($A216,'Выгр Кат'!$A:$T,C$1,0)</f>
        <v>Жгут проводов панели приборов 11186 для Лада Калина</v>
      </c>
      <c r="D216" s="57" t="str">
        <f>VLOOKUP($A216,'Выгр Кат'!$A:$T,D$1,0)</f>
        <v>Y</v>
      </c>
      <c r="E216" s="57" t="str">
        <f>VLOOKUP($A216,'Выгр Кат'!$A:$T,E$1,0)</f>
        <v>1</v>
      </c>
      <c r="F216" s="57">
        <f>VLOOKUP($A216,'Выгр Кат'!$A:$T,F$1,0)</f>
        <v>0</v>
      </c>
      <c r="G216" s="57" t="str">
        <f>VLOOKUP($A216,'Выгр Кат'!$A:$T,G$1,0)</f>
        <v>11186372403020</v>
      </c>
      <c r="H216" s="57" t="str">
        <f>VLOOKUP($A216,'Выгр Кат'!$A:$T,H$1,0)</f>
        <v>11186-3724030</v>
      </c>
      <c r="I216" s="39" t="s">
        <v>652</v>
      </c>
      <c r="J216" s="1" t="s">
        <v>526</v>
      </c>
      <c r="K216" s="47">
        <f>VLOOKUP(I216,Прайс!A:E,5,0)</f>
        <v>20000</v>
      </c>
      <c r="L216" s="7">
        <f>VLOOKUP(K216,Наценка!$A$1:$B$8,2,1)</f>
        <v>1.3</v>
      </c>
      <c r="M216" s="44">
        <f t="shared" si="58"/>
        <v>26000</v>
      </c>
      <c r="N216" s="62">
        <f t="shared" si="54"/>
        <v>25990</v>
      </c>
      <c r="O216" s="60">
        <f>VLOOKUP($A216,'Выгр Кат'!$A:$P,O$1,0)</f>
        <v>20000</v>
      </c>
      <c r="P216" s="60">
        <f>VLOOKUP($A216,'Выгр Кат'!$A:$P,P$1,0)</f>
        <v>25990</v>
      </c>
      <c r="Q216" s="73">
        <f t="shared" si="55"/>
        <v>0</v>
      </c>
      <c r="R216" s="73">
        <f t="shared" si="56"/>
        <v>0</v>
      </c>
      <c r="S216" s="97">
        <f t="shared" si="59"/>
        <v>25990</v>
      </c>
      <c r="T216" s="98">
        <f t="shared" si="60"/>
        <v>0.2995000000000001</v>
      </c>
      <c r="U216" s="98">
        <f t="shared" si="61"/>
        <v>-0.37020244622522142</v>
      </c>
      <c r="V216" s="98">
        <f t="shared" si="62"/>
        <v>-5.1599999999999979E-2</v>
      </c>
      <c r="W216" s="106">
        <f t="shared" si="64"/>
        <v>18968</v>
      </c>
      <c r="X216" s="102">
        <f>IFERROR(ROUND((VLOOKUP($A216,'Из ГУГЛа'!$B:$Z,X$1,0)+Z216)*Y216,),VLOOKUP($A216,'Из ГУГЛа'!$B:$Z,X$1,0))</f>
        <v>27490</v>
      </c>
      <c r="Y216" s="75">
        <v>1</v>
      </c>
      <c r="Z216" s="75">
        <v>0</v>
      </c>
      <c r="AA216" s="63">
        <v>27490</v>
      </c>
      <c r="AB216" s="63" t="s">
        <v>1215</v>
      </c>
      <c r="AC216" s="48" t="s">
        <v>743</v>
      </c>
      <c r="AD216" s="102">
        <f>IFERROR(ROUND((VLOOKUP($A216,'Из ГУГЛа'!$B:$Z,AD$1,0)+AF216)*AE216,),VLOOKUP($A216,'Из ГУГЛа'!$B:$Z,AD$1,0))</f>
        <v>0</v>
      </c>
      <c r="AE216" s="100">
        <v>1</v>
      </c>
      <c r="AF216" s="100"/>
      <c r="AG216" s="103">
        <v>18968</v>
      </c>
      <c r="AH216" s="103" t="s">
        <v>1994</v>
      </c>
      <c r="AI216" s="102">
        <f>IFERROR(ROUND((VLOOKUP($A216,'Из ГУГЛа'!$B:$Z,AI$1,0)+AK216)*AJ216,),VLOOKUP($A216,'Из ГУГЛа'!$B:$Z,AI$1,0))</f>
        <v>0</v>
      </c>
      <c r="AJ216" s="100">
        <v>1</v>
      </c>
      <c r="AK216" s="100"/>
      <c r="AL216" s="103"/>
      <c r="AM216" s="103"/>
      <c r="AN216" s="102">
        <f>IFERROR(ROUND((VLOOKUP($A216,'Из ГУГЛа'!$B:$Z,AN$1,0)+AP216)*AO216,),VLOOKUP($A216,'Из ГУГЛа'!$B:$Z,AN$1,0))</f>
        <v>0</v>
      </c>
      <c r="AO216" s="100">
        <v>1</v>
      </c>
      <c r="AP216" s="100"/>
      <c r="AQ216" s="103"/>
      <c r="AR216" s="103"/>
    </row>
    <row r="217" spans="1:44" ht="40.5" thickTop="1" thickBot="1" x14ac:dyDescent="0.3">
      <c r="A217" s="57">
        <v>144916</v>
      </c>
      <c r="B217" s="57">
        <f>VLOOKUP($A217,'Выгр Кат'!$A:$T,B$1,0)</f>
        <v>13382</v>
      </c>
      <c r="C217" s="58" t="str">
        <f>VLOOKUP($A217,'Выгр Кат'!$A:$T,C$1,0)</f>
        <v>Жгут проводов панели приборов для Лада Гранта</v>
      </c>
      <c r="D217" s="57" t="str">
        <f>VLOOKUP($A217,'Выгр Кат'!$A:$T,D$1,0)</f>
        <v>Y</v>
      </c>
      <c r="E217" s="57" t="str">
        <f>VLOOKUP($A217,'Выгр Кат'!$A:$T,E$1,0)</f>
        <v>1</v>
      </c>
      <c r="F217" s="57">
        <f>VLOOKUP($A217,'Выгр Кат'!$A:$T,F$1,0)</f>
        <v>0</v>
      </c>
      <c r="G217" s="57" t="str">
        <f>VLOOKUP($A217,'Выгр Кат'!$A:$T,G$1,0)</f>
        <v>21902372403054</v>
      </c>
      <c r="H217" s="57" t="str">
        <f>VLOOKUP($A217,'Выгр Кат'!$A:$T,H$1,0)</f>
        <v>21902-3724030</v>
      </c>
      <c r="I217" s="39" t="s">
        <v>735</v>
      </c>
      <c r="J217" s="1" t="s">
        <v>526</v>
      </c>
      <c r="K217" s="47">
        <f>VLOOKUP(I217,Прайс!A:E,5,0)</f>
        <v>20000</v>
      </c>
      <c r="L217" s="7">
        <f>VLOOKUP(K217,Наценка!$A$1:$B$8,2,1)</f>
        <v>1.3</v>
      </c>
      <c r="M217" s="44">
        <f t="shared" si="58"/>
        <v>26000</v>
      </c>
      <c r="N217" s="62">
        <f t="shared" si="54"/>
        <v>25990</v>
      </c>
      <c r="O217" s="60">
        <f>VLOOKUP($A217,'Выгр Кат'!$A:$P,O$1,0)</f>
        <v>20000</v>
      </c>
      <c r="P217" s="60">
        <f>VLOOKUP($A217,'Выгр Кат'!$A:$P,P$1,0)</f>
        <v>25990</v>
      </c>
      <c r="Q217" s="73">
        <f t="shared" si="55"/>
        <v>0</v>
      </c>
      <c r="R217" s="73">
        <f t="shared" si="56"/>
        <v>0</v>
      </c>
      <c r="S217" s="97">
        <f t="shared" si="59"/>
        <v>25990</v>
      </c>
      <c r="T217" s="98">
        <f t="shared" si="60"/>
        <v>0.2995000000000001</v>
      </c>
      <c r="U217" s="98">
        <f t="shared" si="61"/>
        <v>-5.9864611369382592E-2</v>
      </c>
      <c r="V217" s="98">
        <f t="shared" si="62"/>
        <v>0.22609999999999997</v>
      </c>
      <c r="W217" s="106">
        <f t="shared" si="64"/>
        <v>24522</v>
      </c>
      <c r="X217" s="102">
        <f>IFERROR(ROUND((VLOOKUP($A217,'Из ГУГЛа'!$B:$Z,X$1,0)+Z217)*Y217,),VLOOKUP($A217,'Из ГУГЛа'!$B:$Z,X$1,0))</f>
        <v>27490</v>
      </c>
      <c r="Y217" s="75">
        <v>1</v>
      </c>
      <c r="Z217" s="75">
        <v>0</v>
      </c>
      <c r="AA217" s="63">
        <v>27490</v>
      </c>
      <c r="AB217" s="63" t="s">
        <v>1215</v>
      </c>
      <c r="AC217" s="48" t="s">
        <v>1022</v>
      </c>
      <c r="AD217" s="102">
        <f>IFERROR(ROUND((VLOOKUP($A217,'Из ГУГЛа'!$B:$Z,AD$1,0)+AF217)*AE217,),VLOOKUP($A217,'Из ГУГЛа'!$B:$Z,AD$1,0))</f>
        <v>0</v>
      </c>
      <c r="AE217" s="100">
        <v>1</v>
      </c>
      <c r="AF217" s="100"/>
      <c r="AG217" s="103">
        <v>24522</v>
      </c>
      <c r="AH217" s="103" t="s">
        <v>1995</v>
      </c>
      <c r="AI217" s="102">
        <f>IFERROR(ROUND((VLOOKUP($A217,'Из ГУГЛа'!$B:$Z,AI$1,0)+AK217)*AJ217,),VLOOKUP($A217,'Из ГУГЛа'!$B:$Z,AI$1,0))</f>
        <v>0</v>
      </c>
      <c r="AJ217" s="100">
        <v>1</v>
      </c>
      <c r="AK217" s="100"/>
      <c r="AL217" s="103"/>
      <c r="AM217" s="103"/>
      <c r="AN217" s="102">
        <f>IFERROR(ROUND((VLOOKUP($A217,'Из ГУГЛа'!$B:$Z,AN$1,0)+AP217)*AO217,),VLOOKUP($A217,'Из ГУГЛа'!$B:$Z,AN$1,0))</f>
        <v>0</v>
      </c>
      <c r="AO217" s="100">
        <v>1</v>
      </c>
      <c r="AP217" s="100"/>
      <c r="AQ217" s="103"/>
      <c r="AR217" s="103"/>
    </row>
    <row r="218" spans="1:44" ht="40.5" thickTop="1" thickBot="1" x14ac:dyDescent="0.3">
      <c r="A218" s="57">
        <v>144914</v>
      </c>
      <c r="B218" s="57">
        <f>VLOOKUP($A218,'Выгр Кат'!$A:$T,B$1,0)</f>
        <v>13365</v>
      </c>
      <c r="C218" s="58" t="str">
        <f>VLOOKUP($A218,'Выгр Кат'!$A:$T,C$1,0)</f>
        <v>Жгут проводов панели приборов для Лада Гранта</v>
      </c>
      <c r="D218" s="57" t="str">
        <f>VLOOKUP($A218,'Выгр Кат'!$A:$T,D$1,0)</f>
        <v>Y</v>
      </c>
      <c r="E218" s="57" t="str">
        <f>VLOOKUP($A218,'Выгр Кат'!$A:$T,E$1,0)</f>
        <v>1</v>
      </c>
      <c r="F218" s="57">
        <f>VLOOKUP($A218,'Выгр Кат'!$A:$T,F$1,0)</f>
        <v>0</v>
      </c>
      <c r="G218" s="57" t="str">
        <f>VLOOKUP($A218,'Выгр Кат'!$A:$T,G$1,0)</f>
        <v>21903724030</v>
      </c>
      <c r="H218" s="57" t="str">
        <f>VLOOKUP($A218,'Выгр Кат'!$A:$T,H$1,0)</f>
        <v>2190-3724030</v>
      </c>
      <c r="I218" s="39" t="s">
        <v>718</v>
      </c>
      <c r="J218" s="1" t="s">
        <v>526</v>
      </c>
      <c r="K218" s="47">
        <f>VLOOKUP(I218,Прайс!A:E,5,0)</f>
        <v>15000</v>
      </c>
      <c r="L218" s="7">
        <f>VLOOKUP(K218,Наценка!$A$1:$B$8,2,1)</f>
        <v>1.3</v>
      </c>
      <c r="M218" s="44">
        <f t="shared" si="58"/>
        <v>19500</v>
      </c>
      <c r="N218" s="62">
        <f t="shared" si="54"/>
        <v>19490</v>
      </c>
      <c r="O218" s="60">
        <f>VLOOKUP($A218,'Выгр Кат'!$A:$P,O$1,0)</f>
        <v>15000</v>
      </c>
      <c r="P218" s="60">
        <f>VLOOKUP($A218,'Выгр Кат'!$A:$P,P$1,0)</f>
        <v>20490</v>
      </c>
      <c r="Q218" s="73">
        <f t="shared" si="55"/>
        <v>0</v>
      </c>
      <c r="R218" s="73">
        <f t="shared" si="56"/>
        <v>1000</v>
      </c>
      <c r="S218" s="97">
        <f t="shared" si="59"/>
        <v>19490</v>
      </c>
      <c r="T218" s="98">
        <f t="shared" si="60"/>
        <v>0.29933333333333323</v>
      </c>
      <c r="U218" s="98">
        <f t="shared" si="61"/>
        <v>-8.7300364607405126E-4</v>
      </c>
      <c r="V218" s="98">
        <f t="shared" si="62"/>
        <v>0.29820000000000002</v>
      </c>
      <c r="W218" s="106">
        <f t="shared" si="64"/>
        <v>19473</v>
      </c>
      <c r="X218" s="102">
        <f>IFERROR(ROUND((VLOOKUP($A218,'Из ГУГЛа'!$B:$Z,X$1,0)+Z218)*Y218,),VLOOKUP($A218,'Из ГУГЛа'!$B:$Z,X$1,0))</f>
        <v>20590</v>
      </c>
      <c r="Y218" s="75">
        <v>1</v>
      </c>
      <c r="Z218" s="75">
        <v>0</v>
      </c>
      <c r="AA218" s="85">
        <v>20590</v>
      </c>
      <c r="AB218" s="63" t="s">
        <v>1215</v>
      </c>
      <c r="AC218" s="48" t="s">
        <v>747</v>
      </c>
      <c r="AD218" s="102">
        <f>IFERROR(ROUND((VLOOKUP($A218,'Из ГУГЛа'!$B:$Z,AD$1,0)+AF218)*AE218,),VLOOKUP($A218,'Из ГУГЛа'!$B:$Z,AD$1,0))</f>
        <v>0</v>
      </c>
      <c r="AE218" s="100">
        <v>1</v>
      </c>
      <c r="AF218" s="100"/>
      <c r="AG218" s="103">
        <v>19473</v>
      </c>
      <c r="AH218" s="103" t="s">
        <v>1996</v>
      </c>
      <c r="AI218" s="102">
        <f>IFERROR(ROUND((VLOOKUP($A218,'Из ГУГЛа'!$B:$Z,AI$1,0)+AK218)*AJ218,),VLOOKUP($A218,'Из ГУГЛа'!$B:$Z,AI$1,0))</f>
        <v>0</v>
      </c>
      <c r="AJ218" s="100">
        <v>1</v>
      </c>
      <c r="AK218" s="100"/>
      <c r="AL218" s="103"/>
      <c r="AM218" s="103"/>
      <c r="AN218" s="102">
        <f>IFERROR(ROUND((VLOOKUP($A218,'Из ГУГЛа'!$B:$Z,AN$1,0)+AP218)*AO218,),VLOOKUP($A218,'Из ГУГЛа'!$B:$Z,AN$1,0))</f>
        <v>0</v>
      </c>
      <c r="AO218" s="100">
        <v>1</v>
      </c>
      <c r="AP218" s="100"/>
      <c r="AQ218" s="103"/>
      <c r="AR218" s="103"/>
    </row>
    <row r="219" spans="1:44" ht="40.5" thickTop="1" thickBot="1" x14ac:dyDescent="0.3">
      <c r="A219" s="57">
        <v>144915</v>
      </c>
      <c r="B219" s="57">
        <f>VLOOKUP($A219,'Выгр Кат'!$A:$T,B$1,0)</f>
        <v>13375</v>
      </c>
      <c r="C219" s="58" t="str">
        <f>VLOOKUP($A219,'Выгр Кат'!$A:$T,C$1,0)</f>
        <v>Жгут проводов панели приборов для Лада Гранта</v>
      </c>
      <c r="D219" s="57" t="str">
        <f>VLOOKUP($A219,'Выгр Кат'!$A:$T,D$1,0)</f>
        <v>Y</v>
      </c>
      <c r="E219" s="57" t="str">
        <f>VLOOKUP($A219,'Выгр Кат'!$A:$T,E$1,0)</f>
        <v>1</v>
      </c>
      <c r="F219" s="57">
        <f>VLOOKUP($A219,'Выгр Кат'!$A:$T,F$1,0)</f>
        <v>0</v>
      </c>
      <c r="G219" s="57" t="str">
        <f>VLOOKUP($A219,'Выгр Кат'!$A:$T,G$1,0)</f>
        <v>2190372403051</v>
      </c>
      <c r="H219" s="57" t="str">
        <f>VLOOKUP($A219,'Выгр Кат'!$A:$T,H$1,0)</f>
        <v>2190-3724030</v>
      </c>
      <c r="I219" s="39" t="s">
        <v>728</v>
      </c>
      <c r="J219" s="1" t="s">
        <v>526</v>
      </c>
      <c r="K219" s="47">
        <f>VLOOKUP(I219,Прайс!A:E,5,0)</f>
        <v>20000</v>
      </c>
      <c r="L219" s="7">
        <f>VLOOKUP(K219,Наценка!$A$1:$B$8,2,1)</f>
        <v>1.3</v>
      </c>
      <c r="M219" s="44">
        <f t="shared" si="58"/>
        <v>26000</v>
      </c>
      <c r="N219" s="62">
        <f t="shared" si="54"/>
        <v>25990</v>
      </c>
      <c r="O219" s="60">
        <f>VLOOKUP($A219,'Выгр Кат'!$A:$P,O$1,0)</f>
        <v>20000</v>
      </c>
      <c r="P219" s="60">
        <f>VLOOKUP($A219,'Выгр Кат'!$A:$P,P$1,0)</f>
        <v>25990</v>
      </c>
      <c r="Q219" s="73">
        <f t="shared" si="55"/>
        <v>0</v>
      </c>
      <c r="R219" s="73">
        <f t="shared" si="56"/>
        <v>0</v>
      </c>
      <c r="S219" s="97">
        <f t="shared" si="59"/>
        <v>25990</v>
      </c>
      <c r="T219" s="98">
        <f t="shared" si="60"/>
        <v>0.2995000000000001</v>
      </c>
      <c r="U219" s="98">
        <f t="shared" si="61"/>
        <v>-5.9864611369382592E-2</v>
      </c>
      <c r="V219" s="98">
        <f t="shared" si="62"/>
        <v>0.22609999999999997</v>
      </c>
      <c r="W219" s="106">
        <f t="shared" si="64"/>
        <v>24522</v>
      </c>
      <c r="X219" s="102">
        <f>IFERROR(ROUND((VLOOKUP($A219,'Из ГУГЛа'!$B:$Z,X$1,0)+Z219)*Y219,),VLOOKUP($A219,'Из ГУГЛа'!$B:$Z,X$1,0))</f>
        <v>27490</v>
      </c>
      <c r="Y219" s="75">
        <v>1</v>
      </c>
      <c r="Z219" s="75">
        <v>0</v>
      </c>
      <c r="AA219" s="63">
        <v>27490</v>
      </c>
      <c r="AB219" s="63" t="s">
        <v>1215</v>
      </c>
      <c r="AC219" s="48" t="s">
        <v>877</v>
      </c>
      <c r="AD219" s="102">
        <f>IFERROR(ROUND((VLOOKUP($A219,'Из ГУГЛа'!$B:$Z,AD$1,0)+AF219)*AE219,),VLOOKUP($A219,'Из ГУГЛа'!$B:$Z,AD$1,0))</f>
        <v>0</v>
      </c>
      <c r="AE219" s="100">
        <v>1</v>
      </c>
      <c r="AF219" s="100"/>
      <c r="AG219" s="103">
        <v>24522</v>
      </c>
      <c r="AH219" s="103" t="s">
        <v>1997</v>
      </c>
      <c r="AI219" s="102">
        <f>IFERROR(ROUND((VLOOKUP($A219,'Из ГУГЛа'!$B:$Z,AI$1,0)+AK219)*AJ219,),VLOOKUP($A219,'Из ГУГЛа'!$B:$Z,AI$1,0))</f>
        <v>0</v>
      </c>
      <c r="AJ219" s="100">
        <v>1</v>
      </c>
      <c r="AK219" s="100"/>
      <c r="AL219" s="103"/>
      <c r="AM219" s="103"/>
      <c r="AN219" s="102">
        <f>IFERROR(ROUND((VLOOKUP($A219,'Из ГУГЛа'!$B:$Z,AN$1,0)+AP219)*AO219,),VLOOKUP($A219,'Из ГУГЛа'!$B:$Z,AN$1,0))</f>
        <v>0</v>
      </c>
      <c r="AO219" s="100">
        <v>1</v>
      </c>
      <c r="AP219" s="100"/>
      <c r="AQ219" s="103"/>
      <c r="AR219" s="103"/>
    </row>
    <row r="220" spans="1:44" ht="40.5" thickTop="1" thickBot="1" x14ac:dyDescent="0.3">
      <c r="A220" s="57">
        <v>144919</v>
      </c>
      <c r="B220" s="57">
        <f>VLOOKUP($A220,'Выгр Кат'!$A:$T,B$1,0)</f>
        <v>13376</v>
      </c>
      <c r="C220" s="58" t="str">
        <f>VLOOKUP($A220,'Выгр Кат'!$A:$T,C$1,0)</f>
        <v>Жгут проводов панели приборов для Лада Гранта</v>
      </c>
      <c r="D220" s="57" t="str">
        <f>VLOOKUP($A220,'Выгр Кат'!$A:$T,D$1,0)</f>
        <v>Y</v>
      </c>
      <c r="E220" s="57" t="str">
        <f>VLOOKUP($A220,'Выгр Кат'!$A:$T,E$1,0)</f>
        <v>1</v>
      </c>
      <c r="F220" s="57">
        <f>VLOOKUP($A220,'Выгр Кат'!$A:$T,F$1,0)</f>
        <v>0</v>
      </c>
      <c r="G220" s="57" t="str">
        <f>VLOOKUP($A220,'Выгр Кат'!$A:$T,G$1,0)</f>
        <v>21912372403053</v>
      </c>
      <c r="H220" s="57" t="str">
        <f>VLOOKUP($A220,'Выгр Кат'!$A:$T,H$1,0)</f>
        <v>21912-3724030</v>
      </c>
      <c r="I220" s="39" t="s">
        <v>729</v>
      </c>
      <c r="J220" s="1" t="s">
        <v>526</v>
      </c>
      <c r="K220" s="47">
        <f>VLOOKUP(I220,Прайс!A:E,5,0)</f>
        <v>20000</v>
      </c>
      <c r="L220" s="7">
        <f>VLOOKUP(K220,Наценка!$A$1:$B$8,2,1)</f>
        <v>1.3</v>
      </c>
      <c r="M220" s="44">
        <f t="shared" si="58"/>
        <v>26000</v>
      </c>
      <c r="N220" s="62">
        <f t="shared" si="54"/>
        <v>25990</v>
      </c>
      <c r="O220" s="60">
        <f>VLOOKUP($A220,'Выгр Кат'!$A:$P,O$1,0)</f>
        <v>20000</v>
      </c>
      <c r="P220" s="60">
        <f>VLOOKUP($A220,'Выгр Кат'!$A:$P,P$1,0)</f>
        <v>25990</v>
      </c>
      <c r="Q220" s="73">
        <f t="shared" si="55"/>
        <v>0</v>
      </c>
      <c r="R220" s="73">
        <f t="shared" si="56"/>
        <v>0</v>
      </c>
      <c r="S220" s="97">
        <f t="shared" si="59"/>
        <v>25990</v>
      </c>
      <c r="T220" s="98">
        <f t="shared" si="60"/>
        <v>0.2995000000000001</v>
      </c>
      <c r="U220" s="98">
        <f t="shared" si="61"/>
        <v>-5.9864611369382592E-2</v>
      </c>
      <c r="V220" s="98">
        <f t="shared" si="62"/>
        <v>0.22609999999999997</v>
      </c>
      <c r="W220" s="106">
        <f t="shared" si="64"/>
        <v>24522</v>
      </c>
      <c r="X220" s="102">
        <f>IFERROR(ROUND((VLOOKUP($A220,'Из ГУГЛа'!$B:$Z,X$1,0)+Z220)*Y220,),VLOOKUP($A220,'Из ГУГЛа'!$B:$Z,X$1,0))</f>
        <v>27490</v>
      </c>
      <c r="Y220" s="75">
        <v>1</v>
      </c>
      <c r="Z220" s="75">
        <v>0</v>
      </c>
      <c r="AA220" s="63">
        <v>27490</v>
      </c>
      <c r="AB220" s="63" t="s">
        <v>1215</v>
      </c>
      <c r="AC220" s="48" t="s">
        <v>1023</v>
      </c>
      <c r="AD220" s="102">
        <f>IFERROR(ROUND((VLOOKUP($A220,'Из ГУГЛа'!$B:$Z,AD$1,0)+AF220)*AE220,),VLOOKUP($A220,'Из ГУГЛа'!$B:$Z,AD$1,0))</f>
        <v>0</v>
      </c>
      <c r="AE220" s="100">
        <v>1</v>
      </c>
      <c r="AF220" s="100"/>
      <c r="AG220" s="103">
        <v>24522</v>
      </c>
      <c r="AH220" s="103" t="s">
        <v>1998</v>
      </c>
      <c r="AI220" s="102">
        <f>IFERROR(ROUND((VLOOKUP($A220,'Из ГУГЛа'!$B:$Z,AI$1,0)+AK220)*AJ220,),VLOOKUP($A220,'Из ГУГЛа'!$B:$Z,AI$1,0))</f>
        <v>0</v>
      </c>
      <c r="AJ220" s="100">
        <v>1</v>
      </c>
      <c r="AK220" s="100"/>
      <c r="AL220" s="103"/>
      <c r="AM220" s="103"/>
      <c r="AN220" s="102">
        <f>IFERROR(ROUND((VLOOKUP($A220,'Из ГУГЛа'!$B:$Z,AN$1,0)+AP220)*AO220,),VLOOKUP($A220,'Из ГУГЛа'!$B:$Z,AN$1,0))</f>
        <v>0</v>
      </c>
      <c r="AO220" s="100">
        <v>1</v>
      </c>
      <c r="AP220" s="100"/>
      <c r="AQ220" s="103"/>
      <c r="AR220" s="103"/>
    </row>
    <row r="221" spans="1:44" ht="40.5" thickTop="1" thickBot="1" x14ac:dyDescent="0.3">
      <c r="A221" s="57">
        <v>144917</v>
      </c>
      <c r="B221" s="57">
        <f>VLOOKUP($A221,'Выгр Кат'!$A:$T,B$1,0)</f>
        <v>13372</v>
      </c>
      <c r="C221" s="58" t="str">
        <f>VLOOKUP($A221,'Выгр Кат'!$A:$T,C$1,0)</f>
        <v>Жгут проводов панели приборов для Лада Гранта</v>
      </c>
      <c r="D221" s="57" t="str">
        <f>VLOOKUP($A221,'Выгр Кат'!$A:$T,D$1,0)</f>
        <v>Y</v>
      </c>
      <c r="E221" s="57" t="str">
        <f>VLOOKUP($A221,'Выгр Кат'!$A:$T,E$1,0)</f>
        <v>1</v>
      </c>
      <c r="F221" s="57">
        <f>VLOOKUP($A221,'Выгр Кат'!$A:$T,F$1,0)</f>
        <v>0</v>
      </c>
      <c r="G221" s="57" t="str">
        <f>VLOOKUP($A221,'Выгр Кат'!$A:$T,G$1,0)</f>
        <v>2191372403061</v>
      </c>
      <c r="H221" s="57" t="str">
        <f>VLOOKUP($A221,'Выгр Кат'!$A:$T,H$1,0)</f>
        <v>2191-3724030</v>
      </c>
      <c r="I221" s="39" t="s">
        <v>725</v>
      </c>
      <c r="J221" s="1" t="s">
        <v>526</v>
      </c>
      <c r="K221" s="47">
        <f>VLOOKUP(I221,Прайс!A:E,5,0)</f>
        <v>20000</v>
      </c>
      <c r="L221" s="7">
        <f>VLOOKUP(K221,Наценка!$A$1:$B$8,2,1)</f>
        <v>1.3</v>
      </c>
      <c r="M221" s="44">
        <f t="shared" si="58"/>
        <v>26000</v>
      </c>
      <c r="N221" s="62">
        <f t="shared" si="54"/>
        <v>25990</v>
      </c>
      <c r="O221" s="60">
        <f>VLOOKUP($A221,'Выгр Кат'!$A:$P,O$1,0)</f>
        <v>20000</v>
      </c>
      <c r="P221" s="60">
        <f>VLOOKUP($A221,'Выгр Кат'!$A:$P,P$1,0)</f>
        <v>25990</v>
      </c>
      <c r="Q221" s="73">
        <f t="shared" si="55"/>
        <v>0</v>
      </c>
      <c r="R221" s="73">
        <f t="shared" si="56"/>
        <v>0</v>
      </c>
      <c r="S221" s="97">
        <f t="shared" si="59"/>
        <v>25990</v>
      </c>
      <c r="T221" s="98">
        <f t="shared" si="60"/>
        <v>0.2995000000000001</v>
      </c>
      <c r="U221" s="98">
        <f t="shared" si="61"/>
        <v>-5.9864611369382592E-2</v>
      </c>
      <c r="V221" s="98">
        <f t="shared" si="62"/>
        <v>0.22609999999999997</v>
      </c>
      <c r="W221" s="106">
        <f t="shared" si="64"/>
        <v>24522</v>
      </c>
      <c r="X221" s="102">
        <f>IFERROR(ROUND((VLOOKUP($A221,'Из ГУГЛа'!$B:$Z,X$1,0)+Z221)*Y221,),VLOOKUP($A221,'Из ГУГЛа'!$B:$Z,X$1,0))</f>
        <v>27490</v>
      </c>
      <c r="Y221" s="75">
        <v>1</v>
      </c>
      <c r="Z221" s="75">
        <v>0</v>
      </c>
      <c r="AA221" s="63">
        <v>27490</v>
      </c>
      <c r="AB221" s="63" t="s">
        <v>1215</v>
      </c>
      <c r="AC221" s="48" t="s">
        <v>749</v>
      </c>
      <c r="AD221" s="102">
        <f>IFERROR(ROUND((VLOOKUP($A221,'Из ГУГЛа'!$B:$Z,AD$1,0)+AF221)*AE221,),VLOOKUP($A221,'Из ГУГЛа'!$B:$Z,AD$1,0))</f>
        <v>0</v>
      </c>
      <c r="AE221" s="100">
        <v>1</v>
      </c>
      <c r="AF221" s="100"/>
      <c r="AG221" s="103">
        <v>24522</v>
      </c>
      <c r="AH221" s="103" t="s">
        <v>1999</v>
      </c>
      <c r="AI221" s="102">
        <f>IFERROR(ROUND((VLOOKUP($A221,'Из ГУГЛа'!$B:$Z,AI$1,0)+AK221)*AJ221,),VLOOKUP($A221,'Из ГУГЛа'!$B:$Z,AI$1,0))</f>
        <v>0</v>
      </c>
      <c r="AJ221" s="100">
        <v>1</v>
      </c>
      <c r="AK221" s="100"/>
      <c r="AL221" s="103"/>
      <c r="AM221" s="103"/>
      <c r="AN221" s="102">
        <f>IFERROR(ROUND((VLOOKUP($A221,'Из ГУГЛа'!$B:$Z,AN$1,0)+AP221)*AO221,),VLOOKUP($A221,'Из ГУГЛа'!$B:$Z,AN$1,0))</f>
        <v>0</v>
      </c>
      <c r="AO221" s="100">
        <v>1</v>
      </c>
      <c r="AP221" s="100"/>
      <c r="AQ221" s="103"/>
      <c r="AR221" s="103"/>
    </row>
    <row r="222" spans="1:44" ht="40.5" thickTop="1" thickBot="1" x14ac:dyDescent="0.3">
      <c r="A222" s="57">
        <v>144918</v>
      </c>
      <c r="B222" s="57">
        <f>VLOOKUP($A222,'Выгр Кат'!$A:$T,B$1,0)</f>
        <v>13374</v>
      </c>
      <c r="C222" s="58" t="str">
        <f>VLOOKUP($A222,'Выгр Кат'!$A:$T,C$1,0)</f>
        <v>Жгут проводов панели приборов с блоком предохранителей для Лада Гранта</v>
      </c>
      <c r="D222" s="57" t="str">
        <f>VLOOKUP($A222,'Выгр Кат'!$A:$T,D$1,0)</f>
        <v>Y</v>
      </c>
      <c r="E222" s="57" t="str">
        <f>VLOOKUP($A222,'Выгр Кат'!$A:$T,E$1,0)</f>
        <v>1</v>
      </c>
      <c r="F222" s="57">
        <f>VLOOKUP($A222,'Выгр Кат'!$A:$T,F$1,0)</f>
        <v>0</v>
      </c>
      <c r="G222" s="57" t="str">
        <f>VLOOKUP($A222,'Выгр Кат'!$A:$T,G$1,0)</f>
        <v>2191372403063</v>
      </c>
      <c r="H222" s="57" t="str">
        <f>VLOOKUP($A222,'Выгр Кат'!$A:$T,H$1,0)</f>
        <v>2191-3724030</v>
      </c>
      <c r="I222" s="39" t="s">
        <v>727</v>
      </c>
      <c r="J222" s="1" t="s">
        <v>526</v>
      </c>
      <c r="K222" s="47">
        <f>VLOOKUP(I222,Прайс!A:E,5,0)</f>
        <v>20000</v>
      </c>
      <c r="L222" s="7">
        <f>VLOOKUP(K222,Наценка!$A$1:$B$8,2,1)</f>
        <v>1.3</v>
      </c>
      <c r="M222" s="44">
        <f t="shared" si="58"/>
        <v>26000</v>
      </c>
      <c r="N222" s="62">
        <f t="shared" si="54"/>
        <v>25990</v>
      </c>
      <c r="O222" s="60">
        <f>VLOOKUP($A222,'Выгр Кат'!$A:$P,O$1,0)</f>
        <v>20000</v>
      </c>
      <c r="P222" s="60">
        <f>VLOOKUP($A222,'Выгр Кат'!$A:$P,P$1,0)</f>
        <v>25990</v>
      </c>
      <c r="Q222" s="73">
        <f t="shared" si="55"/>
        <v>0</v>
      </c>
      <c r="R222" s="73">
        <f t="shared" si="56"/>
        <v>0</v>
      </c>
      <c r="S222" s="97">
        <f t="shared" si="59"/>
        <v>25990</v>
      </c>
      <c r="T222" s="98">
        <f t="shared" si="60"/>
        <v>0.2995000000000001</v>
      </c>
      <c r="U222" s="98">
        <f t="shared" si="61"/>
        <v>-5.9864611369382592E-2</v>
      </c>
      <c r="V222" s="98">
        <f t="shared" si="62"/>
        <v>0.22609999999999997</v>
      </c>
      <c r="W222" s="106">
        <f t="shared" si="64"/>
        <v>24522</v>
      </c>
      <c r="X222" s="102">
        <f>IFERROR(ROUND((VLOOKUP($A222,'Из ГУГЛа'!$B:$Z,X$1,0)+Z222)*Y222,),VLOOKUP($A222,'Из ГУГЛа'!$B:$Z,X$1,0))</f>
        <v>27490</v>
      </c>
      <c r="Y222" s="75">
        <v>1</v>
      </c>
      <c r="Z222" s="75">
        <v>0</v>
      </c>
      <c r="AA222" s="63">
        <v>27490</v>
      </c>
      <c r="AB222" s="63" t="s">
        <v>1215</v>
      </c>
      <c r="AC222" s="48" t="s">
        <v>1025</v>
      </c>
      <c r="AD222" s="102">
        <f>IFERROR(ROUND((VLOOKUP($A222,'Из ГУГЛа'!$B:$Z,AD$1,0)+AF222)*AE222,),VLOOKUP($A222,'Из ГУГЛа'!$B:$Z,AD$1,0))</f>
        <v>0</v>
      </c>
      <c r="AE222" s="100">
        <v>1</v>
      </c>
      <c r="AF222" s="100"/>
      <c r="AG222" s="103">
        <v>24522</v>
      </c>
      <c r="AH222" s="103" t="s">
        <v>2000</v>
      </c>
      <c r="AI222" s="102">
        <f>IFERROR(ROUND((VLOOKUP($A222,'Из ГУГЛа'!$B:$Z,AI$1,0)+AK222)*AJ222,),VLOOKUP($A222,'Из ГУГЛа'!$B:$Z,AI$1,0))</f>
        <v>0</v>
      </c>
      <c r="AJ222" s="100">
        <v>1</v>
      </c>
      <c r="AK222" s="100"/>
      <c r="AL222" s="103"/>
      <c r="AM222" s="103"/>
      <c r="AN222" s="102">
        <f>IFERROR(ROUND((VLOOKUP($A222,'Из ГУГЛа'!$B:$Z,AN$1,0)+AP222)*AO222,),VLOOKUP($A222,'Из ГУГЛа'!$B:$Z,AN$1,0))</f>
        <v>0</v>
      </c>
      <c r="AO222" s="100">
        <v>1</v>
      </c>
      <c r="AP222" s="100"/>
      <c r="AQ222" s="103"/>
      <c r="AR222" s="103"/>
    </row>
    <row r="223" spans="1:44" ht="40.5" thickTop="1" thickBot="1" x14ac:dyDescent="0.3">
      <c r="A223" s="57">
        <v>144920</v>
      </c>
      <c r="B223" s="57">
        <f>VLOOKUP($A223,'Выгр Кат'!$A:$T,B$1,0)</f>
        <v>13373</v>
      </c>
      <c r="C223" s="58" t="str">
        <f>VLOOKUP($A223,'Выгр Кат'!$A:$T,C$1,0)</f>
        <v>Жгут проводов панели приборов с блоком предохранителей для Лада Гранта</v>
      </c>
      <c r="D223" s="57" t="str">
        <f>VLOOKUP($A223,'Выгр Кат'!$A:$T,D$1,0)</f>
        <v>Y</v>
      </c>
      <c r="E223" s="57" t="str">
        <f>VLOOKUP($A223,'Выгр Кат'!$A:$T,E$1,0)</f>
        <v>1</v>
      </c>
      <c r="F223" s="57">
        <f>VLOOKUP($A223,'Выгр Кат'!$A:$T,F$1,0)</f>
        <v>0</v>
      </c>
      <c r="G223" s="57" t="str">
        <f>VLOOKUP($A223,'Выгр Кат'!$A:$T,G$1,0)</f>
        <v>21917372403000</v>
      </c>
      <c r="H223" s="57" t="str">
        <f>VLOOKUP($A223,'Выгр Кат'!$A:$T,H$1,0)</f>
        <v>21917-3724030</v>
      </c>
      <c r="I223" s="39" t="s">
        <v>726</v>
      </c>
      <c r="J223" s="1" t="s">
        <v>526</v>
      </c>
      <c r="K223" s="47">
        <f>VLOOKUP(I223,Прайс!A:E,5,0)</f>
        <v>20000</v>
      </c>
      <c r="L223" s="7">
        <f>VLOOKUP(K223,Наценка!$A$1:$B$8,2,1)</f>
        <v>1.3</v>
      </c>
      <c r="M223" s="44">
        <f t="shared" si="58"/>
        <v>26000</v>
      </c>
      <c r="N223" s="62">
        <f t="shared" si="54"/>
        <v>25990</v>
      </c>
      <c r="O223" s="60">
        <f>VLOOKUP($A223,'Выгр Кат'!$A:$P,O$1,0)</f>
        <v>20000</v>
      </c>
      <c r="P223" s="60">
        <f>VLOOKUP($A223,'Выгр Кат'!$A:$P,P$1,0)</f>
        <v>25990</v>
      </c>
      <c r="Q223" s="73">
        <f t="shared" si="55"/>
        <v>0</v>
      </c>
      <c r="R223" s="73">
        <f t="shared" si="56"/>
        <v>0</v>
      </c>
      <c r="S223" s="97">
        <f t="shared" si="59"/>
        <v>25990</v>
      </c>
      <c r="T223" s="98">
        <f t="shared" si="60"/>
        <v>0.2995000000000001</v>
      </c>
      <c r="U223" s="98">
        <f t="shared" si="61"/>
        <v>-5.9864611369382592E-2</v>
      </c>
      <c r="V223" s="98">
        <f t="shared" si="62"/>
        <v>0.22609999999999997</v>
      </c>
      <c r="W223" s="106">
        <f t="shared" si="64"/>
        <v>24522</v>
      </c>
      <c r="X223" s="102">
        <f>IFERROR(ROUND((VLOOKUP($A223,'Из ГУГЛа'!$B:$Z,X$1,0)+Z223)*Y223,),VLOOKUP($A223,'Из ГУГЛа'!$B:$Z,X$1,0))</f>
        <v>27490</v>
      </c>
      <c r="Y223" s="75">
        <v>1</v>
      </c>
      <c r="Z223" s="75">
        <v>0</v>
      </c>
      <c r="AA223" s="63">
        <v>27490</v>
      </c>
      <c r="AB223" s="63" t="s">
        <v>1215</v>
      </c>
      <c r="AC223" s="48" t="s">
        <v>1026</v>
      </c>
      <c r="AD223" s="102">
        <f>IFERROR(ROUND((VLOOKUP($A223,'Из ГУГЛа'!$B:$Z,AD$1,0)+AF223)*AE223,),VLOOKUP($A223,'Из ГУГЛа'!$B:$Z,AD$1,0))</f>
        <v>0</v>
      </c>
      <c r="AE223" s="100">
        <v>1</v>
      </c>
      <c r="AF223" s="100"/>
      <c r="AG223" s="103">
        <v>24522</v>
      </c>
      <c r="AH223" s="103" t="s">
        <v>2001</v>
      </c>
      <c r="AI223" s="102">
        <f>IFERROR(ROUND((VLOOKUP($A223,'Из ГУГЛа'!$B:$Z,AI$1,0)+AK223)*AJ223,),VLOOKUP($A223,'Из ГУГЛа'!$B:$Z,AI$1,0))</f>
        <v>0</v>
      </c>
      <c r="AJ223" s="100">
        <v>1</v>
      </c>
      <c r="AK223" s="100"/>
      <c r="AL223" s="103"/>
      <c r="AM223" s="103"/>
      <c r="AN223" s="102">
        <f>IFERROR(ROUND((VLOOKUP($A223,'Из ГУГЛа'!$B:$Z,AN$1,0)+AP223)*AO223,),VLOOKUP($A223,'Из ГУГЛа'!$B:$Z,AN$1,0))</f>
        <v>0</v>
      </c>
      <c r="AO223" s="100">
        <v>1</v>
      </c>
      <c r="AP223" s="100"/>
      <c r="AQ223" s="103"/>
      <c r="AR223" s="103"/>
    </row>
    <row r="224" spans="1:44" ht="40.5" thickTop="1" thickBot="1" x14ac:dyDescent="0.3">
      <c r="A224" s="57">
        <v>144921</v>
      </c>
      <c r="B224" s="57">
        <f>VLOOKUP($A224,'Выгр Кат'!$A:$T,B$1,0)</f>
        <v>13377</v>
      </c>
      <c r="C224" s="58" t="str">
        <f>VLOOKUP($A224,'Выгр Кат'!$A:$T,C$1,0)</f>
        <v>Жгут проводов панели приборов для Лада Гранта</v>
      </c>
      <c r="D224" s="57" t="str">
        <f>VLOOKUP($A224,'Выгр Кат'!$A:$T,D$1,0)</f>
        <v>Y</v>
      </c>
      <c r="E224" s="57" t="str">
        <f>VLOOKUP($A224,'Выгр Кат'!$A:$T,E$1,0)</f>
        <v>1</v>
      </c>
      <c r="F224" s="57">
        <f>VLOOKUP($A224,'Выгр Кат'!$A:$T,F$1,0)</f>
        <v>0</v>
      </c>
      <c r="G224" s="57" t="str">
        <f>VLOOKUP($A224,'Выгр Кат'!$A:$T,G$1,0)</f>
        <v>21917372403003</v>
      </c>
      <c r="H224" s="57" t="str">
        <f>VLOOKUP($A224,'Выгр Кат'!$A:$T,H$1,0)</f>
        <v>21917-3724030</v>
      </c>
      <c r="I224" s="39" t="s">
        <v>730</v>
      </c>
      <c r="J224" s="1" t="s">
        <v>526</v>
      </c>
      <c r="K224" s="47">
        <f>VLOOKUP(I224,Прайс!A:E,5,0)</f>
        <v>20000</v>
      </c>
      <c r="L224" s="7">
        <f>VLOOKUP(K224,Наценка!$A$1:$B$8,2,1)</f>
        <v>1.3</v>
      </c>
      <c r="M224" s="44">
        <f t="shared" si="58"/>
        <v>26000</v>
      </c>
      <c r="N224" s="62">
        <f t="shared" si="54"/>
        <v>25990</v>
      </c>
      <c r="O224" s="60">
        <f>VLOOKUP($A224,'Выгр Кат'!$A:$P,O$1,0)</f>
        <v>20000</v>
      </c>
      <c r="P224" s="60">
        <f>VLOOKUP($A224,'Выгр Кат'!$A:$P,P$1,0)</f>
        <v>25990</v>
      </c>
      <c r="Q224" s="73">
        <f t="shared" si="55"/>
        <v>0</v>
      </c>
      <c r="R224" s="73">
        <f t="shared" si="56"/>
        <v>0</v>
      </c>
      <c r="S224" s="97">
        <f t="shared" si="59"/>
        <v>25990</v>
      </c>
      <c r="T224" s="98">
        <f t="shared" si="60"/>
        <v>0.2995000000000001</v>
      </c>
      <c r="U224" s="98">
        <f t="shared" si="61"/>
        <v>-5.9864611369382592E-2</v>
      </c>
      <c r="V224" s="98">
        <f t="shared" si="62"/>
        <v>0.22609999999999997</v>
      </c>
      <c r="W224" s="106">
        <f t="shared" si="64"/>
        <v>24522</v>
      </c>
      <c r="X224" s="102">
        <f>IFERROR(ROUND((VLOOKUP($A224,'Из ГУГЛа'!$B:$Z,X$1,0)+Z224)*Y224,),VLOOKUP($A224,'Из ГУГЛа'!$B:$Z,X$1,0))</f>
        <v>27490</v>
      </c>
      <c r="Y224" s="75">
        <v>1</v>
      </c>
      <c r="Z224" s="75">
        <v>0</v>
      </c>
      <c r="AA224" s="63">
        <v>27490</v>
      </c>
      <c r="AB224" s="63" t="s">
        <v>1215</v>
      </c>
      <c r="AC224" s="48" t="s">
        <v>750</v>
      </c>
      <c r="AD224" s="102">
        <f>IFERROR(ROUND((VLOOKUP($A224,'Из ГУГЛа'!$B:$Z,AD$1,0)+AF224)*AE224,),VLOOKUP($A224,'Из ГУГЛа'!$B:$Z,AD$1,0))</f>
        <v>0</v>
      </c>
      <c r="AE224" s="100">
        <v>1</v>
      </c>
      <c r="AF224" s="100"/>
      <c r="AG224" s="103">
        <v>24522</v>
      </c>
      <c r="AH224" s="103" t="s">
        <v>2002</v>
      </c>
      <c r="AI224" s="102">
        <f>IFERROR(ROUND((VLOOKUP($A224,'Из ГУГЛа'!$B:$Z,AI$1,0)+AK224)*AJ224,),VLOOKUP($A224,'Из ГУГЛа'!$B:$Z,AI$1,0))</f>
        <v>0</v>
      </c>
      <c r="AJ224" s="100">
        <v>1</v>
      </c>
      <c r="AK224" s="100"/>
      <c r="AL224" s="103"/>
      <c r="AM224" s="103"/>
      <c r="AN224" s="102">
        <f>IFERROR(ROUND((VLOOKUP($A224,'Из ГУГЛа'!$B:$Z,AN$1,0)+AP224)*AO224,),VLOOKUP($A224,'Из ГУГЛа'!$B:$Z,AN$1,0))</f>
        <v>0</v>
      </c>
      <c r="AO224" s="100">
        <v>1</v>
      </c>
      <c r="AP224" s="100"/>
      <c r="AQ224" s="103"/>
      <c r="AR224" s="103"/>
    </row>
    <row r="225" spans="1:44" ht="40.5" thickTop="1" thickBot="1" x14ac:dyDescent="0.3">
      <c r="A225" s="57">
        <v>144922</v>
      </c>
      <c r="B225" s="57">
        <f>VLOOKUP($A225,'Выгр Кат'!$A:$T,B$1,0)</f>
        <v>13379</v>
      </c>
      <c r="C225" s="58" t="str">
        <f>VLOOKUP($A225,'Выгр Кат'!$A:$T,C$1,0)</f>
        <v>Жгут проводов панели приборов для Лада Гранта</v>
      </c>
      <c r="D225" s="57" t="str">
        <f>VLOOKUP($A225,'Выгр Кат'!$A:$T,D$1,0)</f>
        <v>Y</v>
      </c>
      <c r="E225" s="57" t="str">
        <f>VLOOKUP($A225,'Выгр Кат'!$A:$T,E$1,0)</f>
        <v>1</v>
      </c>
      <c r="F225" s="57">
        <f>VLOOKUP($A225,'Выгр Кат'!$A:$T,F$1,0)</f>
        <v>0</v>
      </c>
      <c r="G225" s="57" t="str">
        <f>VLOOKUP($A225,'Выгр Кат'!$A:$T,G$1,0)</f>
        <v>21920372403060</v>
      </c>
      <c r="H225" s="57" t="str">
        <f>VLOOKUP($A225,'Выгр Кат'!$A:$T,H$1,0)</f>
        <v>2192-3724030</v>
      </c>
      <c r="I225" s="39" t="s">
        <v>732</v>
      </c>
      <c r="J225" s="1" t="s">
        <v>526</v>
      </c>
      <c r="K225" s="47">
        <f>VLOOKUP(I225,Прайс!A:E,5,0)</f>
        <v>20000</v>
      </c>
      <c r="L225" s="7">
        <f>VLOOKUP(K225,Наценка!$A$1:$B$8,2,1)</f>
        <v>1.3</v>
      </c>
      <c r="M225" s="44">
        <f t="shared" si="58"/>
        <v>26000</v>
      </c>
      <c r="N225" s="62">
        <f t="shared" si="54"/>
        <v>25990</v>
      </c>
      <c r="O225" s="60">
        <f>VLOOKUP($A225,'Выгр Кат'!$A:$P,O$1,0)</f>
        <v>20000</v>
      </c>
      <c r="P225" s="60">
        <f>VLOOKUP($A225,'Выгр Кат'!$A:$P,P$1,0)</f>
        <v>25990</v>
      </c>
      <c r="Q225" s="73">
        <f t="shared" si="55"/>
        <v>0</v>
      </c>
      <c r="R225" s="73">
        <f t="shared" si="56"/>
        <v>0</v>
      </c>
      <c r="S225" s="97">
        <f t="shared" si="59"/>
        <v>25990</v>
      </c>
      <c r="T225" s="98">
        <f t="shared" si="60"/>
        <v>0.2995000000000001</v>
      </c>
      <c r="U225" s="98">
        <f t="shared" si="61"/>
        <v>-5.9864611369382592E-2</v>
      </c>
      <c r="V225" s="98">
        <f t="shared" si="62"/>
        <v>0.22609999999999997</v>
      </c>
      <c r="W225" s="106">
        <f t="shared" si="64"/>
        <v>24522</v>
      </c>
      <c r="X225" s="102">
        <f>IFERROR(ROUND((VLOOKUP($A225,'Из ГУГЛа'!$B:$Z,X$1,0)+Z225)*Y225,),VLOOKUP($A225,'Из ГУГЛа'!$B:$Z,X$1,0))</f>
        <v>27490</v>
      </c>
      <c r="Y225" s="75">
        <v>1</v>
      </c>
      <c r="Z225" s="75">
        <v>0</v>
      </c>
      <c r="AA225" s="63">
        <v>27490</v>
      </c>
      <c r="AB225" s="63" t="s">
        <v>1215</v>
      </c>
      <c r="AC225" s="48" t="s">
        <v>752</v>
      </c>
      <c r="AD225" s="102">
        <f>IFERROR(ROUND((VLOOKUP($A225,'Из ГУГЛа'!$B:$Z,AD$1,0)+AF225)*AE225,),VLOOKUP($A225,'Из ГУГЛа'!$B:$Z,AD$1,0))</f>
        <v>0</v>
      </c>
      <c r="AE225" s="100">
        <v>1</v>
      </c>
      <c r="AF225" s="100"/>
      <c r="AG225" s="103">
        <v>24522</v>
      </c>
      <c r="AH225" s="103" t="s">
        <v>2003</v>
      </c>
      <c r="AI225" s="102">
        <f>IFERROR(ROUND((VLOOKUP($A225,'Из ГУГЛа'!$B:$Z,AI$1,0)+AK225)*AJ225,),VLOOKUP($A225,'Из ГУГЛа'!$B:$Z,AI$1,0))</f>
        <v>0</v>
      </c>
      <c r="AJ225" s="100">
        <v>1</v>
      </c>
      <c r="AK225" s="100"/>
      <c r="AL225" s="103"/>
      <c r="AM225" s="103"/>
      <c r="AN225" s="102">
        <f>IFERROR(ROUND((VLOOKUP($A225,'Из ГУГЛа'!$B:$Z,AN$1,0)+AP225)*AO225,),VLOOKUP($A225,'Из ГУГЛа'!$B:$Z,AN$1,0))</f>
        <v>0</v>
      </c>
      <c r="AO225" s="100">
        <v>1</v>
      </c>
      <c r="AP225" s="100"/>
      <c r="AQ225" s="103"/>
      <c r="AR225" s="103"/>
    </row>
    <row r="226" spans="1:44" ht="40.5" thickTop="1" thickBot="1" x14ac:dyDescent="0.3">
      <c r="A226" s="57">
        <v>144923</v>
      </c>
      <c r="B226" s="57">
        <f>VLOOKUP($A226,'Выгр Кат'!$A:$T,B$1,0)</f>
        <v>13378</v>
      </c>
      <c r="C226" s="58" t="str">
        <f>VLOOKUP($A226,'Выгр Кат'!$A:$T,C$1,0)</f>
        <v>Жгут проводов панели приборов для Лада Гранта</v>
      </c>
      <c r="D226" s="57" t="str">
        <f>VLOOKUP($A226,'Выгр Кат'!$A:$T,D$1,0)</f>
        <v>Y</v>
      </c>
      <c r="E226" s="57" t="str">
        <f>VLOOKUP($A226,'Выгр Кат'!$A:$T,E$1,0)</f>
        <v>1</v>
      </c>
      <c r="F226" s="57">
        <f>VLOOKUP($A226,'Выгр Кат'!$A:$T,F$1,0)</f>
        <v>0</v>
      </c>
      <c r="G226" s="57" t="str">
        <f>VLOOKUP($A226,'Выгр Кат'!$A:$T,G$1,0)</f>
        <v>21920372403063</v>
      </c>
      <c r="H226" s="57" t="str">
        <f>VLOOKUP($A226,'Выгр Кат'!$A:$T,H$1,0)</f>
        <v>2192-3724030</v>
      </c>
      <c r="I226" s="39" t="s">
        <v>731</v>
      </c>
      <c r="J226" s="1" t="s">
        <v>526</v>
      </c>
      <c r="K226" s="47">
        <f>VLOOKUP(I226,Прайс!A:E,5,0)</f>
        <v>20000</v>
      </c>
      <c r="L226" s="7">
        <f>VLOOKUP(K226,Наценка!$A$1:$B$8,2,1)</f>
        <v>1.3</v>
      </c>
      <c r="M226" s="44">
        <f t="shared" si="58"/>
        <v>26000</v>
      </c>
      <c r="N226" s="62">
        <f t="shared" si="54"/>
        <v>25990</v>
      </c>
      <c r="O226" s="60">
        <f>VLOOKUP($A226,'Выгр Кат'!$A:$P,O$1,0)</f>
        <v>20000</v>
      </c>
      <c r="P226" s="60">
        <f>VLOOKUP($A226,'Выгр Кат'!$A:$P,P$1,0)</f>
        <v>25990</v>
      </c>
      <c r="Q226" s="73">
        <f t="shared" si="55"/>
        <v>0</v>
      </c>
      <c r="R226" s="73">
        <f t="shared" si="56"/>
        <v>0</v>
      </c>
      <c r="S226" s="97">
        <f t="shared" si="59"/>
        <v>25990</v>
      </c>
      <c r="T226" s="98">
        <f t="shared" si="60"/>
        <v>0.2995000000000001</v>
      </c>
      <c r="U226" s="98">
        <f t="shared" si="61"/>
        <v>-5.9864611369382592E-2</v>
      </c>
      <c r="V226" s="98">
        <f t="shared" si="62"/>
        <v>0.22609999999999997</v>
      </c>
      <c r="W226" s="106">
        <f t="shared" si="64"/>
        <v>24522</v>
      </c>
      <c r="X226" s="102">
        <f>IFERROR(ROUND((VLOOKUP($A226,'Из ГУГЛа'!$B:$Z,X$1,0)+Z226)*Y226,),VLOOKUP($A226,'Из ГУГЛа'!$B:$Z,X$1,0))</f>
        <v>27490</v>
      </c>
      <c r="Y226" s="75">
        <v>1</v>
      </c>
      <c r="Z226" s="75">
        <v>0</v>
      </c>
      <c r="AA226" s="63">
        <v>27490</v>
      </c>
      <c r="AB226" s="63" t="s">
        <v>1215</v>
      </c>
      <c r="AC226" s="48" t="s">
        <v>751</v>
      </c>
      <c r="AD226" s="102">
        <f>IFERROR(ROUND((VLOOKUP($A226,'Из ГУГЛа'!$B:$Z,AD$1,0)+AF226)*AE226,),VLOOKUP($A226,'Из ГУГЛа'!$B:$Z,AD$1,0))</f>
        <v>0</v>
      </c>
      <c r="AE226" s="100">
        <v>1</v>
      </c>
      <c r="AF226" s="100"/>
      <c r="AG226" s="103">
        <v>24522</v>
      </c>
      <c r="AH226" s="103" t="s">
        <v>2004</v>
      </c>
      <c r="AI226" s="102">
        <f>IFERROR(ROUND((VLOOKUP($A226,'Из ГУГЛа'!$B:$Z,AI$1,0)+AK226)*AJ226,),VLOOKUP($A226,'Из ГУГЛа'!$B:$Z,AI$1,0))</f>
        <v>0</v>
      </c>
      <c r="AJ226" s="100">
        <v>1</v>
      </c>
      <c r="AK226" s="100"/>
      <c r="AL226" s="103"/>
      <c r="AM226" s="103"/>
      <c r="AN226" s="102">
        <f>IFERROR(ROUND((VLOOKUP($A226,'Из ГУГЛа'!$B:$Z,AN$1,0)+AP226)*AO226,),VLOOKUP($A226,'Из ГУГЛа'!$B:$Z,AN$1,0))</f>
        <v>0</v>
      </c>
      <c r="AO226" s="100">
        <v>1</v>
      </c>
      <c r="AP226" s="100"/>
      <c r="AQ226" s="103"/>
      <c r="AR226" s="103"/>
    </row>
    <row r="227" spans="1:44" ht="40.5" thickTop="1" thickBot="1" x14ac:dyDescent="0.3">
      <c r="A227" s="57">
        <v>144924</v>
      </c>
      <c r="B227" s="57">
        <f>VLOOKUP($A227,'Выгр Кат'!$A:$T,B$1,0)</f>
        <v>13380</v>
      </c>
      <c r="C227" s="58" t="str">
        <f>VLOOKUP($A227,'Выгр Кат'!$A:$T,C$1,0)</f>
        <v>Жгут проводов панели приборов для Лада Гранта</v>
      </c>
      <c r="D227" s="57" t="str">
        <f>VLOOKUP($A227,'Выгр Кат'!$A:$T,D$1,0)</f>
        <v>Y</v>
      </c>
      <c r="E227" s="57" t="str">
        <f>VLOOKUP($A227,'Выгр Кат'!$A:$T,E$1,0)</f>
        <v>1</v>
      </c>
      <c r="F227" s="57">
        <f>VLOOKUP($A227,'Выгр Кат'!$A:$T,F$1,0)</f>
        <v>0</v>
      </c>
      <c r="G227" s="57" t="str">
        <f>VLOOKUP($A227,'Выгр Кат'!$A:$T,G$1,0)</f>
        <v>21920372403070</v>
      </c>
      <c r="H227" s="57" t="str">
        <f>VLOOKUP($A227,'Выгр Кат'!$A:$T,H$1,0)</f>
        <v>2192-3724030</v>
      </c>
      <c r="I227" s="39" t="s">
        <v>733</v>
      </c>
      <c r="J227" s="1" t="s">
        <v>526</v>
      </c>
      <c r="K227" s="47">
        <f>VLOOKUP(I227,Прайс!A:E,5,0)</f>
        <v>20000</v>
      </c>
      <c r="L227" s="7">
        <f>VLOOKUP(K227,Наценка!$A$1:$B$8,2,1)</f>
        <v>1.3</v>
      </c>
      <c r="M227" s="44">
        <f t="shared" si="58"/>
        <v>26000</v>
      </c>
      <c r="N227" s="62">
        <f t="shared" si="54"/>
        <v>25990</v>
      </c>
      <c r="O227" s="60">
        <f>VLOOKUP($A227,'Выгр Кат'!$A:$P,O$1,0)</f>
        <v>20000</v>
      </c>
      <c r="P227" s="60">
        <f>VLOOKUP($A227,'Выгр Кат'!$A:$P,P$1,0)</f>
        <v>25990</v>
      </c>
      <c r="Q227" s="73">
        <f t="shared" si="55"/>
        <v>0</v>
      </c>
      <c r="R227" s="73">
        <f t="shared" si="56"/>
        <v>0</v>
      </c>
      <c r="S227" s="97">
        <f t="shared" si="59"/>
        <v>25990</v>
      </c>
      <c r="T227" s="98">
        <f t="shared" si="60"/>
        <v>0.2995000000000001</v>
      </c>
      <c r="U227" s="98">
        <f t="shared" si="61"/>
        <v>-5.9864611369382592E-2</v>
      </c>
      <c r="V227" s="98">
        <f t="shared" si="62"/>
        <v>0.22609999999999997</v>
      </c>
      <c r="W227" s="106">
        <f t="shared" si="64"/>
        <v>24522</v>
      </c>
      <c r="X227" s="102">
        <f>IFERROR(ROUND((VLOOKUP($A227,'Из ГУГЛа'!$B:$Z,X$1,0)+Z227)*Y227,),VLOOKUP($A227,'Из ГУГЛа'!$B:$Z,X$1,0))</f>
        <v>27490</v>
      </c>
      <c r="Y227" s="75">
        <v>1</v>
      </c>
      <c r="Z227" s="75">
        <v>0</v>
      </c>
      <c r="AA227" s="63">
        <v>27490</v>
      </c>
      <c r="AB227" s="63" t="s">
        <v>1215</v>
      </c>
      <c r="AC227" s="48" t="s">
        <v>753</v>
      </c>
      <c r="AD227" s="102">
        <f>IFERROR(ROUND((VLOOKUP($A227,'Из ГУГЛа'!$B:$Z,AD$1,0)+AF227)*AE227,),VLOOKUP($A227,'Из ГУГЛа'!$B:$Z,AD$1,0))</f>
        <v>0</v>
      </c>
      <c r="AE227" s="100">
        <v>1</v>
      </c>
      <c r="AF227" s="100"/>
      <c r="AG227" s="103">
        <v>24522</v>
      </c>
      <c r="AH227" s="103" t="s">
        <v>2005</v>
      </c>
      <c r="AI227" s="102">
        <f>IFERROR(ROUND((VLOOKUP($A227,'Из ГУГЛа'!$B:$Z,AI$1,0)+AK227)*AJ227,),VLOOKUP($A227,'Из ГУГЛа'!$B:$Z,AI$1,0))</f>
        <v>0</v>
      </c>
      <c r="AJ227" s="100">
        <v>1</v>
      </c>
      <c r="AK227" s="100"/>
      <c r="AL227" s="103"/>
      <c r="AM227" s="103"/>
      <c r="AN227" s="102">
        <f>IFERROR(ROUND((VLOOKUP($A227,'Из ГУГЛа'!$B:$Z,AN$1,0)+AP227)*AO227,),VLOOKUP($A227,'Из ГУГЛа'!$B:$Z,AN$1,0))</f>
        <v>0</v>
      </c>
      <c r="AO227" s="100">
        <v>1</v>
      </c>
      <c r="AP227" s="100"/>
      <c r="AQ227" s="103"/>
      <c r="AR227" s="103"/>
    </row>
    <row r="228" spans="1:44" ht="40.5" thickTop="1" thickBot="1" x14ac:dyDescent="0.3">
      <c r="A228" s="57">
        <v>144925</v>
      </c>
      <c r="B228" s="57">
        <f>VLOOKUP($A228,'Выгр Кат'!$A:$T,B$1,0)</f>
        <v>13371</v>
      </c>
      <c r="C228" s="58" t="str">
        <f>VLOOKUP($A228,'Выгр Кат'!$A:$T,C$1,0)</f>
        <v>Жгут проводов панели приборов для Лада Гранта</v>
      </c>
      <c r="D228" s="57" t="str">
        <f>VLOOKUP($A228,'Выгр Кат'!$A:$T,D$1,0)</f>
        <v>Y</v>
      </c>
      <c r="E228" s="57" t="str">
        <f>VLOOKUP($A228,'Выгр Кат'!$A:$T,E$1,0)</f>
        <v>1</v>
      </c>
      <c r="F228" s="57">
        <f>VLOOKUP($A228,'Выгр Кат'!$A:$T,F$1,0)</f>
        <v>0</v>
      </c>
      <c r="G228" s="57" t="str">
        <f>VLOOKUP($A228,'Выгр Кат'!$A:$T,G$1,0)</f>
        <v>21922372403050</v>
      </c>
      <c r="H228" s="57" t="str">
        <f>VLOOKUP($A228,'Выгр Кат'!$A:$T,H$1,0)</f>
        <v>21922-3724030</v>
      </c>
      <c r="I228" s="39" t="s">
        <v>724</v>
      </c>
      <c r="J228" s="1" t="s">
        <v>526</v>
      </c>
      <c r="K228" s="47">
        <f>VLOOKUP(I228,Прайс!A:E,5,0)</f>
        <v>20000</v>
      </c>
      <c r="L228" s="7">
        <f>VLOOKUP(K228,Наценка!$A$1:$B$8,2,1)</f>
        <v>1.3</v>
      </c>
      <c r="M228" s="44">
        <f t="shared" si="58"/>
        <v>26000</v>
      </c>
      <c r="N228" s="62">
        <f t="shared" si="54"/>
        <v>25990</v>
      </c>
      <c r="O228" s="60">
        <f>VLOOKUP($A228,'Выгр Кат'!$A:$P,O$1,0)</f>
        <v>20000</v>
      </c>
      <c r="P228" s="60">
        <f>VLOOKUP($A228,'Выгр Кат'!$A:$P,P$1,0)</f>
        <v>25990</v>
      </c>
      <c r="Q228" s="73">
        <f t="shared" si="55"/>
        <v>0</v>
      </c>
      <c r="R228" s="73">
        <f t="shared" si="56"/>
        <v>0</v>
      </c>
      <c r="S228" s="97">
        <f t="shared" si="59"/>
        <v>25990</v>
      </c>
      <c r="T228" s="98">
        <f t="shared" si="60"/>
        <v>0.2995000000000001</v>
      </c>
      <c r="U228" s="98">
        <f t="shared" si="61"/>
        <v>-5.9864611369382592E-2</v>
      </c>
      <c r="V228" s="98">
        <f t="shared" si="62"/>
        <v>0.22609999999999997</v>
      </c>
      <c r="W228" s="106">
        <f t="shared" si="64"/>
        <v>24522</v>
      </c>
      <c r="X228" s="102">
        <f>IFERROR(ROUND((VLOOKUP($A228,'Из ГУГЛа'!$B:$Z,X$1,0)+Z228)*Y228,),VLOOKUP($A228,'Из ГУГЛа'!$B:$Z,X$1,0))</f>
        <v>27490</v>
      </c>
      <c r="Y228" s="75">
        <v>1</v>
      </c>
      <c r="Z228" s="75">
        <v>0</v>
      </c>
      <c r="AA228" s="63">
        <v>27490</v>
      </c>
      <c r="AB228" s="63" t="s">
        <v>1215</v>
      </c>
      <c r="AC228" s="48" t="s">
        <v>748</v>
      </c>
      <c r="AD228" s="102">
        <f>IFERROR(ROUND((VLOOKUP($A228,'Из ГУГЛа'!$B:$Z,AD$1,0)+AF228)*AE228,),VLOOKUP($A228,'Из ГУГЛа'!$B:$Z,AD$1,0))</f>
        <v>0</v>
      </c>
      <c r="AE228" s="100">
        <v>1</v>
      </c>
      <c r="AF228" s="100"/>
      <c r="AG228" s="103">
        <v>24522</v>
      </c>
      <c r="AH228" s="103" t="s">
        <v>2006</v>
      </c>
      <c r="AI228" s="102">
        <f>IFERROR(ROUND((VLOOKUP($A228,'Из ГУГЛа'!$B:$Z,AI$1,0)+AK228)*AJ228,),VLOOKUP($A228,'Из ГУГЛа'!$B:$Z,AI$1,0))</f>
        <v>0</v>
      </c>
      <c r="AJ228" s="100">
        <v>1</v>
      </c>
      <c r="AK228" s="100"/>
      <c r="AL228" s="103"/>
      <c r="AM228" s="103"/>
      <c r="AN228" s="102">
        <f>IFERROR(ROUND((VLOOKUP($A228,'Из ГУГЛа'!$B:$Z,AN$1,0)+AP228)*AO228,),VLOOKUP($A228,'Из ГУГЛа'!$B:$Z,AN$1,0))</f>
        <v>0</v>
      </c>
      <c r="AO228" s="100">
        <v>1</v>
      </c>
      <c r="AP228" s="100"/>
      <c r="AQ228" s="103"/>
      <c r="AR228" s="103"/>
    </row>
    <row r="229" spans="1:44" ht="40.5" thickTop="1" thickBot="1" x14ac:dyDescent="0.3">
      <c r="A229" s="57">
        <v>144926</v>
      </c>
      <c r="B229" s="57">
        <f>VLOOKUP($A229,'Выгр Кат'!$A:$T,B$1,0)</f>
        <v>13381</v>
      </c>
      <c r="C229" s="58" t="str">
        <f>VLOOKUP($A229,'Выгр Кат'!$A:$T,C$1,0)</f>
        <v>Жгут проводов панели приборов для Лада Гранта</v>
      </c>
      <c r="D229" s="57" t="str">
        <f>VLOOKUP($A229,'Выгр Кат'!$A:$T,D$1,0)</f>
        <v>Y</v>
      </c>
      <c r="E229" s="57" t="str">
        <f>VLOOKUP($A229,'Выгр Кат'!$A:$T,E$1,0)</f>
        <v>1</v>
      </c>
      <c r="F229" s="57">
        <f>VLOOKUP($A229,'Выгр Кат'!$A:$T,F$1,0)</f>
        <v>0</v>
      </c>
      <c r="G229" s="57" t="str">
        <f>VLOOKUP($A229,'Выгр Кат'!$A:$T,G$1,0)</f>
        <v>21922372403073</v>
      </c>
      <c r="H229" s="57" t="str">
        <f>VLOOKUP($A229,'Выгр Кат'!$A:$T,H$1,0)</f>
        <v>21922-3724030</v>
      </c>
      <c r="I229" s="39" t="s">
        <v>734</v>
      </c>
      <c r="J229" s="1" t="s">
        <v>526</v>
      </c>
      <c r="K229" s="47">
        <f>VLOOKUP(I229,Прайс!A:E,5,0)</f>
        <v>20000</v>
      </c>
      <c r="L229" s="7">
        <f>VLOOKUP(K229,Наценка!$A$1:$B$8,2,1)</f>
        <v>1.3</v>
      </c>
      <c r="M229" s="44">
        <f t="shared" si="58"/>
        <v>26000</v>
      </c>
      <c r="N229" s="62">
        <f t="shared" si="54"/>
        <v>25990</v>
      </c>
      <c r="O229" s="60">
        <f>VLOOKUP($A229,'Выгр Кат'!$A:$P,O$1,0)</f>
        <v>20000</v>
      </c>
      <c r="P229" s="60">
        <f>VLOOKUP($A229,'Выгр Кат'!$A:$P,P$1,0)</f>
        <v>25990</v>
      </c>
      <c r="Q229" s="73">
        <f t="shared" si="55"/>
        <v>0</v>
      </c>
      <c r="R229" s="73">
        <f t="shared" si="56"/>
        <v>0</v>
      </c>
      <c r="S229" s="97">
        <f t="shared" si="59"/>
        <v>25990</v>
      </c>
      <c r="T229" s="98">
        <f t="shared" si="60"/>
        <v>0.2995000000000001</v>
      </c>
      <c r="U229" s="98">
        <f t="shared" si="61"/>
        <v>-5.9864611369382592E-2</v>
      </c>
      <c r="V229" s="98">
        <f t="shared" si="62"/>
        <v>0.22609999999999997</v>
      </c>
      <c r="W229" s="106">
        <f t="shared" si="64"/>
        <v>24522</v>
      </c>
      <c r="X229" s="102">
        <f>IFERROR(ROUND((VLOOKUP($A229,'Из ГУГЛа'!$B:$Z,X$1,0)+Z229)*Y229,),VLOOKUP($A229,'Из ГУГЛа'!$B:$Z,X$1,0))</f>
        <v>27490</v>
      </c>
      <c r="Y229" s="75">
        <v>1</v>
      </c>
      <c r="Z229" s="75">
        <v>0</v>
      </c>
      <c r="AA229" s="63">
        <v>27490</v>
      </c>
      <c r="AB229" s="63" t="s">
        <v>1215</v>
      </c>
      <c r="AC229" s="48" t="s">
        <v>754</v>
      </c>
      <c r="AD229" s="102">
        <f>IFERROR(ROUND((VLOOKUP($A229,'Из ГУГЛа'!$B:$Z,AD$1,0)+AF229)*AE229,),VLOOKUP($A229,'Из ГУГЛа'!$B:$Z,AD$1,0))</f>
        <v>0</v>
      </c>
      <c r="AE229" s="100">
        <v>1</v>
      </c>
      <c r="AF229" s="100"/>
      <c r="AG229" s="103">
        <v>24522</v>
      </c>
      <c r="AH229" s="103" t="s">
        <v>2007</v>
      </c>
      <c r="AI229" s="102">
        <f>IFERROR(ROUND((VLOOKUP($A229,'Из ГУГЛа'!$B:$Z,AI$1,0)+AK229)*AJ229,),VLOOKUP($A229,'Из ГУГЛа'!$B:$Z,AI$1,0))</f>
        <v>0</v>
      </c>
      <c r="AJ229" s="100">
        <v>1</v>
      </c>
      <c r="AK229" s="100"/>
      <c r="AL229" s="103"/>
      <c r="AM229" s="103"/>
      <c r="AN229" s="102">
        <f>IFERROR(ROUND((VLOOKUP($A229,'Из ГУГЛа'!$B:$Z,AN$1,0)+AP229)*AO229,),VLOOKUP($A229,'Из ГУГЛа'!$B:$Z,AN$1,0))</f>
        <v>0</v>
      </c>
      <c r="AO229" s="100">
        <v>1</v>
      </c>
      <c r="AP229" s="100"/>
      <c r="AQ229" s="103"/>
      <c r="AR229" s="103"/>
    </row>
    <row r="230" spans="1:44" ht="40.5" thickTop="1" thickBot="1" x14ac:dyDescent="0.3">
      <c r="A230" s="57">
        <v>144913</v>
      </c>
      <c r="B230" s="57">
        <f>VLOOKUP($A230,'Выгр Кат'!$A:$T,B$1,0)</f>
        <v>13351</v>
      </c>
      <c r="C230" s="58" t="str">
        <f>VLOOKUP($A230,'Выгр Кат'!$A:$T,C$1,0)</f>
        <v>Жгут панели приборов 2170-61 для Лада Приора</v>
      </c>
      <c r="D230" s="57" t="str">
        <f>VLOOKUP($A230,'Выгр Кат'!$A:$T,D$1,0)</f>
        <v>Y</v>
      </c>
      <c r="E230" s="57" t="str">
        <f>VLOOKUP($A230,'Выгр Кат'!$A:$T,E$1,0)</f>
        <v>1</v>
      </c>
      <c r="F230" s="57">
        <f>VLOOKUP($A230,'Выгр Кат'!$A:$T,F$1,0)</f>
        <v>0</v>
      </c>
      <c r="G230" s="57" t="str">
        <f>VLOOKUP($A230,'Выгр Кат'!$A:$T,G$1,0)</f>
        <v>2170372403061</v>
      </c>
      <c r="H230" s="57" t="str">
        <f>VLOOKUP($A230,'Выгр Кат'!$A:$T,H$1,0)</f>
        <v>2170-3724030</v>
      </c>
      <c r="I230" s="39" t="s">
        <v>704</v>
      </c>
      <c r="J230" s="1" t="s">
        <v>526</v>
      </c>
      <c r="K230" s="46">
        <f>O230</f>
        <v>17000</v>
      </c>
      <c r="L230" s="7">
        <f>VLOOKUP(K230,Наценка!$A$1:$B$8,2,1)</f>
        <v>1.3</v>
      </c>
      <c r="M230" s="44">
        <f t="shared" si="58"/>
        <v>22100</v>
      </c>
      <c r="N230" s="62">
        <f t="shared" si="54"/>
        <v>22090</v>
      </c>
      <c r="O230" s="60">
        <f>VLOOKUP($A230,'Выгр Кат'!$A:$P,O$1,0)</f>
        <v>17000</v>
      </c>
      <c r="P230" s="60">
        <f>VLOOKUP($A230,'Выгр Кат'!$A:$P,P$1,0)</f>
        <v>22090</v>
      </c>
      <c r="Q230" s="73">
        <f t="shared" si="55"/>
        <v>0</v>
      </c>
      <c r="R230" s="73">
        <f t="shared" si="56"/>
        <v>0</v>
      </c>
      <c r="S230" s="97">
        <f t="shared" si="59"/>
        <v>22090</v>
      </c>
      <c r="T230" s="98">
        <f t="shared" si="60"/>
        <v>0.29941176470588227</v>
      </c>
      <c r="U230" s="98" t="str">
        <f t="shared" si="61"/>
        <v/>
      </c>
      <c r="V230" s="98" t="str">
        <f t="shared" si="62"/>
        <v/>
      </c>
      <c r="W230" s="99"/>
      <c r="X230" s="102">
        <f>IFERROR(ROUND((VLOOKUP($A230,'Из ГУГЛа'!$B:$Z,X$1,0)+Z230)*Y230,),VLOOKUP($A230,'Из ГУГЛа'!$B:$Z,X$1,0))</f>
        <v>22990</v>
      </c>
      <c r="Y230" s="75">
        <v>1</v>
      </c>
      <c r="Z230" s="75">
        <v>0</v>
      </c>
      <c r="AA230" s="63" t="s">
        <v>1028</v>
      </c>
      <c r="AB230" s="80"/>
      <c r="AC230" s="48" t="s">
        <v>1027</v>
      </c>
      <c r="AD230" s="102">
        <f>IFERROR(ROUND((VLOOKUP($A230,'Из ГУГЛа'!$B:$Z,AD$1,0)+AF230)*AE230,),VLOOKUP($A230,'Из ГУГЛа'!$B:$Z,AD$1,0))</f>
        <v>0</v>
      </c>
      <c r="AE230" s="100">
        <v>1</v>
      </c>
      <c r="AF230" s="100"/>
      <c r="AG230" s="103" t="s">
        <v>1017</v>
      </c>
      <c r="AH230" s="103"/>
      <c r="AI230" s="102">
        <f>IFERROR(ROUND((VLOOKUP($A230,'Из ГУГЛа'!$B:$Z,AI$1,0)+AK230)*AJ230,),VLOOKUP($A230,'Из ГУГЛа'!$B:$Z,AI$1,0))</f>
        <v>0</v>
      </c>
      <c r="AJ230" s="100">
        <v>1</v>
      </c>
      <c r="AK230" s="100"/>
      <c r="AL230" s="103"/>
      <c r="AM230" s="103"/>
      <c r="AN230" s="102">
        <f>IFERROR(ROUND((VLOOKUP($A230,'Из ГУГЛа'!$B:$Z,AN$1,0)+AP230)*AO230,),VLOOKUP($A230,'Из ГУГЛа'!$B:$Z,AN$1,0))</f>
        <v>0</v>
      </c>
      <c r="AO230" s="100">
        <v>1</v>
      </c>
      <c r="AP230" s="100"/>
      <c r="AQ230" s="103"/>
      <c r="AR230" s="103"/>
    </row>
    <row r="231" spans="1:44" ht="61.5" thickTop="1" thickBot="1" x14ac:dyDescent="0.3">
      <c r="A231" s="57">
        <v>144810</v>
      </c>
      <c r="B231" s="57">
        <f>VLOOKUP($A231,'Выгр Кат'!$A:$T,B$1,0)</f>
        <v>13345</v>
      </c>
      <c r="C231" s="58" t="str">
        <f>VLOOKUP($A231,'Выгр Кат'!$A:$T,C$1,0)</f>
        <v>Жгут панели приборов в сборе с монтажным блоком для Лада Приора 16-ти клапанный двигатель, Е-газ, с ABS, без кондиционера, ПТФ и датчика дождя</v>
      </c>
      <c r="D231" s="57" t="str">
        <f>VLOOKUP($A231,'Выгр Кат'!$A:$T,D$1,0)</f>
        <v>Y</v>
      </c>
      <c r="E231" s="57" t="str">
        <f>VLOOKUP($A231,'Выгр Кат'!$A:$T,E$1,0)</f>
        <v>1</v>
      </c>
      <c r="F231" s="57">
        <f>VLOOKUP($A231,'Выгр Кат'!$A:$T,F$1,0)</f>
        <v>0</v>
      </c>
      <c r="G231" s="57" t="str">
        <f>VLOOKUP($A231,'Выгр Кат'!$A:$T,G$1,0)</f>
        <v>217033724030</v>
      </c>
      <c r="H231" s="57" t="str">
        <f>VLOOKUP($A231,'Выгр Кат'!$A:$T,H$1,0)</f>
        <v>21703-3724030</v>
      </c>
      <c r="I231" s="39" t="s">
        <v>698</v>
      </c>
      <c r="J231" s="1" t="s">
        <v>526</v>
      </c>
      <c r="K231" s="47">
        <f>VLOOKUP(I231,Прайс!A:E,5,0)</f>
        <v>20000</v>
      </c>
      <c r="L231" s="7">
        <f>VLOOKUP(K231,Наценка!$A$1:$B$8,2,1)</f>
        <v>1.3</v>
      </c>
      <c r="M231" s="44">
        <f t="shared" si="58"/>
        <v>26000</v>
      </c>
      <c r="N231" s="62">
        <f t="shared" si="54"/>
        <v>25990</v>
      </c>
      <c r="O231" s="60">
        <f>VLOOKUP($A231,'Выгр Кат'!$A:$P,O$1,0)</f>
        <v>20000</v>
      </c>
      <c r="P231" s="60">
        <f>VLOOKUP($A231,'Выгр Кат'!$A:$P,P$1,0)</f>
        <v>25990</v>
      </c>
      <c r="Q231" s="73">
        <f t="shared" si="55"/>
        <v>0</v>
      </c>
      <c r="R231" s="73">
        <f t="shared" si="56"/>
        <v>0</v>
      </c>
      <c r="S231" s="97">
        <f t="shared" si="59"/>
        <v>25990</v>
      </c>
      <c r="T231" s="98">
        <f t="shared" si="60"/>
        <v>0.2995000000000001</v>
      </c>
      <c r="U231" s="98">
        <f t="shared" si="61"/>
        <v>-0.14397640741229809</v>
      </c>
      <c r="V231" s="98">
        <f t="shared" si="62"/>
        <v>0.13595000000000002</v>
      </c>
      <c r="W231" s="106">
        <f t="shared" ref="W231:W240" si="65">MIN(AA231,AG231,AL231,AQ231)</f>
        <v>22719</v>
      </c>
      <c r="X231" s="102">
        <f>IFERROR(ROUND((VLOOKUP($A231,'Из ГУГЛа'!$B:$Z,X$1,0)+Z231)*Y231,),VLOOKUP($A231,'Из ГУГЛа'!$B:$Z,X$1,0))</f>
        <v>27490</v>
      </c>
      <c r="Y231" s="75">
        <v>1</v>
      </c>
      <c r="Z231" s="75">
        <v>0</v>
      </c>
      <c r="AA231" s="63">
        <v>27490</v>
      </c>
      <c r="AB231" s="63" t="s">
        <v>1215</v>
      </c>
      <c r="AC231" s="48" t="s">
        <v>1024</v>
      </c>
      <c r="AD231" s="102">
        <f>IFERROR(ROUND((VLOOKUP($A231,'Из ГУГЛа'!$B:$Z,AD$1,0)+AF231)*AE231,),VLOOKUP($A231,'Из ГУГЛа'!$B:$Z,AD$1,0))</f>
        <v>0</v>
      </c>
      <c r="AE231" s="100">
        <v>1</v>
      </c>
      <c r="AF231" s="100"/>
      <c r="AG231" s="103">
        <v>22719</v>
      </c>
      <c r="AH231" s="103" t="s">
        <v>2008</v>
      </c>
      <c r="AI231" s="102">
        <f>IFERROR(ROUND((VLOOKUP($A231,'Из ГУГЛа'!$B:$Z,AI$1,0)+AK231)*AJ231,),VLOOKUP($A231,'Из ГУГЛа'!$B:$Z,AI$1,0))</f>
        <v>0</v>
      </c>
      <c r="AJ231" s="100">
        <v>1</v>
      </c>
      <c r="AK231" s="100"/>
      <c r="AL231" s="103"/>
      <c r="AM231" s="103"/>
      <c r="AN231" s="102">
        <f>IFERROR(ROUND((VLOOKUP($A231,'Из ГУГЛа'!$B:$Z,AN$1,0)+AP231)*AO231,),VLOOKUP($A231,'Из ГУГЛа'!$B:$Z,AN$1,0))</f>
        <v>0</v>
      </c>
      <c r="AO231" s="100">
        <v>1</v>
      </c>
      <c r="AP231" s="100"/>
      <c r="AQ231" s="103"/>
      <c r="AR231" s="103"/>
    </row>
    <row r="232" spans="1:44" ht="53.25" thickTop="1" thickBot="1" x14ac:dyDescent="0.3">
      <c r="A232" s="57">
        <v>144811</v>
      </c>
      <c r="B232" s="57">
        <f>VLOOKUP($A232,'Выгр Кат'!$A:$T,B$1,0)</f>
        <v>13340</v>
      </c>
      <c r="C232" s="58" t="str">
        <f>VLOOKUP($A232,'Выгр Кат'!$A:$T,C$1,0)</f>
        <v>Жгут панели приборов 2170 в сборе с монтажным блоком для Лада Приора</v>
      </c>
      <c r="D232" s="57" t="str">
        <f>VLOOKUP($A232,'Выгр Кат'!$A:$T,D$1,0)</f>
        <v>Y</v>
      </c>
      <c r="E232" s="57" t="str">
        <f>VLOOKUP($A232,'Выгр Кат'!$A:$T,E$1,0)</f>
        <v>1</v>
      </c>
      <c r="F232" s="57">
        <f>VLOOKUP($A232,'Выгр Кат'!$A:$T,F$1,0)</f>
        <v>0</v>
      </c>
      <c r="G232" s="57" t="str">
        <f>VLOOKUP($A232,'Выгр Кат'!$A:$T,G$1,0)</f>
        <v>21703724030</v>
      </c>
      <c r="H232" s="57" t="str">
        <f>VLOOKUP($A232,'Выгр Кат'!$A:$T,H$1,0)</f>
        <v>2170-3724030</v>
      </c>
      <c r="I232" s="39" t="s">
        <v>693</v>
      </c>
      <c r="J232" s="1" t="s">
        <v>526</v>
      </c>
      <c r="K232" s="46">
        <f>O232</f>
        <v>20000</v>
      </c>
      <c r="L232" s="7">
        <f>VLOOKUP(K232,Наценка!$A$1:$B$8,2,1)</f>
        <v>1.3</v>
      </c>
      <c r="M232" s="44">
        <f t="shared" si="58"/>
        <v>26000</v>
      </c>
      <c r="N232" s="62">
        <f t="shared" si="54"/>
        <v>25990</v>
      </c>
      <c r="O232" s="60">
        <f>VLOOKUP($A232,'Выгр Кат'!$A:$P,O$1,0)</f>
        <v>20000</v>
      </c>
      <c r="P232" s="60">
        <f>VLOOKUP($A232,'Выгр Кат'!$A:$P,P$1,0)</f>
        <v>27390</v>
      </c>
      <c r="Q232" s="73">
        <f t="shared" si="55"/>
        <v>0</v>
      </c>
      <c r="R232" s="73">
        <f t="shared" si="56"/>
        <v>1400</v>
      </c>
      <c r="S232" s="97">
        <f t="shared" si="59"/>
        <v>25990</v>
      </c>
      <c r="T232" s="98">
        <f t="shared" si="60"/>
        <v>0.2995000000000001</v>
      </c>
      <c r="U232" s="98">
        <f t="shared" si="61"/>
        <v>5.4565296471444161E-2</v>
      </c>
      <c r="V232" s="98">
        <f t="shared" si="62"/>
        <v>0.37450000000000006</v>
      </c>
      <c r="W232" s="106">
        <f t="shared" si="65"/>
        <v>27490</v>
      </c>
      <c r="X232" s="102">
        <f>IFERROR(ROUND((VLOOKUP($A232,'Из ГУГЛа'!$B:$Z,X$1,0)+Z232)*Y232,),VLOOKUP($A232,'Из ГУГЛа'!$B:$Z,X$1,0))</f>
        <v>27490</v>
      </c>
      <c r="Y232" s="75">
        <v>1</v>
      </c>
      <c r="Z232" s="75">
        <v>0</v>
      </c>
      <c r="AA232" s="63">
        <v>27490</v>
      </c>
      <c r="AB232" s="63" t="s">
        <v>1215</v>
      </c>
      <c r="AC232" s="48" t="s">
        <v>813</v>
      </c>
      <c r="AD232" s="102">
        <f>IFERROR(ROUND((VLOOKUP($A232,'Из ГУГЛа'!$B:$Z,AD$1,0)+AF232)*AE232,),VLOOKUP($A232,'Из ГУГЛа'!$B:$Z,AD$1,0))</f>
        <v>0</v>
      </c>
      <c r="AE232" s="100">
        <v>1</v>
      </c>
      <c r="AF232" s="100"/>
      <c r="AG232" s="103">
        <v>28805</v>
      </c>
      <c r="AH232" s="103" t="s">
        <v>1974</v>
      </c>
      <c r="AI232" s="102">
        <f>IFERROR(ROUND((VLOOKUP($A232,'Из ГУГЛа'!$B:$Z,AI$1,0)+AK232)*AJ232,),VLOOKUP($A232,'Из ГУГЛа'!$B:$Z,AI$1,0))</f>
        <v>0</v>
      </c>
      <c r="AJ232" s="100">
        <v>1</v>
      </c>
      <c r="AK232" s="100"/>
      <c r="AL232" s="103"/>
      <c r="AM232" s="103"/>
      <c r="AN232" s="102">
        <f>IFERROR(ROUND((VLOOKUP($A232,'Из ГУГЛа'!$B:$Z,AN$1,0)+AP232)*AO232,),VLOOKUP($A232,'Из ГУГЛа'!$B:$Z,AN$1,0))</f>
        <v>0</v>
      </c>
      <c r="AO232" s="100">
        <v>1</v>
      </c>
      <c r="AP232" s="100"/>
      <c r="AQ232" s="103"/>
      <c r="AR232" s="103"/>
    </row>
    <row r="233" spans="1:44" ht="53.25" thickTop="1" thickBot="1" x14ac:dyDescent="0.3">
      <c r="A233" s="57">
        <v>144812</v>
      </c>
      <c r="B233" s="57">
        <f>VLOOKUP($A233,'Выгр Кат'!$A:$T,B$1,0)</f>
        <v>13342</v>
      </c>
      <c r="C233" s="58" t="str">
        <f>VLOOKUP($A233,'Выгр Кат'!$A:$T,C$1,0)</f>
        <v>Жгут панели приборов 2170-21 в сборе с монтажным блоком для Лада Приора</v>
      </c>
      <c r="D233" s="57" t="str">
        <f>VLOOKUP($A233,'Выгр Кат'!$A:$T,D$1,0)</f>
        <v>Y</v>
      </c>
      <c r="E233" s="57" t="str">
        <f>VLOOKUP($A233,'Выгр Кат'!$A:$T,E$1,0)</f>
        <v>1</v>
      </c>
      <c r="F233" s="57">
        <f>VLOOKUP($A233,'Выгр Кат'!$A:$T,F$1,0)</f>
        <v>0</v>
      </c>
      <c r="G233" s="57" t="str">
        <f>VLOOKUP($A233,'Выгр Кат'!$A:$T,G$1,0)</f>
        <v>2170372403021</v>
      </c>
      <c r="H233" s="57" t="str">
        <f>VLOOKUP($A233,'Выгр Кат'!$A:$T,H$1,0)</f>
        <v>2170-3724030</v>
      </c>
      <c r="I233" s="39" t="s">
        <v>695</v>
      </c>
      <c r="J233" s="1" t="s">
        <v>526</v>
      </c>
      <c r="K233" s="47">
        <f>VLOOKUP(I233,Прайс!A:E,5,0)</f>
        <v>20000</v>
      </c>
      <c r="L233" s="7">
        <f>VLOOKUP(K233,Наценка!$A$1:$B$8,2,1)</f>
        <v>1.3</v>
      </c>
      <c r="M233" s="44">
        <f t="shared" si="58"/>
        <v>26000</v>
      </c>
      <c r="N233" s="62">
        <f t="shared" si="54"/>
        <v>25990</v>
      </c>
      <c r="O233" s="60">
        <f>VLOOKUP($A233,'Выгр Кат'!$A:$P,O$1,0)</f>
        <v>20000</v>
      </c>
      <c r="P233" s="60">
        <f>VLOOKUP($A233,'Выгр Кат'!$A:$P,P$1,0)</f>
        <v>25990</v>
      </c>
      <c r="Q233" s="73">
        <f t="shared" si="55"/>
        <v>0</v>
      </c>
      <c r="R233" s="73">
        <f t="shared" si="56"/>
        <v>0</v>
      </c>
      <c r="S233" s="97">
        <f t="shared" si="59"/>
        <v>25990</v>
      </c>
      <c r="T233" s="98">
        <f t="shared" si="60"/>
        <v>0.2995000000000001</v>
      </c>
      <c r="U233" s="98">
        <f t="shared" si="61"/>
        <v>-0.14001228177910344</v>
      </c>
      <c r="V233" s="98">
        <f t="shared" si="62"/>
        <v>0.13989999999999991</v>
      </c>
      <c r="W233" s="106">
        <f t="shared" si="65"/>
        <v>22798</v>
      </c>
      <c r="X233" s="102">
        <f>IFERROR(ROUND((VLOOKUP($A233,'Из ГУГЛа'!$B:$Z,X$1,0)+Z233)*Y233,),VLOOKUP($A233,'Из ГУГЛа'!$B:$Z,X$1,0))</f>
        <v>27490</v>
      </c>
      <c r="Y233" s="75">
        <v>1</v>
      </c>
      <c r="Z233" s="75">
        <v>0</v>
      </c>
      <c r="AA233" s="63">
        <v>27490</v>
      </c>
      <c r="AB233" s="63" t="s">
        <v>1215</v>
      </c>
      <c r="AC233" s="48" t="s">
        <v>746</v>
      </c>
      <c r="AD233" s="102">
        <f>IFERROR(ROUND((VLOOKUP($A233,'Из ГУГЛа'!$B:$Z,AD$1,0)+AF233)*AE233,),VLOOKUP($A233,'Из ГУГЛа'!$B:$Z,AD$1,0))</f>
        <v>0</v>
      </c>
      <c r="AE233" s="100">
        <v>1</v>
      </c>
      <c r="AF233" s="100"/>
      <c r="AG233" s="103">
        <v>22798</v>
      </c>
      <c r="AH233" s="103" t="s">
        <v>1973</v>
      </c>
      <c r="AI233" s="102">
        <f>IFERROR(ROUND((VLOOKUP($A233,'Из ГУГЛа'!$B:$Z,AI$1,0)+AK233)*AJ233,),VLOOKUP($A233,'Из ГУГЛа'!$B:$Z,AI$1,0))</f>
        <v>0</v>
      </c>
      <c r="AJ233" s="100">
        <v>1</v>
      </c>
      <c r="AK233" s="100"/>
      <c r="AL233" s="103"/>
      <c r="AM233" s="103"/>
      <c r="AN233" s="102">
        <f>IFERROR(ROUND((VLOOKUP($A233,'Из ГУГЛа'!$B:$Z,AN$1,0)+AP233)*AO233,),VLOOKUP($A233,'Из ГУГЛа'!$B:$Z,AN$1,0))</f>
        <v>0</v>
      </c>
      <c r="AO233" s="100">
        <v>1</v>
      </c>
      <c r="AP233" s="100"/>
      <c r="AQ233" s="103"/>
      <c r="AR233" s="103"/>
    </row>
    <row r="234" spans="1:44" ht="53.25" thickTop="1" thickBot="1" x14ac:dyDescent="0.3">
      <c r="A234" s="57">
        <v>144813</v>
      </c>
      <c r="B234" s="57">
        <f>VLOOKUP($A234,'Выгр Кат'!$A:$T,B$1,0)</f>
        <v>13343</v>
      </c>
      <c r="C234" s="58" t="str">
        <f>VLOOKUP($A234,'Выгр Кат'!$A:$T,C$1,0)</f>
        <v>Жгут панели приборов 2170-30 в сборе с монтажным блоком для Лада Приора</v>
      </c>
      <c r="D234" s="57" t="str">
        <f>VLOOKUP($A234,'Выгр Кат'!$A:$T,D$1,0)</f>
        <v>Y</v>
      </c>
      <c r="E234" s="57" t="str">
        <f>VLOOKUP($A234,'Выгр Кат'!$A:$T,E$1,0)</f>
        <v>1</v>
      </c>
      <c r="F234" s="57">
        <f>VLOOKUP($A234,'Выгр Кат'!$A:$T,F$1,0)</f>
        <v>0</v>
      </c>
      <c r="G234" s="57" t="str">
        <f>VLOOKUP($A234,'Выгр Кат'!$A:$T,G$1,0)</f>
        <v>2170372403030</v>
      </c>
      <c r="H234" s="57" t="str">
        <f>VLOOKUP($A234,'Выгр Кат'!$A:$T,H$1,0)</f>
        <v>2170-3724030</v>
      </c>
      <c r="I234" s="39" t="s">
        <v>696</v>
      </c>
      <c r="J234" s="1" t="s">
        <v>526</v>
      </c>
      <c r="K234" s="47">
        <f>VLOOKUP(I234,Прайс!A:E,5,0)</f>
        <v>20000</v>
      </c>
      <c r="L234" s="7">
        <f>VLOOKUP(K234,Наценка!$A$1:$B$8,2,1)</f>
        <v>1.3</v>
      </c>
      <c r="M234" s="44">
        <f t="shared" si="58"/>
        <v>26000</v>
      </c>
      <c r="N234" s="62">
        <f t="shared" si="54"/>
        <v>25990</v>
      </c>
      <c r="O234" s="60">
        <f>VLOOKUP($A234,'Выгр Кат'!$A:$P,O$1,0)</f>
        <v>20000</v>
      </c>
      <c r="P234" s="60">
        <f>VLOOKUP($A234,'Выгр Кат'!$A:$P,P$1,0)</f>
        <v>25990</v>
      </c>
      <c r="Q234" s="73">
        <f t="shared" si="55"/>
        <v>0</v>
      </c>
      <c r="R234" s="73">
        <f t="shared" si="56"/>
        <v>0</v>
      </c>
      <c r="S234" s="97">
        <f t="shared" si="59"/>
        <v>25990</v>
      </c>
      <c r="T234" s="98">
        <f t="shared" si="60"/>
        <v>0.2995000000000001</v>
      </c>
      <c r="U234" s="98">
        <f t="shared" si="61"/>
        <v>-0.14001228177910344</v>
      </c>
      <c r="V234" s="98">
        <f t="shared" si="62"/>
        <v>0.13989999999999991</v>
      </c>
      <c r="W234" s="106">
        <f t="shared" si="65"/>
        <v>22798</v>
      </c>
      <c r="X234" s="102">
        <f>IFERROR(ROUND((VLOOKUP($A234,'Из ГУГЛа'!$B:$Z,X$1,0)+Z234)*Y234,),VLOOKUP($A234,'Из ГУГЛа'!$B:$Z,X$1,0))</f>
        <v>27490</v>
      </c>
      <c r="Y234" s="75">
        <v>1</v>
      </c>
      <c r="Z234" s="75">
        <v>0</v>
      </c>
      <c r="AA234" s="63">
        <v>27490</v>
      </c>
      <c r="AB234" s="63" t="s">
        <v>1215</v>
      </c>
      <c r="AC234" s="48" t="s">
        <v>745</v>
      </c>
      <c r="AD234" s="102">
        <f>IFERROR(ROUND((VLOOKUP($A234,'Из ГУГЛа'!$B:$Z,AD$1,0)+AF234)*AE234,),VLOOKUP($A234,'Из ГУГЛа'!$B:$Z,AD$1,0))</f>
        <v>0</v>
      </c>
      <c r="AE234" s="100">
        <v>1</v>
      </c>
      <c r="AF234" s="100"/>
      <c r="AG234" s="103">
        <v>22798</v>
      </c>
      <c r="AH234" s="103" t="s">
        <v>1972</v>
      </c>
      <c r="AI234" s="102">
        <f>IFERROR(ROUND((VLOOKUP($A234,'Из ГУГЛа'!$B:$Z,AI$1,0)+AK234)*AJ234,),VLOOKUP($A234,'Из ГУГЛа'!$B:$Z,AI$1,0))</f>
        <v>0</v>
      </c>
      <c r="AJ234" s="100">
        <v>1</v>
      </c>
      <c r="AK234" s="100"/>
      <c r="AL234" s="103"/>
      <c r="AM234" s="103"/>
      <c r="AN234" s="102">
        <f>IFERROR(ROUND((VLOOKUP($A234,'Из ГУГЛа'!$B:$Z,AN$1,0)+AP234)*AO234,),VLOOKUP($A234,'Из ГУГЛа'!$B:$Z,AN$1,0))</f>
        <v>0</v>
      </c>
      <c r="AO234" s="100">
        <v>1</v>
      </c>
      <c r="AP234" s="100"/>
      <c r="AQ234" s="103"/>
      <c r="AR234" s="103"/>
    </row>
    <row r="235" spans="1:44" ht="53.25" thickTop="1" thickBot="1" x14ac:dyDescent="0.3">
      <c r="A235" s="57">
        <v>144815</v>
      </c>
      <c r="B235" s="57">
        <f>VLOOKUP($A235,'Выгр Кат'!$A:$T,B$1,0)</f>
        <v>13341</v>
      </c>
      <c r="C235" s="58" t="str">
        <f>VLOOKUP($A235,'Выгр Кат'!$A:$T,C$1,0)</f>
        <v>Жгут панели приборов 2172 в сборе с монтажным блоком для Лада Приора</v>
      </c>
      <c r="D235" s="57" t="str">
        <f>VLOOKUP($A235,'Выгр Кат'!$A:$T,D$1,0)</f>
        <v>Y</v>
      </c>
      <c r="E235" s="57" t="str">
        <f>VLOOKUP($A235,'Выгр Кат'!$A:$T,E$1,0)</f>
        <v>1</v>
      </c>
      <c r="F235" s="57">
        <f>VLOOKUP($A235,'Выгр Кат'!$A:$T,F$1,0)</f>
        <v>0</v>
      </c>
      <c r="G235" s="57" t="str">
        <f>VLOOKUP($A235,'Выгр Кат'!$A:$T,G$1,0)</f>
        <v>21723724030</v>
      </c>
      <c r="H235" s="57" t="str">
        <f>VLOOKUP($A235,'Выгр Кат'!$A:$T,H$1,0)</f>
        <v>2172-3724030</v>
      </c>
      <c r="I235" s="39" t="s">
        <v>694</v>
      </c>
      <c r="J235" s="1" t="s">
        <v>526</v>
      </c>
      <c r="K235" s="47">
        <f>VLOOKUP(I235,Прайс!A:E,5,0)</f>
        <v>20000</v>
      </c>
      <c r="L235" s="7">
        <f>VLOOKUP(K235,Наценка!$A$1:$B$8,2,1)</f>
        <v>1.3</v>
      </c>
      <c r="M235" s="44">
        <f t="shared" si="58"/>
        <v>26000</v>
      </c>
      <c r="N235" s="62">
        <f t="shared" si="54"/>
        <v>25990</v>
      </c>
      <c r="O235" s="60">
        <f>VLOOKUP($A235,'Выгр Кат'!$A:$P,O$1,0)</f>
        <v>20000</v>
      </c>
      <c r="P235" s="60">
        <f>VLOOKUP($A235,'Выгр Кат'!$A:$P,P$1,0)</f>
        <v>27390</v>
      </c>
      <c r="Q235" s="73">
        <f t="shared" si="55"/>
        <v>0</v>
      </c>
      <c r="R235" s="73">
        <f t="shared" si="56"/>
        <v>1400</v>
      </c>
      <c r="S235" s="97">
        <f t="shared" si="59"/>
        <v>25990</v>
      </c>
      <c r="T235" s="98">
        <f t="shared" si="60"/>
        <v>0.2995000000000001</v>
      </c>
      <c r="U235" s="98">
        <f t="shared" si="61"/>
        <v>5.4565296471444161E-2</v>
      </c>
      <c r="V235" s="98">
        <f t="shared" si="62"/>
        <v>0.37450000000000006</v>
      </c>
      <c r="W235" s="106">
        <f t="shared" si="65"/>
        <v>27490</v>
      </c>
      <c r="X235" s="102">
        <f>IFERROR(ROUND((VLOOKUP($A235,'Из ГУГЛа'!$B:$Z,X$1,0)+Z235)*Y235,),VLOOKUP($A235,'Из ГУГЛа'!$B:$Z,X$1,0))</f>
        <v>27490</v>
      </c>
      <c r="Y235" s="75">
        <v>1</v>
      </c>
      <c r="Z235" s="75">
        <v>0</v>
      </c>
      <c r="AA235" s="85">
        <v>27490</v>
      </c>
      <c r="AB235" s="63" t="s">
        <v>1215</v>
      </c>
      <c r="AC235" s="48" t="s">
        <v>813</v>
      </c>
      <c r="AD235" s="102">
        <f>IFERROR(ROUND((VLOOKUP($A235,'Из ГУГЛа'!$B:$Z,AD$1,0)+AF235)*AE235,),VLOOKUP($A235,'Из ГУГЛа'!$B:$Z,AD$1,0))</f>
        <v>0</v>
      </c>
      <c r="AE235" s="100">
        <v>1</v>
      </c>
      <c r="AF235" s="100"/>
      <c r="AG235" s="103">
        <v>28805</v>
      </c>
      <c r="AH235" s="103" t="s">
        <v>1971</v>
      </c>
      <c r="AI235" s="102">
        <f>IFERROR(ROUND((VLOOKUP($A235,'Из ГУГЛа'!$B:$Z,AI$1,0)+AK235)*AJ235,),VLOOKUP($A235,'Из ГУГЛа'!$B:$Z,AI$1,0))</f>
        <v>0</v>
      </c>
      <c r="AJ235" s="100">
        <v>1</v>
      </c>
      <c r="AK235" s="100"/>
      <c r="AL235" s="103"/>
      <c r="AM235" s="103"/>
      <c r="AN235" s="102">
        <f>IFERROR(ROUND((VLOOKUP($A235,'Из ГУГЛа'!$B:$Z,AN$1,0)+AP235)*AO235,),VLOOKUP($A235,'Из ГУГЛа'!$B:$Z,AN$1,0))</f>
        <v>0</v>
      </c>
      <c r="AO235" s="100">
        <v>1</v>
      </c>
      <c r="AP235" s="100"/>
      <c r="AQ235" s="103"/>
      <c r="AR235" s="103"/>
    </row>
    <row r="236" spans="1:44" ht="53.25" thickTop="1" thickBot="1" x14ac:dyDescent="0.3">
      <c r="A236" s="57">
        <v>144814</v>
      </c>
      <c r="B236" s="57">
        <f>VLOOKUP($A236,'Выгр Кат'!$A:$T,B$1,0)</f>
        <v>13344</v>
      </c>
      <c r="C236" s="58" t="str">
        <f>VLOOKUP($A236,'Выгр Кат'!$A:$T,C$1,0)</f>
        <v>Жгут панели приборов 2170-70 в сборе с монтажным блоком для Лада Приора</v>
      </c>
      <c r="D236" s="57" t="str">
        <f>VLOOKUP($A236,'Выгр Кат'!$A:$T,D$1,0)</f>
        <v>Y</v>
      </c>
      <c r="E236" s="57" t="str">
        <f>VLOOKUP($A236,'Выгр Кат'!$A:$T,E$1,0)</f>
        <v>1</v>
      </c>
      <c r="F236" s="57">
        <f>VLOOKUP($A236,'Выгр Кат'!$A:$T,F$1,0)</f>
        <v>0</v>
      </c>
      <c r="G236" s="57" t="str">
        <f>VLOOKUP($A236,'Выгр Кат'!$A:$T,G$1,0)</f>
        <v>2170372403070</v>
      </c>
      <c r="H236" s="57" t="str">
        <f>VLOOKUP($A236,'Выгр Кат'!$A:$T,H$1,0)</f>
        <v>2170-3724030</v>
      </c>
      <c r="I236" s="39" t="s">
        <v>697</v>
      </c>
      <c r="J236" s="1" t="s">
        <v>526</v>
      </c>
      <c r="K236" s="46">
        <f>O236</f>
        <v>20000</v>
      </c>
      <c r="L236" s="7">
        <f>VLOOKUP(K236,Наценка!$A$1:$B$8,2,1)</f>
        <v>1.3</v>
      </c>
      <c r="M236" s="44">
        <f t="shared" si="58"/>
        <v>26000</v>
      </c>
      <c r="N236" s="62">
        <f t="shared" si="54"/>
        <v>25990</v>
      </c>
      <c r="O236" s="60">
        <f>VLOOKUP($A236,'Выгр Кат'!$A:$P,O$1,0)</f>
        <v>20000</v>
      </c>
      <c r="P236" s="60">
        <f>VLOOKUP($A236,'Выгр Кат'!$A:$P,P$1,0)</f>
        <v>27390</v>
      </c>
      <c r="Q236" s="73">
        <f t="shared" si="55"/>
        <v>0</v>
      </c>
      <c r="R236" s="73">
        <f t="shared" si="56"/>
        <v>1400</v>
      </c>
      <c r="S236" s="97">
        <f t="shared" si="59"/>
        <v>25990</v>
      </c>
      <c r="T236" s="98">
        <f t="shared" si="60"/>
        <v>0.2995000000000001</v>
      </c>
      <c r="U236" s="98">
        <f t="shared" si="61"/>
        <v>5.4565296471444161E-2</v>
      </c>
      <c r="V236" s="98">
        <f t="shared" si="62"/>
        <v>0.37450000000000006</v>
      </c>
      <c r="W236" s="106">
        <f t="shared" si="65"/>
        <v>27490</v>
      </c>
      <c r="X236" s="102">
        <f>IFERROR(ROUND((VLOOKUP($A236,'Из ГУГЛа'!$B:$Z,X$1,0)+Z236)*Y236,),VLOOKUP($A236,'Из ГУГЛа'!$B:$Z,X$1,0))</f>
        <v>27490</v>
      </c>
      <c r="Y236" s="75">
        <v>1</v>
      </c>
      <c r="Z236" s="75">
        <v>0</v>
      </c>
      <c r="AA236" s="85">
        <v>27490</v>
      </c>
      <c r="AB236" s="63" t="s">
        <v>1215</v>
      </c>
      <c r="AC236" s="48" t="s">
        <v>744</v>
      </c>
      <c r="AD236" s="102">
        <f>IFERROR(ROUND((VLOOKUP($A236,'Из ГУГЛа'!$B:$Z,AD$1,0)+AF236)*AE236,),VLOOKUP($A236,'Из ГУГЛа'!$B:$Z,AD$1,0))</f>
        <v>0</v>
      </c>
      <c r="AE236" s="100">
        <v>1</v>
      </c>
      <c r="AF236" s="100"/>
      <c r="AG236" s="103">
        <v>27502</v>
      </c>
      <c r="AH236" s="103" t="s">
        <v>1970</v>
      </c>
      <c r="AI236" s="102">
        <f>IFERROR(ROUND((VLOOKUP($A236,'Из ГУГЛа'!$B:$Z,AI$1,0)+AK236)*AJ236,),VLOOKUP($A236,'Из ГУГЛа'!$B:$Z,AI$1,0))</f>
        <v>0</v>
      </c>
      <c r="AJ236" s="100">
        <v>1</v>
      </c>
      <c r="AK236" s="100"/>
      <c r="AL236" s="103"/>
      <c r="AM236" s="103"/>
      <c r="AN236" s="102">
        <f>IFERROR(ROUND((VLOOKUP($A236,'Из ГУГЛа'!$B:$Z,AN$1,0)+AP236)*AO236,),VLOOKUP($A236,'Из ГУГЛа'!$B:$Z,AN$1,0))</f>
        <v>0</v>
      </c>
      <c r="AO236" s="100">
        <v>1</v>
      </c>
      <c r="AP236" s="100"/>
      <c r="AQ236" s="103"/>
      <c r="AR236" s="103"/>
    </row>
    <row r="237" spans="1:44" ht="46.5" thickTop="1" thickBot="1" x14ac:dyDescent="0.3">
      <c r="A237" s="57">
        <v>202551</v>
      </c>
      <c r="B237" s="57">
        <f>VLOOKUP($A237,'Выгр Кат'!$A:$T,B$1,0)</f>
        <v>125014</v>
      </c>
      <c r="C237" s="58" t="str">
        <f>VLOOKUP($A237,'Выгр Кат'!$A:$T,C$1,0)</f>
        <v>Разъем датчика фаз с проводами герметичный для ВАЗ 2108-21099, 2110-2112, 2113-2115, Лада Калина, Калина 2, Гранта</v>
      </c>
      <c r="D237" s="57" t="str">
        <f>VLOOKUP($A237,'Выгр Кат'!$A:$T,D$1,0)</f>
        <v>Y</v>
      </c>
      <c r="E237" s="57" t="str">
        <f>VLOOKUP($A237,'Выгр Кат'!$A:$T,E$1,0)</f>
        <v>1</v>
      </c>
      <c r="F237" s="57">
        <f>VLOOKUP($A237,'Выгр Кат'!$A:$T,F$1,0)</f>
        <v>0</v>
      </c>
      <c r="G237" s="57" t="str">
        <f>VLOOKUP($A237,'Выгр Кат'!$A:$T,G$1,0)</f>
        <v>АХ-330</v>
      </c>
      <c r="H237" s="57">
        <f>VLOOKUP($A237,'Выгр Кат'!$A:$T,H$1,0)</f>
        <v>0</v>
      </c>
      <c r="I237" s="59"/>
      <c r="J237" s="1" t="s">
        <v>526</v>
      </c>
      <c r="K237" s="46">
        <f t="shared" ref="K237:K238" si="66">O237</f>
        <v>80</v>
      </c>
      <c r="L237" s="7">
        <f>VLOOKUP(K237,Наценка!$A$1:$B$8,2,1)</f>
        <v>2</v>
      </c>
      <c r="M237" s="44">
        <f t="shared" si="58"/>
        <v>160</v>
      </c>
      <c r="N237" s="62">
        <f t="shared" si="54"/>
        <v>159</v>
      </c>
      <c r="O237" s="60">
        <f>VLOOKUP($A237,'Выгр Кат'!$A:$P,O$1,0)</f>
        <v>80</v>
      </c>
      <c r="P237" s="60">
        <f>VLOOKUP($A237,'Выгр Кат'!$A:$P,P$1,0)</f>
        <v>159</v>
      </c>
      <c r="Q237" s="73">
        <f t="shared" si="55"/>
        <v>0</v>
      </c>
      <c r="R237" s="73">
        <f t="shared" si="56"/>
        <v>0</v>
      </c>
      <c r="S237" s="97">
        <f t="shared" si="59"/>
        <v>159</v>
      </c>
      <c r="T237" s="98">
        <f t="shared" si="60"/>
        <v>0.98750000000000004</v>
      </c>
      <c r="U237" s="98">
        <f t="shared" si="61"/>
        <v>0.44210526315789472</v>
      </c>
      <c r="V237" s="98">
        <f t="shared" si="62"/>
        <v>2.5625</v>
      </c>
      <c r="W237" s="106">
        <f t="shared" si="65"/>
        <v>285</v>
      </c>
      <c r="X237" s="102" t="str">
        <f>IFERROR(ROUND((VLOOKUP($A237,'Из ГУГЛа'!$B:$Z,X$1,0)+Z237)*Y237,),VLOOKUP($A237,'Из ГУГЛа'!$B:$Z,X$1,0))</f>
        <v/>
      </c>
      <c r="Y237" s="75">
        <v>1</v>
      </c>
      <c r="Z237" s="75">
        <v>0</v>
      </c>
      <c r="AA237" s="63" t="s">
        <v>1017</v>
      </c>
      <c r="AB237" s="80"/>
      <c r="AD237" s="102">
        <f>IFERROR(ROUND((VLOOKUP($A237,'Из ГУГЛа'!$B:$Z,AD$1,0)+AF237)*AE237,),VLOOKUP($A237,'Из ГУГЛа'!$B:$Z,AD$1,0))</f>
        <v>0</v>
      </c>
      <c r="AE237" s="100">
        <v>1</v>
      </c>
      <c r="AF237" s="100"/>
      <c r="AG237" s="103">
        <v>285</v>
      </c>
      <c r="AH237" s="103" t="s">
        <v>1969</v>
      </c>
      <c r="AI237" s="102">
        <f>IFERROR(ROUND((VLOOKUP($A237,'Из ГУГЛа'!$B:$Z,AI$1,0)+AK237)*AJ237,),VLOOKUP($A237,'Из ГУГЛа'!$B:$Z,AI$1,0))</f>
        <v>0</v>
      </c>
      <c r="AJ237" s="100">
        <v>1</v>
      </c>
      <c r="AK237" s="100"/>
      <c r="AL237" s="103"/>
      <c r="AM237" s="103"/>
      <c r="AN237" s="102">
        <f>IFERROR(ROUND((VLOOKUP($A237,'Из ГУГЛа'!$B:$Z,AN$1,0)+AP237)*AO237,),VLOOKUP($A237,'Из ГУГЛа'!$B:$Z,AN$1,0))</f>
        <v>0</v>
      </c>
      <c r="AO237" s="100">
        <v>1</v>
      </c>
      <c r="AP237" s="100"/>
      <c r="AQ237" s="103"/>
      <c r="AR237" s="103"/>
    </row>
    <row r="238" spans="1:44" ht="61.5" thickTop="1" thickBot="1" x14ac:dyDescent="0.3">
      <c r="A238" s="57">
        <v>202550</v>
      </c>
      <c r="B238" s="57">
        <f>VLOOKUP($A238,'Выгр Кат'!$A:$T,B$1,0)</f>
        <v>125402</v>
      </c>
      <c r="C238" s="58" t="str">
        <f>VLOOKUP($A238,'Выгр Кат'!$A:$T,C$1,0)</f>
        <v>Разъем датчика положения дроссельной заслонки герметичный для ВАЗ 2107, 2108-21099, 2110-2112, 2113-2115, Лада Калина, Приора, Нива 4х4, Шевроле Нива</v>
      </c>
      <c r="D238" s="57" t="str">
        <f>VLOOKUP($A238,'Выгр Кат'!$A:$T,D$1,0)</f>
        <v>Y</v>
      </c>
      <c r="E238" s="57" t="str">
        <f>VLOOKUP($A238,'Выгр Кат'!$A:$T,E$1,0)</f>
        <v>1</v>
      </c>
      <c r="F238" s="57">
        <f>VLOOKUP($A238,'Выгр Кат'!$A:$T,F$1,0)</f>
        <v>0</v>
      </c>
      <c r="G238" s="57" t="str">
        <f>VLOOKUP($A238,'Выгр Кат'!$A:$T,G$1,0)</f>
        <v>AX315</v>
      </c>
      <c r="H238" s="57">
        <f>VLOOKUP($A238,'Выгр Кат'!$A:$T,H$1,0)</f>
        <v>0</v>
      </c>
      <c r="I238" s="59"/>
      <c r="J238" s="1" t="s">
        <v>526</v>
      </c>
      <c r="K238" s="46">
        <f t="shared" si="66"/>
        <v>85</v>
      </c>
      <c r="L238" s="7">
        <f>VLOOKUP(K238,Наценка!$A$1:$B$8,2,1)</f>
        <v>2</v>
      </c>
      <c r="M238" s="44">
        <f t="shared" si="58"/>
        <v>170</v>
      </c>
      <c r="N238" s="62">
        <f t="shared" si="54"/>
        <v>169</v>
      </c>
      <c r="O238" s="60">
        <f>VLOOKUP($A238,'Выгр Кат'!$A:$P,O$1,0)</f>
        <v>85</v>
      </c>
      <c r="P238" s="60">
        <f>VLOOKUP($A238,'Выгр Кат'!$A:$P,P$1,0)</f>
        <v>109</v>
      </c>
      <c r="Q238" s="73">
        <f t="shared" si="55"/>
        <v>0</v>
      </c>
      <c r="R238" s="73">
        <f t="shared" si="56"/>
        <v>-60</v>
      </c>
      <c r="S238" s="97">
        <f t="shared" si="59"/>
        <v>169</v>
      </c>
      <c r="T238" s="98">
        <f t="shared" si="60"/>
        <v>0.9882352941176471</v>
      </c>
      <c r="U238" s="98">
        <f t="shared" si="61"/>
        <v>-0.59433962264150941</v>
      </c>
      <c r="V238" s="98">
        <f t="shared" si="62"/>
        <v>0.24705882352941178</v>
      </c>
      <c r="W238" s="106">
        <f t="shared" si="65"/>
        <v>106</v>
      </c>
      <c r="X238" s="102">
        <f>IFERROR(ROUND((VLOOKUP($A238,'Из ГУГЛа'!$B:$Z,X$1,0)+Z238)*Y238,),VLOOKUP($A238,'Из ГУГЛа'!$B:$Z,X$1,0))</f>
        <v>106</v>
      </c>
      <c r="Y238" s="78">
        <f>1/15</f>
        <v>6.6666666666666666E-2</v>
      </c>
      <c r="Z238" s="75">
        <v>0</v>
      </c>
      <c r="AA238" s="63">
        <v>106</v>
      </c>
      <c r="AB238" s="63" t="s">
        <v>1215</v>
      </c>
      <c r="AC238" s="48" t="s">
        <v>1020</v>
      </c>
      <c r="AD238" s="102">
        <f>IFERROR(ROUND((VLOOKUP($A238,'Из ГУГЛа'!$B:$Z,AD$1,0)+AF238)*AE238,),VLOOKUP($A238,'Из ГУГЛа'!$B:$Z,AD$1,0))</f>
        <v>0</v>
      </c>
      <c r="AE238" s="100">
        <v>1</v>
      </c>
      <c r="AF238" s="100"/>
      <c r="AG238" s="103">
        <v>235</v>
      </c>
      <c r="AH238" s="103" t="s">
        <v>1968</v>
      </c>
      <c r="AI238" s="102">
        <f>IFERROR(ROUND((VLOOKUP($A238,'Из ГУГЛа'!$B:$Z,AI$1,0)+AK238)*AJ238,),VLOOKUP($A238,'Из ГУГЛа'!$B:$Z,AI$1,0))</f>
        <v>0</v>
      </c>
      <c r="AJ238" s="100">
        <v>1</v>
      </c>
      <c r="AK238" s="100"/>
      <c r="AL238" s="103"/>
      <c r="AM238" s="103"/>
      <c r="AN238" s="102">
        <f>IFERROR(ROUND((VLOOKUP($A238,'Из ГУГЛа'!$B:$Z,AN$1,0)+AP238)*AO238,),VLOOKUP($A238,'Из ГУГЛа'!$B:$Z,AN$1,0))</f>
        <v>0</v>
      </c>
      <c r="AO238" s="100">
        <v>1</v>
      </c>
      <c r="AP238" s="100"/>
      <c r="AQ238" s="103"/>
      <c r="AR238" s="103"/>
    </row>
    <row r="239" spans="1:44" ht="40.5" thickTop="1" thickBot="1" x14ac:dyDescent="0.3">
      <c r="A239" s="57">
        <v>160419</v>
      </c>
      <c r="B239" s="57">
        <f>VLOOKUP($A239,'Выгр Кат'!$A:$T,B$1,0)</f>
        <v>125475</v>
      </c>
      <c r="C239" s="58" t="str">
        <f>VLOOKUP($A239,'Выгр Кат'!$A:$T,C$1,0)</f>
        <v>Корпус разъема комбинации приборов норма без проводов для Лада Калина, Приора</v>
      </c>
      <c r="D239" s="57" t="str">
        <f>VLOOKUP($A239,'Выгр Кат'!$A:$T,D$1,0)</f>
        <v>Y</v>
      </c>
      <c r="E239" s="57" t="str">
        <f>VLOOKUP($A239,'Выгр Кат'!$A:$T,E$1,0)</f>
        <v>1</v>
      </c>
      <c r="F239" s="57">
        <f>VLOOKUP($A239,'Выгр Кат'!$A:$T,F$1,0)</f>
        <v>0</v>
      </c>
      <c r="G239" s="57">
        <f>VLOOKUP($A239,'Выгр Кат'!$A:$T,G$1,0)</f>
        <v>0</v>
      </c>
      <c r="H239" s="57">
        <f>VLOOKUP($A239,'Выгр Кат'!$A:$T,H$1,0)</f>
        <v>0</v>
      </c>
      <c r="I239" s="59" t="s">
        <v>513</v>
      </c>
      <c r="J239" s="1" t="s">
        <v>526</v>
      </c>
      <c r="K239" s="47">
        <f>VLOOKUP(I239,Прайс!A:E,5,0)</f>
        <v>260</v>
      </c>
      <c r="L239" s="7">
        <f>VLOOKUP(K239,Наценка!$A$1:$B$8,2,1)</f>
        <v>1.8</v>
      </c>
      <c r="M239" s="44">
        <f t="shared" si="58"/>
        <v>468</v>
      </c>
      <c r="N239" s="62">
        <f t="shared" si="54"/>
        <v>469</v>
      </c>
      <c r="O239" s="60">
        <f>VLOOKUP($A239,'Выгр Кат'!$A:$P,O$1,0)</f>
        <v>260</v>
      </c>
      <c r="P239" s="60">
        <f>VLOOKUP($A239,'Выгр Кат'!$A:$P,P$1,0)</f>
        <v>519</v>
      </c>
      <c r="Q239" s="73">
        <f t="shared" si="55"/>
        <v>0</v>
      </c>
      <c r="R239" s="73">
        <f t="shared" si="56"/>
        <v>50</v>
      </c>
      <c r="S239" s="97">
        <f t="shared" si="59"/>
        <v>469</v>
      </c>
      <c r="T239" s="98">
        <f t="shared" si="60"/>
        <v>0.80384615384615388</v>
      </c>
      <c r="U239" s="98">
        <f t="shared" si="61"/>
        <v>0.14571948998178508</v>
      </c>
      <c r="V239" s="98">
        <f t="shared" si="62"/>
        <v>1.1115384615384616</v>
      </c>
      <c r="W239" s="106">
        <f t="shared" si="65"/>
        <v>549</v>
      </c>
      <c r="X239" s="102">
        <f>IFERROR(ROUND((VLOOKUP($A239,'Из ГУГЛа'!$B:$Z,X$1,0)+Z239)*Y239,),VLOOKUP($A239,'Из ГУГЛа'!$B:$Z,X$1,0))</f>
        <v>549</v>
      </c>
      <c r="Y239" s="75">
        <v>1</v>
      </c>
      <c r="Z239" s="75">
        <v>0</v>
      </c>
      <c r="AA239" s="85">
        <v>549</v>
      </c>
      <c r="AB239" s="63" t="s">
        <v>1215</v>
      </c>
      <c r="AC239" s="48" t="s">
        <v>816</v>
      </c>
      <c r="AD239" s="102">
        <f>IFERROR(ROUND((VLOOKUP($A239,'Из ГУГЛа'!$B:$Z,AD$1,0)+AF239)*AE239,),VLOOKUP($A239,'Из ГУГЛа'!$B:$Z,AD$1,0))</f>
        <v>0</v>
      </c>
      <c r="AE239" s="100">
        <v>1</v>
      </c>
      <c r="AF239" s="100"/>
      <c r="AG239" s="103">
        <v>585</v>
      </c>
      <c r="AH239" s="103" t="s">
        <v>1967</v>
      </c>
      <c r="AI239" s="102">
        <f>IFERROR(ROUND((VLOOKUP($A239,'Из ГУГЛа'!$B:$Z,AI$1,0)+AK239)*AJ239,),VLOOKUP($A239,'Из ГУГЛа'!$B:$Z,AI$1,0))</f>
        <v>0</v>
      </c>
      <c r="AJ239" s="100">
        <v>1</v>
      </c>
      <c r="AK239" s="100"/>
      <c r="AL239" s="103"/>
      <c r="AM239" s="103"/>
      <c r="AN239" s="102">
        <f>IFERROR(ROUND((VLOOKUP($A239,'Из ГУГЛа'!$B:$Z,AN$1,0)+AP239)*AO239,),VLOOKUP($A239,'Из ГУГЛа'!$B:$Z,AN$1,0))</f>
        <v>0</v>
      </c>
      <c r="AO239" s="100">
        <v>1</v>
      </c>
      <c r="AP239" s="100"/>
      <c r="AQ239" s="103"/>
      <c r="AR239" s="103"/>
    </row>
    <row r="240" spans="1:44" ht="40.5" thickTop="1" thickBot="1" x14ac:dyDescent="0.3">
      <c r="A240" s="57">
        <v>144952</v>
      </c>
      <c r="B240" s="57">
        <f>VLOOKUP($A240,'Выгр Кат'!$A:$T,B$1,0)</f>
        <v>145757</v>
      </c>
      <c r="C240" s="58" t="str">
        <f>VLOOKUP($A240,'Выгр Кат'!$A:$T,C$1,0)</f>
        <v>Жгут проводов салона и задних фонарей CARGEN задний дополнительный для ВАЗ 2112</v>
      </c>
      <c r="D240" s="57" t="str">
        <f>VLOOKUP($A240,'Выгр Кат'!$A:$T,D$1,0)</f>
        <v>Y</v>
      </c>
      <c r="E240" s="57" t="str">
        <f>VLOOKUP($A240,'Выгр Кат'!$A:$T,E$1,0)</f>
        <v>1</v>
      </c>
      <c r="F240" s="57">
        <f>VLOOKUP($A240,'Выгр Кат'!$A:$T,F$1,0)</f>
        <v>0</v>
      </c>
      <c r="G240" s="57" t="str">
        <f>VLOOKUP($A240,'Выгр Кат'!$A:$T,G$1,0)</f>
        <v>2112372455810</v>
      </c>
      <c r="H240" s="57" t="str">
        <f>VLOOKUP($A240,'Выгр Кат'!$A:$T,H$1,0)</f>
        <v>2112-3724558</v>
      </c>
      <c r="I240" s="59" t="s">
        <v>607</v>
      </c>
      <c r="J240" s="1" t="s">
        <v>526</v>
      </c>
      <c r="K240" s="47">
        <f>VLOOKUP(I240,Прайс!A:E,5,0)</f>
        <v>2000</v>
      </c>
      <c r="L240" s="7">
        <f>VLOOKUP(K240,Наценка!$A$1:$B$8,2,1)</f>
        <v>1.4</v>
      </c>
      <c r="M240" s="44">
        <f t="shared" si="58"/>
        <v>2800</v>
      </c>
      <c r="N240" s="62">
        <f t="shared" si="54"/>
        <v>2790</v>
      </c>
      <c r="O240" s="60">
        <f>VLOOKUP($A240,'Выгр Кат'!$A:$P,O$1,0)</f>
        <v>1800</v>
      </c>
      <c r="P240" s="60">
        <f>VLOOKUP($A240,'Выгр Кат'!$A:$P,P$1,0)</f>
        <v>2690</v>
      </c>
      <c r="Q240" s="73">
        <f t="shared" si="55"/>
        <v>-200</v>
      </c>
      <c r="R240" s="73">
        <f t="shared" si="56"/>
        <v>-100</v>
      </c>
      <c r="S240" s="97">
        <f t="shared" si="59"/>
        <v>2790</v>
      </c>
      <c r="T240" s="98">
        <f t="shared" si="60"/>
        <v>0.39500000000000002</v>
      </c>
      <c r="U240" s="98">
        <f t="shared" si="61"/>
        <v>-0.15767634854771784</v>
      </c>
      <c r="V240" s="98">
        <f t="shared" si="62"/>
        <v>0.20500000000000007</v>
      </c>
      <c r="W240" s="106">
        <f t="shared" si="65"/>
        <v>2410</v>
      </c>
      <c r="X240" s="102">
        <f>IFERROR(ROUND((VLOOKUP($A240,'Из ГУГЛа'!$B:$Z,X$1,0)+Z240)*Y240,),VLOOKUP($A240,'Из ГУГЛа'!$B:$Z,X$1,0))</f>
        <v>1290</v>
      </c>
      <c r="Y240" s="75">
        <v>1</v>
      </c>
      <c r="Z240" s="75">
        <v>0</v>
      </c>
      <c r="AA240" s="63" t="s">
        <v>1019</v>
      </c>
      <c r="AB240" s="80"/>
      <c r="AC240" s="48" t="s">
        <v>1018</v>
      </c>
      <c r="AD240" s="102">
        <f>IFERROR(ROUND((VLOOKUP($A240,'Из ГУГЛа'!$B:$Z,AD$1,0)+AF240)*AE240,),VLOOKUP($A240,'Из ГУГЛа'!$B:$Z,AD$1,0))</f>
        <v>0</v>
      </c>
      <c r="AE240" s="100">
        <v>1</v>
      </c>
      <c r="AF240" s="100"/>
      <c r="AG240" s="103">
        <v>2410</v>
      </c>
      <c r="AH240" s="103" t="s">
        <v>1900</v>
      </c>
      <c r="AI240" s="102">
        <f>IFERROR(ROUND((VLOOKUP($A240,'Из ГУГЛа'!$B:$Z,AI$1,0)+AK240)*AJ240,),VLOOKUP($A240,'Из ГУГЛа'!$B:$Z,AI$1,0))</f>
        <v>0</v>
      </c>
      <c r="AJ240" s="100">
        <v>1</v>
      </c>
      <c r="AK240" s="100"/>
      <c r="AL240" s="103"/>
      <c r="AM240" s="103"/>
      <c r="AN240" s="102">
        <f>IFERROR(ROUND((VLOOKUP($A240,'Из ГУГЛа'!$B:$Z,AN$1,0)+AP240)*AO240,),VLOOKUP($A240,'Из ГУГЛа'!$B:$Z,AN$1,0))</f>
        <v>0</v>
      </c>
      <c r="AO240" s="100">
        <v>1</v>
      </c>
      <c r="AP240" s="100"/>
      <c r="AQ240" s="103"/>
      <c r="AR240" s="103"/>
    </row>
    <row r="241" spans="1:44" ht="46.5" thickTop="1" thickBot="1" x14ac:dyDescent="0.3">
      <c r="A241" s="57">
        <v>202563</v>
      </c>
      <c r="B241" s="57">
        <f>VLOOKUP($A241,'Выгр Кат'!$A:$T,B$1,0)</f>
        <v>38246</v>
      </c>
      <c r="C241" s="58" t="str">
        <f>VLOOKUP($A241,'Выгр Кат'!$A:$T,C$1,0)</f>
        <v>Разъем подключения шкал отопителя для Лада Гранта FL Разъем подключения плафона освещения второго ряда для Лада Веста</v>
      </c>
      <c r="D241" s="57" t="str">
        <f>VLOOKUP($A241,'Выгр Кат'!$A:$T,D$1,0)</f>
        <v>Y</v>
      </c>
      <c r="E241" s="57" t="str">
        <f>VLOOKUP($A241,'Выгр Кат'!$A:$T,E$1,0)</f>
        <v>1</v>
      </c>
      <c r="F241" s="57">
        <f>VLOOKUP($A241,'Выгр Кат'!$A:$T,F$1,0)</f>
        <v>0</v>
      </c>
      <c r="G241" s="57">
        <f>VLOOKUP($A241,'Выгр Кат'!$A:$T,G$1,0)</f>
        <v>0</v>
      </c>
      <c r="H241" s="57">
        <f>VLOOKUP($A241,'Выгр Кат'!$A:$T,H$1,0)</f>
        <v>0</v>
      </c>
      <c r="I241" s="59"/>
      <c r="J241" s="1" t="s">
        <v>526</v>
      </c>
      <c r="K241" s="46">
        <f t="shared" ref="K241:K242" si="67">O241</f>
        <v>300</v>
      </c>
      <c r="L241" s="7">
        <f>VLOOKUP(K241,Наценка!$A$1:$B$8,2,1)</f>
        <v>1.75</v>
      </c>
      <c r="M241" s="44">
        <f t="shared" si="58"/>
        <v>525</v>
      </c>
      <c r="N241" s="62">
        <f t="shared" ref="N241:N242" si="68">IF(M241&lt;=1000,(ROUNDUP(M241,-1)-1),(ROUNDUP(M241,-2)-10))</f>
        <v>529</v>
      </c>
      <c r="O241" s="60">
        <f>VLOOKUP($A241,'Выгр Кат'!$A:$P,O$1,0)</f>
        <v>300</v>
      </c>
      <c r="P241" s="60">
        <f>VLOOKUP($A241,'Выгр Кат'!$A:$P,P$1,0)</f>
        <v>529</v>
      </c>
      <c r="Q241" s="73">
        <f t="shared" si="55"/>
        <v>0</v>
      </c>
      <c r="R241" s="73">
        <f t="shared" si="56"/>
        <v>0</v>
      </c>
      <c r="S241" s="97">
        <f t="shared" si="59"/>
        <v>529</v>
      </c>
      <c r="T241" s="98">
        <f t="shared" si="60"/>
        <v>0.76333333333333342</v>
      </c>
      <c r="U241" s="98" t="str">
        <f t="shared" si="61"/>
        <v/>
      </c>
      <c r="V241" s="98" t="str">
        <f t="shared" si="62"/>
        <v/>
      </c>
      <c r="W241" s="99"/>
      <c r="X241" s="102" t="str">
        <f>IFERROR(ROUND((VLOOKUP($A241,'Из ГУГЛа'!$B:$Z,X$1,0)+Z241)*Y241,),VLOOKUP($A241,'Из ГУГЛа'!$B:$Z,X$1,0))</f>
        <v/>
      </c>
      <c r="Y241" s="75">
        <v>1</v>
      </c>
      <c r="Z241" s="75">
        <v>0</v>
      </c>
      <c r="AA241" s="63" t="s">
        <v>1017</v>
      </c>
      <c r="AB241" s="80"/>
      <c r="AD241" s="102">
        <f>IFERROR(ROUND((VLOOKUP($A241,'Из ГУГЛа'!$B:$Z,AD$1,0)+AF241)*AE241,),VLOOKUP($A241,'Из ГУГЛа'!$B:$Z,AD$1,0))</f>
        <v>0</v>
      </c>
      <c r="AE241" s="100">
        <v>1</v>
      </c>
      <c r="AF241" s="100"/>
      <c r="AG241" s="103" t="s">
        <v>1017</v>
      </c>
      <c r="AH241" s="103"/>
      <c r="AI241" s="102">
        <f>IFERROR(ROUND((VLOOKUP($A241,'Из ГУГЛа'!$B:$Z,AI$1,0)+AK241)*AJ241,),VLOOKUP($A241,'Из ГУГЛа'!$B:$Z,AI$1,0))</f>
        <v>0</v>
      </c>
      <c r="AJ241" s="100">
        <v>1</v>
      </c>
      <c r="AK241" s="100"/>
      <c r="AL241" s="103"/>
      <c r="AM241" s="103"/>
      <c r="AN241" s="102">
        <f>IFERROR(ROUND((VLOOKUP($A241,'Из ГУГЛа'!$B:$Z,AN$1,0)+AP241)*AO241,),VLOOKUP($A241,'Из ГУГЛа'!$B:$Z,AN$1,0))</f>
        <v>0</v>
      </c>
      <c r="AO241" s="100">
        <v>1</v>
      </c>
      <c r="AP241" s="100"/>
      <c r="AQ241" s="103"/>
      <c r="AR241" s="103"/>
    </row>
    <row r="242" spans="1:44" ht="31.5" thickTop="1" thickBot="1" x14ac:dyDescent="0.3">
      <c r="A242" s="57">
        <v>251662</v>
      </c>
      <c r="B242" s="57">
        <f>VLOOKUP($A242,'Выгр Кат'!$A:$T,B$1,0)</f>
        <v>184894</v>
      </c>
      <c r="C242" s="58" t="str">
        <f>VLOOKUP($A242,'Выгр Кат'!$A:$T,C$1,0)</f>
        <v>Разъем камеры заднего вида тюльпан для Лада XRAY</v>
      </c>
      <c r="D242" s="57" t="str">
        <f>VLOOKUP($A242,'Выгр Кат'!$A:$T,D$1,0)</f>
        <v>Y</v>
      </c>
      <c r="E242" s="57" t="str">
        <f>VLOOKUP($A242,'Выгр Кат'!$A:$T,E$1,0)</f>
        <v>1</v>
      </c>
      <c r="F242" s="57">
        <f>VLOOKUP($A242,'Выгр Кат'!$A:$T,F$1,0)</f>
        <v>0</v>
      </c>
      <c r="G242" s="57" t="str">
        <f>VLOOKUP($A242,'Выгр Кат'!$A:$T,G$1,0)</f>
        <v>RZM-284426613R</v>
      </c>
      <c r="H242" s="57">
        <f>VLOOKUP($A242,'Выгр Кат'!$A:$T,H$1,0)</f>
        <v>0</v>
      </c>
      <c r="I242" s="59"/>
      <c r="J242" s="1" t="s">
        <v>526</v>
      </c>
      <c r="K242" s="46">
        <f t="shared" si="67"/>
        <v>0</v>
      </c>
      <c r="L242" s="7" t="e">
        <f>VLOOKUP(K242,Наценка!$A$1:$B$8,2,1)</f>
        <v>#N/A</v>
      </c>
      <c r="M242" s="44" t="e">
        <f t="shared" si="58"/>
        <v>#N/A</v>
      </c>
      <c r="N242" s="62" t="e">
        <f t="shared" si="68"/>
        <v>#N/A</v>
      </c>
      <c r="O242" s="60">
        <f>VLOOKUP($A242,'Выгр Кат'!$A:$P,O$1,0)</f>
        <v>0</v>
      </c>
      <c r="P242" s="60">
        <f>VLOOKUP($A242,'Выгр Кат'!$A:$P,P$1,0)</f>
        <v>839</v>
      </c>
      <c r="Q242" s="73">
        <f t="shared" si="55"/>
        <v>0</v>
      </c>
      <c r="R242" s="73" t="e">
        <f t="shared" si="56"/>
        <v>#N/A</v>
      </c>
      <c r="S242" s="97" t="str">
        <f t="shared" si="59"/>
        <v/>
      </c>
      <c r="T242" s="98" t="str">
        <f t="shared" si="60"/>
        <v/>
      </c>
      <c r="U242" s="98" t="str">
        <f t="shared" si="61"/>
        <v/>
      </c>
      <c r="V242" s="98" t="str">
        <f t="shared" si="62"/>
        <v/>
      </c>
      <c r="W242" s="99"/>
      <c r="X242" s="102" t="str">
        <f>IFERROR(ROUND((VLOOKUP($A242,'Из ГУГЛа'!$B:$Z,X$1,0)+Z242)*Y242,),VLOOKUP($A242,'Из ГУГЛа'!$B:$Z,X$1,0))</f>
        <v/>
      </c>
      <c r="Y242" s="75">
        <v>1</v>
      </c>
      <c r="Z242" s="75">
        <v>0</v>
      </c>
      <c r="AA242" s="63" t="s">
        <v>1017</v>
      </c>
      <c r="AB242" s="80"/>
      <c r="AD242" s="102">
        <f>IFERROR(ROUND((VLOOKUP($A242,'Из ГУГЛа'!$B:$Z,AD$1,0)+AF242)*AE242,),VLOOKUP($A242,'Из ГУГЛа'!$B:$Z,AD$1,0))</f>
        <v>0</v>
      </c>
      <c r="AE242" s="100">
        <v>1</v>
      </c>
      <c r="AF242" s="100"/>
      <c r="AG242" s="103" t="s">
        <v>1017</v>
      </c>
      <c r="AH242" s="103"/>
      <c r="AI242" s="102">
        <f>IFERROR(ROUND((VLOOKUP($A242,'Из ГУГЛа'!$B:$Z,AI$1,0)+AK242)*AJ242,),VLOOKUP($A242,'Из ГУГЛа'!$B:$Z,AI$1,0))</f>
        <v>0</v>
      </c>
      <c r="AJ242" s="100">
        <v>1</v>
      </c>
      <c r="AK242" s="100"/>
      <c r="AL242" s="103"/>
      <c r="AM242" s="103"/>
      <c r="AN242" s="102">
        <f>IFERROR(ROUND((VLOOKUP($A242,'Из ГУГЛа'!$B:$Z,AN$1,0)+AP242)*AO242,),VLOOKUP($A242,'Из ГУГЛа'!$B:$Z,AN$1,0))</f>
        <v>0</v>
      </c>
      <c r="AO242" s="100">
        <v>1</v>
      </c>
      <c r="AP242" s="100"/>
      <c r="AQ242" s="103"/>
      <c r="AR242" s="103"/>
    </row>
    <row r="243" spans="1:44" ht="31.5" thickTop="1" thickBot="1" x14ac:dyDescent="0.3">
      <c r="A243" s="57">
        <v>258045</v>
      </c>
      <c r="B243" s="57">
        <f>VLOOKUP($A243,'Выгр Кат'!$A:$T,B$1,0)</f>
        <v>211254</v>
      </c>
      <c r="C243" s="58" t="str">
        <f>VLOOKUP($A243,'Выгр Кат'!$A:$T,C$1,0)</f>
        <v>Жгут проводов салона и задних фонарей для ВАЗ 21099</v>
      </c>
      <c r="D243" s="57" t="str">
        <f>VLOOKUP($A243,'Выгр Кат'!$A:$T,D$1,0)</f>
        <v>Y</v>
      </c>
      <c r="E243" s="57" t="str">
        <f>VLOOKUP($A243,'Выгр Кат'!$A:$T,E$1,0)</f>
        <v>1</v>
      </c>
      <c r="F243" s="57">
        <f>VLOOKUP($A243,'Выгр Кат'!$A:$T,F$1,0)</f>
        <v>0</v>
      </c>
      <c r="G243" s="57" t="str">
        <f>VLOOKUP($A243,'Выгр Кат'!$A:$T,G$1,0)</f>
        <v>210993724210</v>
      </c>
      <c r="H243" s="57" t="str">
        <f>VLOOKUP($A243,'Выгр Кат'!$A:$T,H$1,0)</f>
        <v>21099-3724210</v>
      </c>
      <c r="I243" s="39" t="s">
        <v>601</v>
      </c>
      <c r="J243" s="1" t="s">
        <v>526</v>
      </c>
      <c r="K243" s="47">
        <f>VLOOKUP(I243,Прайс!A:E,5,0)</f>
        <v>3000</v>
      </c>
      <c r="L243" s="7">
        <f>VLOOKUP(K243,Наценка!$A$1:$B$8,2,1)</f>
        <v>1.4</v>
      </c>
      <c r="M243" s="44">
        <f t="shared" si="58"/>
        <v>4200</v>
      </c>
      <c r="N243" s="62">
        <f t="shared" ref="N243" si="69">IF(M243&lt;=1000,(ROUNDUP(M243,-1)-1),(ROUNDUP(M243,-2)-10))</f>
        <v>4190</v>
      </c>
      <c r="O243" s="60">
        <f>VLOOKUP($A243,'Выгр Кат'!$A:$P,O$1,0)</f>
        <v>3000</v>
      </c>
      <c r="P243" s="60">
        <f>VLOOKUP($A243,'Выгр Кат'!$A:$P,P$1,0)</f>
        <v>4190</v>
      </c>
      <c r="Q243" s="73">
        <f t="shared" si="55"/>
        <v>0</v>
      </c>
      <c r="R243" s="73">
        <f t="shared" si="56"/>
        <v>0</v>
      </c>
      <c r="S243" s="97">
        <f t="shared" si="59"/>
        <v>4190</v>
      </c>
      <c r="T243" s="98">
        <f t="shared" si="60"/>
        <v>0.39666666666666672</v>
      </c>
      <c r="U243" s="98">
        <f t="shared" si="61"/>
        <v>2.3310023310023312E-2</v>
      </c>
      <c r="V243" s="98">
        <f t="shared" si="62"/>
        <v>0.42999999999999994</v>
      </c>
      <c r="W243" s="106">
        <f>MIN(AA243,AG243,AL243,AQ243)</f>
        <v>4290</v>
      </c>
      <c r="X243" s="102">
        <f>IFERROR(ROUND((VLOOKUP($A243,'Из ГУГЛа'!$B:$Z,X$1,0)+Z243)*Y243,),VLOOKUP($A243,'Из ГУГЛа'!$B:$Z,X$1,0))</f>
        <v>4290</v>
      </c>
      <c r="Y243" s="75">
        <v>1</v>
      </c>
      <c r="Z243" s="75">
        <v>0</v>
      </c>
      <c r="AA243" s="85">
        <v>4290</v>
      </c>
      <c r="AB243" s="63" t="s">
        <v>1215</v>
      </c>
      <c r="AC243" s="48" t="s">
        <v>928</v>
      </c>
      <c r="AD243" s="102">
        <f>IFERROR(ROUND((VLOOKUP($A243,'Из ГУГЛа'!$B:$Z,AD$1,0)+AF243)*AE243,),VLOOKUP($A243,'Из ГУГЛа'!$B:$Z,AD$1,0))</f>
        <v>0</v>
      </c>
      <c r="AE243" s="100">
        <v>1</v>
      </c>
      <c r="AF243" s="100"/>
      <c r="AG243" s="103">
        <v>4342</v>
      </c>
      <c r="AH243" s="103" t="s">
        <v>1934</v>
      </c>
      <c r="AI243" s="102">
        <f>IFERROR(ROUND((VLOOKUP($A243,'Из ГУГЛа'!$B:$Z,AI$1,0)+AK243)*AJ243,),VLOOKUP($A243,'Из ГУГЛа'!$B:$Z,AI$1,0))</f>
        <v>0</v>
      </c>
      <c r="AJ243" s="100">
        <v>1</v>
      </c>
      <c r="AK243" s="100"/>
      <c r="AL243" s="103"/>
      <c r="AM243" s="103"/>
      <c r="AN243" s="102">
        <f>IFERROR(ROUND((VLOOKUP($A243,'Из ГУГЛа'!$B:$Z,AN$1,0)+AP243)*AO243,),VLOOKUP($A243,'Из ГУГЛа'!$B:$Z,AN$1,0))</f>
        <v>0</v>
      </c>
      <c r="AO243" s="100">
        <v>1</v>
      </c>
      <c r="AP243" s="100"/>
      <c r="AQ243" s="103"/>
      <c r="AR243" s="103"/>
    </row>
    <row r="244" spans="1:44" ht="31.5" thickTop="1" thickBot="1" x14ac:dyDescent="0.3">
      <c r="A244" s="57">
        <v>265183</v>
      </c>
      <c r="B244" s="57">
        <f>VLOOKUP($A244,'Выгр Кат'!$A:$T,B$1,0)</f>
        <v>214161</v>
      </c>
      <c r="C244" s="58" t="str">
        <f>VLOOKUP($A244,'Выгр Кат'!$A:$T,C$1,0)</f>
        <v>Жгут проводов датчика системы парковки для Лада Калина 2</v>
      </c>
      <c r="D244" s="57" t="str">
        <f>VLOOKUP($A244,'Выгр Кат'!$A:$T,D$1,0)</f>
        <v>Y</v>
      </c>
      <c r="E244" s="57" t="str">
        <f>VLOOKUP($A244,'Выгр Кат'!$A:$T,E$1,0)</f>
        <v>1ск6</v>
      </c>
      <c r="F244" s="57">
        <f>VLOOKUP($A244,'Выгр Кат'!$A:$T,F$1,0)</f>
        <v>0</v>
      </c>
      <c r="G244" s="57" t="str">
        <f>VLOOKUP($A244,'Выгр Кат'!$A:$T,G$1,0)</f>
        <v>21940372424800</v>
      </c>
      <c r="H244" s="57" t="str">
        <f>VLOOKUP($A244,'Выгр Кат'!$A:$T,H$1,0)</f>
        <v>2194-3724248</v>
      </c>
      <c r="I244" s="39"/>
      <c r="J244" s="1" t="s">
        <v>526</v>
      </c>
      <c r="K244" s="46">
        <f t="shared" ref="K244:K247" si="70">O244</f>
        <v>1200</v>
      </c>
      <c r="L244" s="7">
        <f>VLOOKUP(K244,Наценка!$A$1:$B$8,2,1)</f>
        <v>1.5</v>
      </c>
      <c r="M244" s="44">
        <f t="shared" si="58"/>
        <v>1800</v>
      </c>
      <c r="N244" s="62">
        <f t="shared" ref="N244:N247" si="71">IF(M244&lt;=1000,(ROUNDUP(M244,-1)-1),(ROUNDUP(M244,-2)-10))</f>
        <v>1790</v>
      </c>
      <c r="O244" s="60">
        <f>VLOOKUP($A244,'Выгр Кат'!$A:$P,O$1,0)</f>
        <v>1200</v>
      </c>
      <c r="P244" s="60">
        <f>VLOOKUP($A244,'Выгр Кат'!$A:$P,P$1,0)</f>
        <v>1790</v>
      </c>
      <c r="Q244" s="73">
        <f t="shared" ref="Q244:Q247" si="72">O244-K244</f>
        <v>0</v>
      </c>
      <c r="R244" s="73">
        <f t="shared" ref="R244:R247" si="73">P244-N244</f>
        <v>0</v>
      </c>
      <c r="S244" s="97">
        <f t="shared" si="59"/>
        <v>1790</v>
      </c>
      <c r="T244" s="98">
        <f t="shared" si="60"/>
        <v>0.4916666666666667</v>
      </c>
      <c r="U244" s="98" t="str">
        <f t="shared" si="61"/>
        <v/>
      </c>
      <c r="V244" s="98" t="str">
        <f t="shared" si="62"/>
        <v/>
      </c>
      <c r="W244" s="99"/>
      <c r="X244" s="102" t="str">
        <f>IFERROR(ROUND((VLOOKUP($A244,'Из ГУГЛа'!$B:$Z,X$1,0)+Z244)*Y244,),VLOOKUP($A244,'Из ГУГЛа'!$B:$Z,X$1,0))</f>
        <v/>
      </c>
      <c r="Y244" s="75">
        <v>1</v>
      </c>
      <c r="Z244" s="75">
        <v>0</v>
      </c>
      <c r="AA244" s="63" t="s">
        <v>1120</v>
      </c>
      <c r="AB244" s="80"/>
      <c r="AD244" s="102">
        <f>IFERROR(ROUND((VLOOKUP($A244,'Из ГУГЛа'!$B:$Z,AD$1,0)+AF244)*AE244,),VLOOKUP($A244,'Из ГУГЛа'!$B:$Z,AD$1,0))</f>
        <v>0</v>
      </c>
      <c r="AE244" s="100">
        <v>1</v>
      </c>
      <c r="AF244" s="100"/>
      <c r="AG244" s="103" t="s">
        <v>1017</v>
      </c>
      <c r="AH244" s="103"/>
      <c r="AI244" s="102">
        <f>IFERROR(ROUND((VLOOKUP($A244,'Из ГУГЛа'!$B:$Z,AI$1,0)+AK244)*AJ244,),VLOOKUP($A244,'Из ГУГЛа'!$B:$Z,AI$1,0))</f>
        <v>0</v>
      </c>
      <c r="AJ244" s="100">
        <v>1</v>
      </c>
      <c r="AK244" s="100"/>
      <c r="AL244" s="103"/>
      <c r="AM244" s="103"/>
      <c r="AN244" s="102">
        <f>IFERROR(ROUND((VLOOKUP($A244,'Из ГУГЛа'!$B:$Z,AN$1,0)+AP244)*AO244,),VLOOKUP($A244,'Из ГУГЛа'!$B:$Z,AN$1,0))</f>
        <v>0</v>
      </c>
      <c r="AO244" s="100">
        <v>1</v>
      </c>
      <c r="AP244" s="100"/>
      <c r="AQ244" s="103"/>
      <c r="AR244" s="103"/>
    </row>
    <row r="245" spans="1:44" ht="31.5" thickTop="1" thickBot="1" x14ac:dyDescent="0.3">
      <c r="A245" s="57">
        <v>265184</v>
      </c>
      <c r="B245" s="57">
        <f>VLOOKUP($A245,'Выгр Кат'!$A:$T,B$1,0)</f>
        <v>214163</v>
      </c>
      <c r="C245" s="58" t="str">
        <f>VLOOKUP($A245,'Выгр Кат'!$A:$T,C$1,0)</f>
        <v>Жгут проводов датчика системы парковки для Лада Гранта FL</v>
      </c>
      <c r="D245" s="57" t="str">
        <f>VLOOKUP($A245,'Выгр Кат'!$A:$T,D$1,0)</f>
        <v>Y</v>
      </c>
      <c r="E245" s="57" t="str">
        <f>VLOOKUP($A245,'Выгр Кат'!$A:$T,E$1,0)</f>
        <v>1</v>
      </c>
      <c r="F245" s="57">
        <f>VLOOKUP($A245,'Выгр Кат'!$A:$T,F$1,0)</f>
        <v>0</v>
      </c>
      <c r="G245" s="57" t="str">
        <f>VLOOKUP($A245,'Выгр Кат'!$A:$T,G$1,0)</f>
        <v>2197372424800</v>
      </c>
      <c r="H245" s="57" t="str">
        <f>VLOOKUP($A245,'Выгр Кат'!$A:$T,H$1,0)</f>
        <v>2197-3724248</v>
      </c>
      <c r="I245" s="39"/>
      <c r="J245" s="1" t="s">
        <v>526</v>
      </c>
      <c r="K245" s="46">
        <f t="shared" si="70"/>
        <v>1200</v>
      </c>
      <c r="L245" s="7">
        <f>VLOOKUP(K245,Наценка!$A$1:$B$8,2,1)</f>
        <v>1.5</v>
      </c>
      <c r="M245" s="44">
        <f t="shared" si="58"/>
        <v>1800</v>
      </c>
      <c r="N245" s="62">
        <f t="shared" si="71"/>
        <v>1790</v>
      </c>
      <c r="O245" s="60">
        <f>VLOOKUP($A245,'Выгр Кат'!$A:$P,O$1,0)</f>
        <v>1200</v>
      </c>
      <c r="P245" s="60">
        <f>VLOOKUP($A245,'Выгр Кат'!$A:$P,P$1,0)</f>
        <v>1790</v>
      </c>
      <c r="Q245" s="73">
        <f t="shared" si="72"/>
        <v>0</v>
      </c>
      <c r="R245" s="73">
        <f t="shared" si="73"/>
        <v>0</v>
      </c>
      <c r="S245" s="97">
        <f t="shared" si="59"/>
        <v>1790</v>
      </c>
      <c r="T245" s="98">
        <f t="shared" si="60"/>
        <v>0.4916666666666667</v>
      </c>
      <c r="U245" s="98" t="str">
        <f t="shared" si="61"/>
        <v/>
      </c>
      <c r="V245" s="98" t="str">
        <f t="shared" si="62"/>
        <v/>
      </c>
      <c r="W245" s="99"/>
      <c r="X245" s="102" t="str">
        <f>IFERROR(ROUND((VLOOKUP($A245,'Из ГУГЛа'!$B:$Z,X$1,0)+Z245)*Y245,),VLOOKUP($A245,'Из ГУГЛа'!$B:$Z,X$1,0))</f>
        <v/>
      </c>
      <c r="Y245" s="75">
        <v>1</v>
      </c>
      <c r="Z245" s="75">
        <v>0</v>
      </c>
      <c r="AA245" s="63" t="s">
        <v>1120</v>
      </c>
      <c r="AB245" s="80"/>
      <c r="AD245" s="102">
        <f>IFERROR(ROUND((VLOOKUP($A245,'Из ГУГЛа'!$B:$Z,AD$1,0)+AF245)*AE245,),VLOOKUP($A245,'Из ГУГЛа'!$B:$Z,AD$1,0))</f>
        <v>0</v>
      </c>
      <c r="AE245" s="100">
        <v>1</v>
      </c>
      <c r="AF245" s="100"/>
      <c r="AG245" s="103" t="s">
        <v>1017</v>
      </c>
      <c r="AH245" s="103"/>
      <c r="AI245" s="102">
        <f>IFERROR(ROUND((VLOOKUP($A245,'Из ГУГЛа'!$B:$Z,AI$1,0)+AK245)*AJ245,),VLOOKUP($A245,'Из ГУГЛа'!$B:$Z,AI$1,0))</f>
        <v>0</v>
      </c>
      <c r="AJ245" s="100">
        <v>1</v>
      </c>
      <c r="AK245" s="100"/>
      <c r="AL245" s="103"/>
      <c r="AM245" s="103"/>
      <c r="AN245" s="102">
        <f>IFERROR(ROUND((VLOOKUP($A245,'Из ГУГЛа'!$B:$Z,AN$1,0)+AP245)*AO245,),VLOOKUP($A245,'Из ГУГЛа'!$B:$Z,AN$1,0))</f>
        <v>0</v>
      </c>
      <c r="AO245" s="100">
        <v>1</v>
      </c>
      <c r="AP245" s="100"/>
      <c r="AQ245" s="103"/>
      <c r="AR245" s="103"/>
    </row>
    <row r="246" spans="1:44" ht="31.5" thickTop="1" thickBot="1" x14ac:dyDescent="0.3">
      <c r="A246" s="57">
        <v>415290</v>
      </c>
      <c r="B246" s="57">
        <f>VLOOKUP($A246,'Выгр Кат'!$A:$T,B$1,0)</f>
        <v>415290</v>
      </c>
      <c r="C246" s="58" t="str">
        <f>VLOOKUP($A246,'Выгр Кат'!$A:$T,C$1,0)</f>
        <v>Кабель подключения камеры заднего вида для Лада Веста</v>
      </c>
      <c r="D246" s="57" t="str">
        <f>VLOOKUP($A246,'Выгр Кат'!$A:$T,D$1,0)</f>
        <v>Y</v>
      </c>
      <c r="E246" s="57" t="str">
        <f>VLOOKUP($A246,'Выгр Кат'!$A:$T,E$1,0)</f>
        <v>1</v>
      </c>
      <c r="F246" s="57">
        <f>VLOOKUP($A246,'Выгр Кат'!$A:$T,F$1,0)</f>
        <v>0</v>
      </c>
      <c r="G246" s="57">
        <f>VLOOKUP($A246,'Выгр Кат'!$A:$T,G$1,0)</f>
        <v>0</v>
      </c>
      <c r="H246" s="57">
        <f>VLOOKUP($A246,'Выгр Кат'!$A:$T,H$1,0)</f>
        <v>0</v>
      </c>
      <c r="I246" s="39"/>
      <c r="J246" s="1" t="s">
        <v>526</v>
      </c>
      <c r="K246" s="46">
        <f t="shared" si="70"/>
        <v>1500</v>
      </c>
      <c r="L246" s="7">
        <f>VLOOKUP(K246,Наценка!$A$1:$B$8,2,1)</f>
        <v>1.5</v>
      </c>
      <c r="M246" s="44">
        <f t="shared" si="58"/>
        <v>2250</v>
      </c>
      <c r="N246" s="62">
        <f t="shared" ref="N246" si="74">IF(M246&lt;=1000,(ROUNDUP(M246,-1)-1),(ROUNDUP(M246,-2)-10))</f>
        <v>2290</v>
      </c>
      <c r="O246" s="60">
        <f>VLOOKUP($A246,'Выгр Кат'!$A:$P,O$1,0)</f>
        <v>1500</v>
      </c>
      <c r="P246" s="60">
        <f>VLOOKUP($A246,'Выгр Кат'!$A:$P,P$1,0)</f>
        <v>2290</v>
      </c>
      <c r="Q246" s="73">
        <f t="shared" ref="Q246" si="75">O246-K246</f>
        <v>0</v>
      </c>
      <c r="R246" s="73">
        <f t="shared" ref="R246" si="76">P246-N246</f>
        <v>0</v>
      </c>
      <c r="S246" s="97">
        <f t="shared" si="59"/>
        <v>2290</v>
      </c>
      <c r="T246" s="98">
        <f t="shared" si="60"/>
        <v>0.52666666666666662</v>
      </c>
      <c r="U246" s="98">
        <f t="shared" si="61"/>
        <v>-0.1524911927528938</v>
      </c>
      <c r="V246" s="98">
        <f t="shared" si="62"/>
        <v>0.32466666666666666</v>
      </c>
      <c r="W246" s="106">
        <f>MIN(AA246,AG246,AL246,AQ246)</f>
        <v>1987</v>
      </c>
      <c r="X246" s="102" t="str">
        <f>IFERROR(ROUND((VLOOKUP($A246,'Из ГУГЛа'!$B:$Z,X$1,0)+Z246)*Y246,),VLOOKUP($A246,'Из ГУГЛа'!$B:$Z,X$1,0))</f>
        <v/>
      </c>
      <c r="Y246" s="75">
        <v>1</v>
      </c>
      <c r="Z246" s="75">
        <v>0</v>
      </c>
      <c r="AA246" s="63" t="s">
        <v>1120</v>
      </c>
      <c r="AB246" s="80"/>
      <c r="AD246" s="102">
        <f>IFERROR(ROUND((VLOOKUP($A246,'Из ГУГЛа'!$B:$Z,AD$1,0)+AF246)*AE246,),VLOOKUP($A246,'Из ГУГЛа'!$B:$Z,AD$1,0))</f>
        <v>0</v>
      </c>
      <c r="AE246" s="100">
        <v>1</v>
      </c>
      <c r="AF246" s="100"/>
      <c r="AG246" s="103">
        <v>1987</v>
      </c>
      <c r="AH246" s="103" t="s">
        <v>2080</v>
      </c>
      <c r="AI246" s="102">
        <f>IFERROR(ROUND((VLOOKUP($A246,'Из ГУГЛа'!$B:$Z,AI$1,0)+AK246)*AJ246,),VLOOKUP($A246,'Из ГУГЛа'!$B:$Z,AI$1,0))</f>
        <v>0</v>
      </c>
      <c r="AJ246" s="100">
        <v>1</v>
      </c>
      <c r="AK246" s="100"/>
      <c r="AL246" s="103"/>
      <c r="AM246" s="103"/>
      <c r="AN246" s="102">
        <f>IFERROR(ROUND((VLOOKUP($A246,'Из ГУГЛа'!$B:$Z,AN$1,0)+AP246)*AO246,),VLOOKUP($A246,'Из ГУГЛа'!$B:$Z,AN$1,0))</f>
        <v>0</v>
      </c>
      <c r="AO246" s="100">
        <v>1</v>
      </c>
      <c r="AP246" s="100"/>
      <c r="AQ246" s="103"/>
      <c r="AR246" s="103"/>
    </row>
    <row r="247" spans="1:44" ht="31.5" thickTop="1" thickBot="1" x14ac:dyDescent="0.3">
      <c r="A247" s="57">
        <v>312005</v>
      </c>
      <c r="B247" s="57">
        <f>VLOOKUP($A247,'Выгр Кат'!$A:$T,B$1,0)</f>
        <v>312005</v>
      </c>
      <c r="C247" s="58" t="str">
        <f>VLOOKUP($A247,'Выгр Кат'!$A:$T,C$1,0)</f>
        <v>Кабель антенны GPS 92 см для Лада Калина, Калина 2, Приора, Приора 2, Гранта, Веста</v>
      </c>
      <c r="D247" s="57" t="str">
        <f>VLOOKUP($A247,'Выгр Кат'!$A:$T,D$1,0)</f>
        <v>Y</v>
      </c>
      <c r="E247" s="57" t="str">
        <f>VLOOKUP($A247,'Выгр Кат'!$A:$T,E$1,0)</f>
        <v>1</v>
      </c>
      <c r="F247" s="57">
        <f>VLOOKUP($A247,'Выгр Кат'!$A:$T,F$1,0)</f>
        <v>0</v>
      </c>
      <c r="G247" s="57">
        <f>VLOOKUP($A247,'Выгр Кат'!$A:$T,G$1,0)</f>
        <v>0</v>
      </c>
      <c r="H247" s="57">
        <f>VLOOKUP($A247,'Выгр Кат'!$A:$T,H$1,0)</f>
        <v>0</v>
      </c>
      <c r="I247" s="39"/>
      <c r="J247" s="1" t="s">
        <v>526</v>
      </c>
      <c r="K247" s="46">
        <f t="shared" si="70"/>
        <v>700</v>
      </c>
      <c r="L247" s="7">
        <f>VLOOKUP(K247,Наценка!$A$1:$B$8,2,1)</f>
        <v>1.63</v>
      </c>
      <c r="M247" s="44">
        <f t="shared" si="58"/>
        <v>1141</v>
      </c>
      <c r="N247" s="62">
        <f t="shared" si="71"/>
        <v>1190</v>
      </c>
      <c r="O247" s="60">
        <f>VLOOKUP($A247,'Выгр Кат'!$A:$P,O$1,0)</f>
        <v>700</v>
      </c>
      <c r="P247" s="60">
        <f>VLOOKUP($A247,'Выгр Кат'!$A:$P,P$1,0)</f>
        <v>1690</v>
      </c>
      <c r="Q247" s="73">
        <f t="shared" si="72"/>
        <v>0</v>
      </c>
      <c r="R247" s="73">
        <f t="shared" si="73"/>
        <v>500</v>
      </c>
      <c r="S247" s="97">
        <f t="shared" si="59"/>
        <v>1190</v>
      </c>
      <c r="T247" s="98">
        <f t="shared" si="60"/>
        <v>0.7</v>
      </c>
      <c r="U247" s="98" t="str">
        <f t="shared" si="61"/>
        <v/>
      </c>
      <c r="V247" s="98" t="str">
        <f t="shared" si="62"/>
        <v/>
      </c>
      <c r="W247" s="103"/>
      <c r="X247" s="102">
        <f>IFERROR(ROUND((VLOOKUP($A247,'Из ГУГЛа'!$B:$Z,X$1,0)+Z247)*Y247,),VLOOKUP($A247,'Из ГУГЛа'!$B:$Z,X$1,0))</f>
        <v>1790</v>
      </c>
      <c r="Y247" s="75">
        <v>1</v>
      </c>
      <c r="Z247" s="75">
        <v>0</v>
      </c>
      <c r="AA247" s="63">
        <v>1790</v>
      </c>
      <c r="AB247" s="63" t="s">
        <v>1215</v>
      </c>
      <c r="AC247" s="48" t="s">
        <v>1016</v>
      </c>
      <c r="AD247" s="102">
        <f>IFERROR(ROUND((VLOOKUP($A247,'Из ГУГЛа'!$B:$Z,AD$1,0)+AF247)*AE247,),VLOOKUP($A247,'Из ГУГЛа'!$B:$Z,AD$1,0))</f>
        <v>0</v>
      </c>
      <c r="AE247" s="100">
        <v>1</v>
      </c>
      <c r="AF247" s="100"/>
      <c r="AG247" s="103" t="s">
        <v>1017</v>
      </c>
      <c r="AH247" s="103"/>
      <c r="AI247" s="102">
        <f>IFERROR(ROUND((VLOOKUP($A247,'Из ГУГЛа'!$B:$Z,AI$1,0)+AK247)*AJ247,),VLOOKUP($A247,'Из ГУГЛа'!$B:$Z,AI$1,0))</f>
        <v>0</v>
      </c>
      <c r="AJ247" s="100">
        <v>1</v>
      </c>
      <c r="AK247" s="100"/>
      <c r="AL247" s="103"/>
      <c r="AM247" s="103"/>
      <c r="AN247" s="102">
        <f>IFERROR(ROUND((VLOOKUP($A247,'Из ГУГЛа'!$B:$Z,AN$1,0)+AP247)*AO247,),VLOOKUP($A247,'Из ГУГЛа'!$B:$Z,AN$1,0))</f>
        <v>0</v>
      </c>
      <c r="AO247" s="100">
        <v>1</v>
      </c>
      <c r="AP247" s="100"/>
      <c r="AQ247" s="103"/>
      <c r="AR247" s="103"/>
    </row>
    <row r="248" spans="1:44" ht="40.5" thickTop="1" thickBot="1" x14ac:dyDescent="0.3">
      <c r="A248" s="57">
        <v>426984</v>
      </c>
      <c r="B248" s="57">
        <f>VLOOKUP($A248,'Выгр Кат'!$A:$T,B$1,0)</f>
        <v>426984</v>
      </c>
      <c r="C248" s="58" t="str">
        <f>VLOOKUP($A248,'Выгр Кат'!$A:$T,C$1,0)</f>
        <v>Жгут панели приборов 8450030715 для Лада Веста</v>
      </c>
      <c r="D248" s="57" t="str">
        <f>VLOOKUP($A248,'Выгр Кат'!$A:$T,D$1,0)</f>
        <v>Y</v>
      </c>
      <c r="E248" s="57" t="str">
        <f>VLOOKUP($A248,'Выгр Кат'!$A:$T,E$1,0)</f>
        <v>1</v>
      </c>
      <c r="F248" s="57">
        <f>VLOOKUP($A248,'Выгр Кат'!$A:$T,F$1,0)</f>
        <v>0</v>
      </c>
      <c r="G248" s="57" t="str">
        <f>VLOOKUP($A248,'Выгр Кат'!$A:$T,G$1,0)</f>
        <v>8450030715</v>
      </c>
      <c r="H248" s="57">
        <f>VLOOKUP($A248,'Выгр Кат'!$A:$T,H$1,0)</f>
        <v>0</v>
      </c>
      <c r="I248" s="39" t="s">
        <v>1224</v>
      </c>
      <c r="J248" s="1" t="s">
        <v>526</v>
      </c>
      <c r="K248" s="47">
        <f>VLOOKUP(I248,Прайс!A:E,5,0)</f>
        <v>20000</v>
      </c>
      <c r="L248" s="7">
        <f>VLOOKUP(K248,Наценка!$A$1:$B$8,2,1)</f>
        <v>1.3</v>
      </c>
      <c r="M248" s="44">
        <f t="shared" si="58"/>
        <v>26000</v>
      </c>
      <c r="N248" s="62">
        <f t="shared" ref="N248" si="77">IF(M248&lt;=1000,(ROUNDUP(M248,-1)-1),(ROUNDUP(M248,-2)-10))</f>
        <v>25990</v>
      </c>
      <c r="O248" s="60">
        <f>VLOOKUP($A248,'Выгр Кат'!$A:$P,O$1,0)</f>
        <v>20000</v>
      </c>
      <c r="P248" s="60">
        <f>VLOOKUP($A248,'Выгр Кат'!$A:$P,P$1,0)</f>
        <v>25990</v>
      </c>
      <c r="Q248" s="73">
        <f t="shared" ref="Q248" si="78">O248-K248</f>
        <v>0</v>
      </c>
      <c r="R248" s="73">
        <f t="shared" ref="R248" si="79">P248-N248</f>
        <v>0</v>
      </c>
      <c r="S248" s="97">
        <f t="shared" si="59"/>
        <v>25990</v>
      </c>
      <c r="T248" s="98">
        <f t="shared" si="60"/>
        <v>0.2995000000000001</v>
      </c>
      <c r="U248" s="98">
        <f t="shared" si="61"/>
        <v>-0.19703389830508475</v>
      </c>
      <c r="V248" s="98">
        <f t="shared" si="62"/>
        <v>8.5599999999999898E-2</v>
      </c>
      <c r="W248" s="106">
        <f t="shared" ref="W248:W251" si="80">MIN(AA248,AG248,AL248,AQ248)</f>
        <v>21712</v>
      </c>
      <c r="X248" s="102">
        <f>IFERROR(ROUND((VLOOKUP($A248,'Из ГУГЛа'!$B:$Z,X$1,0)+Z248)*Y248,),VLOOKUP($A248,'Из ГУГЛа'!$B:$Z,X$1,0))</f>
        <v>27490</v>
      </c>
      <c r="Y248" s="75">
        <v>1</v>
      </c>
      <c r="Z248" s="75">
        <v>0</v>
      </c>
      <c r="AA248" s="63">
        <v>27490</v>
      </c>
      <c r="AB248" s="63" t="s">
        <v>1215</v>
      </c>
      <c r="AC248" s="48" t="s">
        <v>1225</v>
      </c>
      <c r="AD248" s="102">
        <f>IFERROR(ROUND((VLOOKUP($A248,'Из ГУГЛа'!$B:$Z,AD$1,0)+AF248)*AE248,),VLOOKUP($A248,'Из ГУГЛа'!$B:$Z,AD$1,0))</f>
        <v>0</v>
      </c>
      <c r="AE248" s="100">
        <v>1</v>
      </c>
      <c r="AF248" s="100"/>
      <c r="AG248" s="103">
        <v>21712</v>
      </c>
      <c r="AH248" s="103" t="s">
        <v>1966</v>
      </c>
      <c r="AI248" s="102">
        <f>IFERROR(ROUND((VLOOKUP($A248,'Из ГУГЛа'!$B:$Z,AI$1,0)+AK248)*AJ248,),VLOOKUP($A248,'Из ГУГЛа'!$B:$Z,AI$1,0))</f>
        <v>0</v>
      </c>
      <c r="AJ248" s="100">
        <v>1</v>
      </c>
      <c r="AK248" s="100"/>
      <c r="AL248" s="103"/>
      <c r="AM248" s="103"/>
      <c r="AN248" s="102">
        <f>IFERROR(ROUND((VLOOKUP($A248,'Из ГУГЛа'!$B:$Z,AN$1,0)+AP248)*AO248,),VLOOKUP($A248,'Из ГУГЛа'!$B:$Z,AN$1,0))</f>
        <v>0</v>
      </c>
      <c r="AO248" s="100">
        <v>1</v>
      </c>
      <c r="AP248" s="100"/>
      <c r="AQ248" s="103"/>
      <c r="AR248" s="103"/>
    </row>
    <row r="249" spans="1:44" ht="40.5" thickTop="1" thickBot="1" x14ac:dyDescent="0.3">
      <c r="A249" s="57">
        <v>426978</v>
      </c>
      <c r="B249" s="57">
        <f>VLOOKUP($A249,'Выгр Кат'!$A:$T,B$1,0)</f>
        <v>426978</v>
      </c>
      <c r="C249" s="58" t="str">
        <f>VLOOKUP($A249,'Выгр Кат'!$A:$T,C$1,0)</f>
        <v>Жгут панели приборов 8450031379 для Лада Веста</v>
      </c>
      <c r="D249" s="57" t="str">
        <f>VLOOKUP($A249,'Выгр Кат'!$A:$T,D$1,0)</f>
        <v>Y</v>
      </c>
      <c r="E249" s="57" t="str">
        <f>VLOOKUP($A249,'Выгр Кат'!$A:$T,E$1,0)</f>
        <v>1</v>
      </c>
      <c r="F249" s="57">
        <f>VLOOKUP($A249,'Выгр Кат'!$A:$T,F$1,0)</f>
        <v>0</v>
      </c>
      <c r="G249" s="57" t="str">
        <f>VLOOKUP($A249,'Выгр Кат'!$A:$T,G$1,0)</f>
        <v>8450031379</v>
      </c>
      <c r="H249" s="57">
        <f>VLOOKUP($A249,'Выгр Кат'!$A:$T,H$1,0)</f>
        <v>0</v>
      </c>
      <c r="I249" s="39" t="s">
        <v>1228</v>
      </c>
      <c r="J249" s="1" t="s">
        <v>526</v>
      </c>
      <c r="K249" s="47">
        <f>VLOOKUP(I249,Прайс!A:E,5,0)</f>
        <v>20000</v>
      </c>
      <c r="L249" s="7">
        <f>VLOOKUP(K249,Наценка!$A$1:$B$8,2,1)</f>
        <v>1.3</v>
      </c>
      <c r="M249" s="44">
        <f t="shared" si="58"/>
        <v>26000</v>
      </c>
      <c r="N249" s="62">
        <f t="shared" ref="N249:N288" si="81">IF(M249&lt;=1000,(ROUNDUP(M249,-1)-1),(ROUNDUP(M249,-2)-10))</f>
        <v>25990</v>
      </c>
      <c r="O249" s="60">
        <f>VLOOKUP($A249,'Выгр Кат'!$A:$P,O$1,0)</f>
        <v>20000</v>
      </c>
      <c r="P249" s="60">
        <f>VLOOKUP($A249,'Выгр Кат'!$A:$P,P$1,0)</f>
        <v>25990</v>
      </c>
      <c r="Q249" s="73">
        <f t="shared" ref="Q249:Q288" si="82">O249-K249</f>
        <v>0</v>
      </c>
      <c r="R249" s="73">
        <f t="shared" ref="R249:R288" si="83">P249-N249</f>
        <v>0</v>
      </c>
      <c r="S249" s="97">
        <f t="shared" si="59"/>
        <v>25990</v>
      </c>
      <c r="T249" s="98">
        <f t="shared" si="60"/>
        <v>0.2995000000000001</v>
      </c>
      <c r="U249" s="98">
        <f t="shared" si="61"/>
        <v>-0.19703389830508475</v>
      </c>
      <c r="V249" s="98">
        <f t="shared" si="62"/>
        <v>8.5599999999999898E-2</v>
      </c>
      <c r="W249" s="106">
        <f t="shared" si="80"/>
        <v>21712</v>
      </c>
      <c r="X249" s="102">
        <f>IFERROR(ROUND((VLOOKUP($A249,'Из ГУГЛа'!$B:$Z,X$1,0)+Z249)*Y249,),VLOOKUP($A249,'Из ГУГЛа'!$B:$Z,X$1,0))</f>
        <v>27490</v>
      </c>
      <c r="Y249" s="75">
        <v>1</v>
      </c>
      <c r="Z249" s="75">
        <v>0</v>
      </c>
      <c r="AA249" s="63">
        <v>27490</v>
      </c>
      <c r="AB249" s="63" t="s">
        <v>1215</v>
      </c>
      <c r="AC249" s="48" t="s">
        <v>1229</v>
      </c>
      <c r="AD249" s="102">
        <f>IFERROR(ROUND((VLOOKUP($A249,'Из ГУГЛа'!$B:$Z,AD$1,0)+AF249)*AE249,),VLOOKUP($A249,'Из ГУГЛа'!$B:$Z,AD$1,0))</f>
        <v>0</v>
      </c>
      <c r="AE249" s="100">
        <v>1</v>
      </c>
      <c r="AF249" s="100"/>
      <c r="AG249" s="103">
        <v>21712</v>
      </c>
      <c r="AH249" s="103" t="s">
        <v>1965</v>
      </c>
      <c r="AI249" s="102">
        <f>IFERROR(ROUND((VLOOKUP($A249,'Из ГУГЛа'!$B:$Z,AI$1,0)+AK249)*AJ249,),VLOOKUP($A249,'Из ГУГЛа'!$B:$Z,AI$1,0))</f>
        <v>0</v>
      </c>
      <c r="AJ249" s="100">
        <v>1</v>
      </c>
      <c r="AK249" s="100"/>
      <c r="AL249" s="103"/>
      <c r="AM249" s="103"/>
      <c r="AN249" s="102">
        <f>IFERROR(ROUND((VLOOKUP($A249,'Из ГУГЛа'!$B:$Z,AN$1,0)+AP249)*AO249,),VLOOKUP($A249,'Из ГУГЛа'!$B:$Z,AN$1,0))</f>
        <v>0</v>
      </c>
      <c r="AO249" s="100">
        <v>1</v>
      </c>
      <c r="AP249" s="100"/>
      <c r="AQ249" s="103"/>
      <c r="AR249" s="103"/>
    </row>
    <row r="250" spans="1:44" ht="40.5" thickTop="1" thickBot="1" x14ac:dyDescent="0.3">
      <c r="A250" s="57">
        <v>426985</v>
      </c>
      <c r="B250" s="57">
        <f>VLOOKUP($A250,'Выгр Кат'!$A:$T,B$1,0)</f>
        <v>426985</v>
      </c>
      <c r="C250" s="58" t="str">
        <f>VLOOKUP($A250,'Выгр Кат'!$A:$T,C$1,0)</f>
        <v>Жгут панели приборов 8450031623 для Лада Веста</v>
      </c>
      <c r="D250" s="57" t="str">
        <f>VLOOKUP($A250,'Выгр Кат'!$A:$T,D$1,0)</f>
        <v>Y</v>
      </c>
      <c r="E250" s="57" t="str">
        <f>VLOOKUP($A250,'Выгр Кат'!$A:$T,E$1,0)</f>
        <v>1</v>
      </c>
      <c r="F250" s="57">
        <f>VLOOKUP($A250,'Выгр Кат'!$A:$T,F$1,0)</f>
        <v>0</v>
      </c>
      <c r="G250" s="57" t="str">
        <f>VLOOKUP($A250,'Выгр Кат'!$A:$T,G$1,0)</f>
        <v>8450031623</v>
      </c>
      <c r="H250" s="57">
        <f>VLOOKUP($A250,'Выгр Кат'!$A:$T,H$1,0)</f>
        <v>0</v>
      </c>
      <c r="I250" s="39" t="s">
        <v>1232</v>
      </c>
      <c r="J250" s="1" t="s">
        <v>526</v>
      </c>
      <c r="K250" s="47">
        <f>VLOOKUP(I250,Прайс!A:E,5,0)</f>
        <v>20000</v>
      </c>
      <c r="L250" s="7">
        <f>VLOOKUP(K250,Наценка!$A$1:$B$8,2,1)</f>
        <v>1.3</v>
      </c>
      <c r="M250" s="44">
        <f t="shared" si="58"/>
        <v>26000</v>
      </c>
      <c r="N250" s="62">
        <f t="shared" si="81"/>
        <v>25990</v>
      </c>
      <c r="O250" s="60">
        <f>VLOOKUP($A250,'Выгр Кат'!$A:$P,O$1,0)</f>
        <v>20000</v>
      </c>
      <c r="P250" s="60">
        <f>VLOOKUP($A250,'Выгр Кат'!$A:$P,P$1,0)</f>
        <v>25990</v>
      </c>
      <c r="Q250" s="73">
        <f t="shared" si="82"/>
        <v>0</v>
      </c>
      <c r="R250" s="73">
        <f t="shared" si="83"/>
        <v>0</v>
      </c>
      <c r="S250" s="97">
        <f t="shared" si="59"/>
        <v>25990</v>
      </c>
      <c r="T250" s="98">
        <f t="shared" si="60"/>
        <v>0.2995000000000001</v>
      </c>
      <c r="U250" s="98">
        <f t="shared" si="61"/>
        <v>-0.19703389830508475</v>
      </c>
      <c r="V250" s="98">
        <f t="shared" si="62"/>
        <v>8.5599999999999898E-2</v>
      </c>
      <c r="W250" s="106">
        <f t="shared" si="80"/>
        <v>21712</v>
      </c>
      <c r="X250" s="102">
        <f>IFERROR(ROUND((VLOOKUP($A250,'Из ГУГЛа'!$B:$Z,X$1,0)+Z250)*Y250,),VLOOKUP($A250,'Из ГУГЛа'!$B:$Z,X$1,0))</f>
        <v>27490</v>
      </c>
      <c r="Y250" s="75">
        <v>1</v>
      </c>
      <c r="Z250" s="75">
        <v>0</v>
      </c>
      <c r="AA250" s="63">
        <v>27490</v>
      </c>
      <c r="AB250" s="63" t="s">
        <v>1215</v>
      </c>
      <c r="AC250" s="48" t="s">
        <v>1233</v>
      </c>
      <c r="AD250" s="102">
        <f>IFERROR(ROUND((VLOOKUP($A250,'Из ГУГЛа'!$B:$Z,AD$1,0)+AF250)*AE250,),VLOOKUP($A250,'Из ГУГЛа'!$B:$Z,AD$1,0))</f>
        <v>0</v>
      </c>
      <c r="AE250" s="100">
        <v>1</v>
      </c>
      <c r="AF250" s="100"/>
      <c r="AG250" s="103">
        <v>21712</v>
      </c>
      <c r="AH250" s="103" t="s">
        <v>1964</v>
      </c>
      <c r="AI250" s="102">
        <f>IFERROR(ROUND((VLOOKUP($A250,'Из ГУГЛа'!$B:$Z,AI$1,0)+AK250)*AJ250,),VLOOKUP($A250,'Из ГУГЛа'!$B:$Z,AI$1,0))</f>
        <v>0</v>
      </c>
      <c r="AJ250" s="100">
        <v>1</v>
      </c>
      <c r="AK250" s="100"/>
      <c r="AL250" s="103"/>
      <c r="AM250" s="103"/>
      <c r="AN250" s="102">
        <f>IFERROR(ROUND((VLOOKUP($A250,'Из ГУГЛа'!$B:$Z,AN$1,0)+AP250)*AO250,),VLOOKUP($A250,'Из ГУГЛа'!$B:$Z,AN$1,0))</f>
        <v>0</v>
      </c>
      <c r="AO250" s="100">
        <v>1</v>
      </c>
      <c r="AP250" s="100"/>
      <c r="AQ250" s="103"/>
      <c r="AR250" s="103"/>
    </row>
    <row r="251" spans="1:44" ht="27.75" thickTop="1" thickBot="1" x14ac:dyDescent="0.3">
      <c r="A251" s="57">
        <v>426974</v>
      </c>
      <c r="B251" s="57">
        <f>VLOOKUP($A251,'Выгр Кат'!$A:$T,B$1,0)</f>
        <v>426974</v>
      </c>
      <c r="C251" s="58" t="str">
        <f>VLOOKUP($A251,'Выгр Кат'!$A:$T,C$1,0)</f>
        <v>Жгут панели приборов для Лада Ларгус</v>
      </c>
      <c r="D251" s="57" t="str">
        <f>VLOOKUP($A251,'Выгр Кат'!$A:$T,D$1,0)</f>
        <v>Y</v>
      </c>
      <c r="E251" s="57" t="str">
        <f>VLOOKUP($A251,'Выгр Кат'!$A:$T,E$1,0)</f>
        <v>1</v>
      </c>
      <c r="F251" s="57">
        <f>VLOOKUP($A251,'Выгр Кат'!$A:$T,F$1,0)</f>
        <v>0</v>
      </c>
      <c r="G251" s="57">
        <f>VLOOKUP($A251,'Выгр Кат'!$A:$T,G$1,0)</f>
        <v>0</v>
      </c>
      <c r="H251" s="57">
        <f>VLOOKUP($A251,'Выгр Кат'!$A:$T,H$1,0)</f>
        <v>0</v>
      </c>
      <c r="I251" s="39" t="s">
        <v>1245</v>
      </c>
      <c r="J251" s="1" t="s">
        <v>526</v>
      </c>
      <c r="K251" s="47">
        <f>VLOOKUP(I251,Прайс!A:E,5,0)</f>
        <v>25000</v>
      </c>
      <c r="L251" s="7">
        <f>VLOOKUP(K251,Наценка!$A$1:$B$8,2,1)</f>
        <v>1.3</v>
      </c>
      <c r="M251" s="44">
        <f t="shared" si="58"/>
        <v>32500</v>
      </c>
      <c r="N251" s="62">
        <f t="shared" si="81"/>
        <v>32490</v>
      </c>
      <c r="O251" s="60">
        <f>VLOOKUP($A251,'Выгр Кат'!$A:$P,O$1,0)</f>
        <v>25000</v>
      </c>
      <c r="P251" s="60">
        <f>VLOOKUP($A251,'Выгр Кат'!$A:$P,P$1,0)</f>
        <v>32490</v>
      </c>
      <c r="Q251" s="73">
        <f t="shared" si="82"/>
        <v>0</v>
      </c>
      <c r="R251" s="73">
        <f t="shared" si="83"/>
        <v>0</v>
      </c>
      <c r="S251" s="97">
        <f t="shared" si="59"/>
        <v>32490</v>
      </c>
      <c r="T251" s="98">
        <f t="shared" si="60"/>
        <v>0.29960000000000009</v>
      </c>
      <c r="U251" s="98">
        <f t="shared" si="61"/>
        <v>-0.12231856022660541</v>
      </c>
      <c r="V251" s="98">
        <f t="shared" si="62"/>
        <v>0.1579600000000001</v>
      </c>
      <c r="W251" s="106">
        <f t="shared" si="80"/>
        <v>28949</v>
      </c>
      <c r="X251" s="102">
        <f>IFERROR(ROUND((VLOOKUP($A251,'Из ГУГЛа'!$B:$Z,X$1,0)+Z251)*Y251,),VLOOKUP($A251,'Из ГУГЛа'!$B:$Z,X$1,0))</f>
        <v>34390</v>
      </c>
      <c r="Y251" s="75">
        <v>1</v>
      </c>
      <c r="Z251" s="75">
        <v>0</v>
      </c>
      <c r="AA251" s="63">
        <v>34390</v>
      </c>
      <c r="AB251" s="63" t="s">
        <v>1215</v>
      </c>
      <c r="AC251" s="48" t="s">
        <v>1246</v>
      </c>
      <c r="AD251" s="102">
        <f>IFERROR(ROUND((VLOOKUP($A251,'Из ГУГЛа'!$B:$Z,AD$1,0)+AF251)*AE251,),VLOOKUP($A251,'Из ГУГЛа'!$B:$Z,AD$1,0))</f>
        <v>0</v>
      </c>
      <c r="AE251" s="100">
        <v>1</v>
      </c>
      <c r="AF251" s="100"/>
      <c r="AG251" s="103">
        <v>28949</v>
      </c>
      <c r="AH251" s="103" t="s">
        <v>1963</v>
      </c>
      <c r="AI251" s="102">
        <f>IFERROR(ROUND((VLOOKUP($A251,'Из ГУГЛа'!$B:$Z,AI$1,0)+AK251)*AJ251,),VLOOKUP($A251,'Из ГУГЛа'!$B:$Z,AI$1,0))</f>
        <v>0</v>
      </c>
      <c r="AJ251" s="100">
        <v>1</v>
      </c>
      <c r="AK251" s="100"/>
      <c r="AL251" s="103"/>
      <c r="AM251" s="103"/>
      <c r="AN251" s="102">
        <f>IFERROR(ROUND((VLOOKUP($A251,'Из ГУГЛа'!$B:$Z,AN$1,0)+AP251)*AO251,),VLOOKUP($A251,'Из ГУГЛа'!$B:$Z,AN$1,0))</f>
        <v>0</v>
      </c>
      <c r="AO251" s="100">
        <v>1</v>
      </c>
      <c r="AP251" s="100"/>
      <c r="AQ251" s="103"/>
      <c r="AR251" s="103"/>
    </row>
    <row r="252" spans="1:44" ht="27.75" thickTop="1" thickBot="1" x14ac:dyDescent="0.3">
      <c r="A252" s="57">
        <v>426967</v>
      </c>
      <c r="B252" s="57">
        <f>VLOOKUP($A252,'Выгр Кат'!$A:$T,B$1,0)</f>
        <v>426967</v>
      </c>
      <c r="C252" s="58" t="str">
        <f>VLOOKUP($A252,'Выгр Кат'!$A:$T,C$1,0)</f>
        <v>Жгут проводов АБС для Лада Ларгус</v>
      </c>
      <c r="D252" s="57" t="str">
        <f>VLOOKUP($A252,'Выгр Кат'!$A:$T,D$1,0)</f>
        <v>N</v>
      </c>
      <c r="E252" s="57" t="str">
        <f>VLOOKUP($A252,'Выгр Кат'!$A:$T,E$1,0)</f>
        <v>1</v>
      </c>
      <c r="F252" s="57">
        <f>VLOOKUP($A252,'Выгр Кат'!$A:$T,F$1,0)</f>
        <v>0</v>
      </c>
      <c r="G252" s="57">
        <f>VLOOKUP($A252,'Выгр Кат'!$A:$T,G$1,0)</f>
        <v>0</v>
      </c>
      <c r="H252" s="57">
        <f>VLOOKUP($A252,'Выгр Кат'!$A:$T,H$1,0)</f>
        <v>0</v>
      </c>
      <c r="I252" s="39" t="s">
        <v>1249</v>
      </c>
      <c r="J252" s="1" t="s">
        <v>526</v>
      </c>
      <c r="K252" s="47">
        <f>VLOOKUP(I252,Прайс!A:E,5,0)</f>
        <v>1500</v>
      </c>
      <c r="L252" s="7">
        <f>VLOOKUP(K252,Наценка!$A$1:$B$8,2,1)</f>
        <v>1.5</v>
      </c>
      <c r="M252" s="44">
        <f t="shared" si="58"/>
        <v>2250</v>
      </c>
      <c r="N252" s="62">
        <f t="shared" si="81"/>
        <v>2290</v>
      </c>
      <c r="O252" s="60">
        <f>VLOOKUP($A252,'Выгр Кат'!$A:$P,O$1,0)</f>
        <v>1200</v>
      </c>
      <c r="P252" s="60">
        <f>VLOOKUP($A252,'Выгр Кат'!$A:$P,P$1,0)</f>
        <v>1690</v>
      </c>
      <c r="Q252" s="73">
        <f t="shared" si="82"/>
        <v>-300</v>
      </c>
      <c r="R252" s="73">
        <f t="shared" si="83"/>
        <v>-600</v>
      </c>
      <c r="S252" s="97">
        <f t="shared" si="59"/>
        <v>2290</v>
      </c>
      <c r="T252" s="98">
        <f t="shared" si="60"/>
        <v>0.52666666666666662</v>
      </c>
      <c r="U252" s="98" t="str">
        <f t="shared" si="61"/>
        <v/>
      </c>
      <c r="V252" s="98" t="str">
        <f t="shared" si="62"/>
        <v/>
      </c>
      <c r="W252" s="103"/>
      <c r="X252" s="102">
        <f>IFERROR(ROUND((VLOOKUP($A252,'Из ГУГЛа'!$B:$Z,X$1,0)+Z252)*Y252,),VLOOKUP($A252,'Из ГУГЛа'!$B:$Z,X$1,0))</f>
        <v>1790</v>
      </c>
      <c r="Y252" s="75">
        <v>1</v>
      </c>
      <c r="Z252" s="75">
        <v>0</v>
      </c>
      <c r="AA252" s="63">
        <v>1790</v>
      </c>
      <c r="AB252" s="63" t="s">
        <v>1215</v>
      </c>
      <c r="AC252" s="48" t="s">
        <v>1468</v>
      </c>
      <c r="AD252" s="102">
        <f>IFERROR(ROUND((VLOOKUP($A252,'Из ГУГЛа'!$B:$Z,AD$1,0)+AF252)*AE252,),VLOOKUP($A252,'Из ГУГЛа'!$B:$Z,AD$1,0))</f>
        <v>0</v>
      </c>
      <c r="AE252" s="100">
        <v>1</v>
      </c>
      <c r="AF252" s="100"/>
      <c r="AG252" s="103" t="s">
        <v>1017</v>
      </c>
      <c r="AH252" s="103"/>
      <c r="AI252" s="102">
        <f>IFERROR(ROUND((VLOOKUP($A252,'Из ГУГЛа'!$B:$Z,AI$1,0)+AK252)*AJ252,),VLOOKUP($A252,'Из ГУГЛа'!$B:$Z,AI$1,0))</f>
        <v>0</v>
      </c>
      <c r="AJ252" s="100">
        <v>1</v>
      </c>
      <c r="AK252" s="100"/>
      <c r="AL252" s="103"/>
      <c r="AM252" s="103"/>
      <c r="AN252" s="102">
        <f>IFERROR(ROUND((VLOOKUP($A252,'Из ГУГЛа'!$B:$Z,AN$1,0)+AP252)*AO252,),VLOOKUP($A252,'Из ГУГЛа'!$B:$Z,AN$1,0))</f>
        <v>0</v>
      </c>
      <c r="AO252" s="100">
        <v>1</v>
      </c>
      <c r="AP252" s="100"/>
      <c r="AQ252" s="103"/>
      <c r="AR252" s="103"/>
    </row>
    <row r="253" spans="1:44" ht="40.5" thickTop="1" thickBot="1" x14ac:dyDescent="0.3">
      <c r="A253" s="57">
        <v>426432</v>
      </c>
      <c r="B253" s="57">
        <f>VLOOKUP($A253,'Выгр Кат'!$A:$T,B$1,0)</f>
        <v>426432</v>
      </c>
      <c r="C253" s="58" t="str">
        <f>VLOOKUP($A253,'Выгр Кат'!$A:$T,C$1,0)</f>
        <v>Жгут проводов генератора на ленте для ВАЗ 2108-21099</v>
      </c>
      <c r="D253" s="57" t="str">
        <f>VLOOKUP($A253,'Выгр Кат'!$A:$T,D$1,0)</f>
        <v>Y</v>
      </c>
      <c r="E253" s="57" t="str">
        <f>VLOOKUP($A253,'Выгр Кат'!$A:$T,E$1,0)</f>
        <v>1</v>
      </c>
      <c r="F253" s="57">
        <f>VLOOKUP($A253,'Выгр Кат'!$A:$T,F$1,0)</f>
        <v>0</v>
      </c>
      <c r="G253" s="57" t="str">
        <f>VLOOKUP($A253,'Выгр Кат'!$A:$T,G$1,0)</f>
        <v>21083372401710</v>
      </c>
      <c r="H253" s="57" t="str">
        <f>VLOOKUP($A253,'Выгр Кат'!$A:$T,H$1,0)</f>
        <v>21083-3724017</v>
      </c>
      <c r="I253" s="39" t="s">
        <v>1856</v>
      </c>
      <c r="J253" s="1" t="s">
        <v>526</v>
      </c>
      <c r="K253" s="47">
        <f>VLOOKUP(I253,Прайс!A:E,5,0)</f>
        <v>1800</v>
      </c>
      <c r="L253" s="7">
        <f>VLOOKUP(K253,Наценка!$A$1:$B$8,2,1)</f>
        <v>1.5</v>
      </c>
      <c r="M253" s="44">
        <f t="shared" si="58"/>
        <v>2700</v>
      </c>
      <c r="N253" s="62">
        <f t="shared" si="81"/>
        <v>2690</v>
      </c>
      <c r="O253" s="60">
        <f>VLOOKUP($A253,'Выгр Кат'!$A:$P,O$1,0)</f>
        <v>1800</v>
      </c>
      <c r="P253" s="60">
        <f>VLOOKUP($A253,'Выгр Кат'!$A:$P,P$1,0)</f>
        <v>2390</v>
      </c>
      <c r="Q253" s="73">
        <f t="shared" si="82"/>
        <v>0</v>
      </c>
      <c r="R253" s="73">
        <f t="shared" si="83"/>
        <v>-300</v>
      </c>
      <c r="S253" s="97">
        <f t="shared" si="59"/>
        <v>2690</v>
      </c>
      <c r="T253" s="98">
        <f t="shared" si="60"/>
        <v>0.49444444444444446</v>
      </c>
      <c r="U253" s="98">
        <f t="shared" si="61"/>
        <v>-9.30516050386022E-2</v>
      </c>
      <c r="V253" s="98">
        <f t="shared" si="62"/>
        <v>0.36722222222222212</v>
      </c>
      <c r="W253" s="106">
        <f t="shared" ref="W253:W288" si="84">MIN(AA253,AG253,AL253,AQ253)</f>
        <v>2461</v>
      </c>
      <c r="X253" s="102">
        <f>IFERROR(ROUND((VLOOKUP($A253,'Из ГУГЛа'!$B:$Z,X$1,0)+Z253)*Y253,),VLOOKUP($A253,'Из ГУГЛа'!$B:$Z,X$1,0))</f>
        <v>2490</v>
      </c>
      <c r="Y253" s="75">
        <v>1</v>
      </c>
      <c r="Z253" s="75">
        <v>0</v>
      </c>
      <c r="AA253" s="63">
        <v>2490</v>
      </c>
      <c r="AB253" s="63" t="s">
        <v>1215</v>
      </c>
      <c r="AC253" s="48" t="s">
        <v>1469</v>
      </c>
      <c r="AD253" s="102">
        <f>IFERROR(ROUND((VLOOKUP($A253,'Из ГУГЛа'!$B:$Z,AD$1,0)+AF253)*AE253,),VLOOKUP($A253,'Из ГУГЛа'!$B:$Z,AD$1,0))</f>
        <v>0</v>
      </c>
      <c r="AE253" s="100">
        <v>1</v>
      </c>
      <c r="AF253" s="100"/>
      <c r="AG253" s="103">
        <v>2461</v>
      </c>
      <c r="AH253" s="103" t="s">
        <v>1962</v>
      </c>
      <c r="AI253" s="102">
        <f>IFERROR(ROUND((VLOOKUP($A253,'Из ГУГЛа'!$B:$Z,AI$1,0)+AK253)*AJ253,),VLOOKUP($A253,'Из ГУГЛа'!$B:$Z,AI$1,0))</f>
        <v>0</v>
      </c>
      <c r="AJ253" s="100">
        <v>1</v>
      </c>
      <c r="AK253" s="100"/>
      <c r="AL253" s="103"/>
      <c r="AM253" s="103"/>
      <c r="AN253" s="102">
        <f>IFERROR(ROUND((VLOOKUP($A253,'Из ГУГЛа'!$B:$Z,AN$1,0)+AP253)*AO253,),VLOOKUP($A253,'Из ГУГЛа'!$B:$Z,AN$1,0))</f>
        <v>0</v>
      </c>
      <c r="AO253" s="100">
        <v>1</v>
      </c>
      <c r="AP253" s="100"/>
      <c r="AQ253" s="103"/>
      <c r="AR253" s="103"/>
    </row>
    <row r="254" spans="1:44" ht="40.5" thickTop="1" thickBot="1" x14ac:dyDescent="0.3">
      <c r="A254" s="57">
        <v>426933</v>
      </c>
      <c r="B254" s="57">
        <f>VLOOKUP($A254,'Выгр Кат'!$A:$T,B$1,0)</f>
        <v>426933</v>
      </c>
      <c r="C254" s="58" t="str">
        <f>VLOOKUP($A254,'Выгр Кат'!$A:$T,C$1,0)</f>
        <v>Жгут проводов задней двери для Лада Приора, Приора 2</v>
      </c>
      <c r="D254" s="57" t="str">
        <f>VLOOKUP($A254,'Выгр Кат'!$A:$T,D$1,0)</f>
        <v>Y</v>
      </c>
      <c r="E254" s="57" t="str">
        <f>VLOOKUP($A254,'Выгр Кат'!$A:$T,E$1,0)</f>
        <v>1</v>
      </c>
      <c r="F254" s="57">
        <f>VLOOKUP($A254,'Выгр Кат'!$A:$T,F$1,0)</f>
        <v>0</v>
      </c>
      <c r="G254" s="57" t="str">
        <f>VLOOKUP($A254,'Выгр Кат'!$A:$T,G$1,0)</f>
        <v>21703372455019</v>
      </c>
      <c r="H254" s="57" t="str">
        <f>VLOOKUP($A254,'Выгр Кат'!$A:$T,H$1,0)</f>
        <v>21703-3724550</v>
      </c>
      <c r="I254" s="39" t="s">
        <v>1465</v>
      </c>
      <c r="J254" s="1" t="s">
        <v>526</v>
      </c>
      <c r="K254" s="47">
        <f>VLOOKUP(I254,Прайс!A:E,5,0)</f>
        <v>1000</v>
      </c>
      <c r="L254" s="7">
        <f>VLOOKUP(K254,Наценка!$A$1:$B$8,2,1)</f>
        <v>1.5</v>
      </c>
      <c r="M254" s="44">
        <f t="shared" si="58"/>
        <v>1500</v>
      </c>
      <c r="N254" s="62">
        <f t="shared" si="81"/>
        <v>1490</v>
      </c>
      <c r="O254" s="60">
        <f>VLOOKUP($A254,'Выгр Кат'!$A:$P,O$1,0)</f>
        <v>1000</v>
      </c>
      <c r="P254" s="60">
        <f>VLOOKUP($A254,'Выгр Кат'!$A:$P,P$1,0)</f>
        <v>1490</v>
      </c>
      <c r="Q254" s="73">
        <f t="shared" si="82"/>
        <v>0</v>
      </c>
      <c r="R254" s="73">
        <f t="shared" si="83"/>
        <v>0</v>
      </c>
      <c r="S254" s="97">
        <f t="shared" si="59"/>
        <v>1490</v>
      </c>
      <c r="T254" s="98">
        <f t="shared" si="60"/>
        <v>0.49</v>
      </c>
      <c r="U254" s="98">
        <f t="shared" si="61"/>
        <v>-0.6409691629955947</v>
      </c>
      <c r="V254" s="98">
        <f t="shared" si="62"/>
        <v>-9.1999999999999971E-2</v>
      </c>
      <c r="W254" s="106">
        <f t="shared" si="84"/>
        <v>908</v>
      </c>
      <c r="X254" s="102" t="str">
        <f>IFERROR(ROUND((VLOOKUP($A254,'Из ГУГЛа'!$B:$Z,X$1,0)+Z254)*Y254,),VLOOKUP($A254,'Из ГУГЛа'!$B:$Z,X$1,0))</f>
        <v/>
      </c>
      <c r="Y254" s="75">
        <v>1</v>
      </c>
      <c r="Z254" s="75">
        <v>0</v>
      </c>
      <c r="AA254" s="63" t="s">
        <v>1017</v>
      </c>
      <c r="AB254" s="63"/>
      <c r="AD254" s="102">
        <f>IFERROR(ROUND((VLOOKUP($A254,'Из ГУГЛа'!$B:$Z,AD$1,0)+AF254)*AE254,),VLOOKUP($A254,'Из ГУГЛа'!$B:$Z,AD$1,0))</f>
        <v>0</v>
      </c>
      <c r="AE254" s="100">
        <v>1</v>
      </c>
      <c r="AF254" s="100"/>
      <c r="AG254" s="103">
        <v>908</v>
      </c>
      <c r="AH254" s="103" t="s">
        <v>1961</v>
      </c>
      <c r="AI254" s="102">
        <f>IFERROR(ROUND((VLOOKUP($A254,'Из ГУГЛа'!$B:$Z,AI$1,0)+AK254)*AJ254,),VLOOKUP($A254,'Из ГУГЛа'!$B:$Z,AI$1,0))</f>
        <v>0</v>
      </c>
      <c r="AJ254" s="100">
        <v>1</v>
      </c>
      <c r="AK254" s="100"/>
      <c r="AL254" s="103"/>
      <c r="AM254" s="103"/>
      <c r="AN254" s="102">
        <f>IFERROR(ROUND((VLOOKUP($A254,'Из ГУГЛа'!$B:$Z,AN$1,0)+AP254)*AO254,),VLOOKUP($A254,'Из ГУГЛа'!$B:$Z,AN$1,0))</f>
        <v>0</v>
      </c>
      <c r="AO254" s="100">
        <v>1</v>
      </c>
      <c r="AP254" s="100"/>
      <c r="AQ254" s="103"/>
      <c r="AR254" s="103"/>
    </row>
    <row r="255" spans="1:44" ht="40.5" thickTop="1" thickBot="1" x14ac:dyDescent="0.3">
      <c r="A255" s="57">
        <v>426994</v>
      </c>
      <c r="B255" s="57">
        <f>VLOOKUP($A255,'Выгр Кат'!$A:$T,B$1,0)</f>
        <v>426994</v>
      </c>
      <c r="C255" s="58" t="str">
        <f>VLOOKUP($A255,'Выгр Кат'!$A:$T,C$1,0)</f>
        <v>Жгут проводов задний в сборе для Лада Веста</v>
      </c>
      <c r="D255" s="57" t="str">
        <f>VLOOKUP($A255,'Выгр Кат'!$A:$T,D$1,0)</f>
        <v>Y</v>
      </c>
      <c r="E255" s="57" t="str">
        <f>VLOOKUP($A255,'Выгр Кат'!$A:$T,E$1,0)</f>
        <v>1</v>
      </c>
      <c r="F255" s="57">
        <f>VLOOKUP($A255,'Выгр Кат'!$A:$T,F$1,0)</f>
        <v>0</v>
      </c>
      <c r="G255" s="57" t="str">
        <f>VLOOKUP($A255,'Выгр Кат'!$A:$T,G$1,0)</f>
        <v>8450030721</v>
      </c>
      <c r="H255" s="57">
        <f>VLOOKUP($A255,'Выгр Кат'!$A:$T,H$1,0)</f>
        <v>0</v>
      </c>
      <c r="I255" s="39" t="s">
        <v>1265</v>
      </c>
      <c r="J255" s="1" t="s">
        <v>526</v>
      </c>
      <c r="K255" s="47">
        <f>VLOOKUP(I255,Прайс!A:E,5,0)</f>
        <v>6000</v>
      </c>
      <c r="L255" s="7">
        <f>VLOOKUP(K255,Наценка!$A$1:$B$8,2,1)</f>
        <v>1.32</v>
      </c>
      <c r="M255" s="44">
        <f t="shared" si="58"/>
        <v>7920</v>
      </c>
      <c r="N255" s="62">
        <f t="shared" si="81"/>
        <v>7990</v>
      </c>
      <c r="O255" s="60">
        <f>VLOOKUP($A255,'Выгр Кат'!$A:$P,O$1,0)</f>
        <v>6000</v>
      </c>
      <c r="P255" s="60">
        <f>VLOOKUP($A255,'Выгр Кат'!$A:$P,P$1,0)</f>
        <v>8490</v>
      </c>
      <c r="Q255" s="73">
        <f t="shared" si="82"/>
        <v>0</v>
      </c>
      <c r="R255" s="73">
        <f t="shared" si="83"/>
        <v>500</v>
      </c>
      <c r="S255" s="97">
        <f t="shared" si="59"/>
        <v>7990</v>
      </c>
      <c r="T255" s="98">
        <f t="shared" si="60"/>
        <v>0.33166666666666678</v>
      </c>
      <c r="U255" s="98">
        <f t="shared" si="61"/>
        <v>1.4310387367382186E-2</v>
      </c>
      <c r="V255" s="98">
        <f t="shared" si="62"/>
        <v>0.35099999999999998</v>
      </c>
      <c r="W255" s="106">
        <f t="shared" si="84"/>
        <v>8106</v>
      </c>
      <c r="X255" s="102">
        <f>IFERROR(ROUND((VLOOKUP($A255,'Из ГУГЛа'!$B:$Z,X$1,0)+Z255)*Y255,),VLOOKUP($A255,'Из ГУГЛа'!$B:$Z,X$1,0))</f>
        <v>8590</v>
      </c>
      <c r="Y255" s="75">
        <v>1</v>
      </c>
      <c r="Z255" s="75">
        <v>0</v>
      </c>
      <c r="AA255" s="63">
        <v>8590</v>
      </c>
      <c r="AB255" s="63" t="s">
        <v>1215</v>
      </c>
      <c r="AC255" s="48" t="s">
        <v>1266</v>
      </c>
      <c r="AD255" s="102">
        <f>IFERROR(ROUND((VLOOKUP($A255,'Из ГУГЛа'!$B:$Z,AD$1,0)+AF255)*AE255,),VLOOKUP($A255,'Из ГУГЛа'!$B:$Z,AD$1,0))</f>
        <v>0</v>
      </c>
      <c r="AE255" s="100">
        <v>1</v>
      </c>
      <c r="AF255" s="100"/>
      <c r="AG255" s="103">
        <v>8106</v>
      </c>
      <c r="AH255" s="103" t="s">
        <v>1960</v>
      </c>
      <c r="AI255" s="102">
        <f>IFERROR(ROUND((VLOOKUP($A255,'Из ГУГЛа'!$B:$Z,AI$1,0)+AK255)*AJ255,),VLOOKUP($A255,'Из ГУГЛа'!$B:$Z,AI$1,0))</f>
        <v>0</v>
      </c>
      <c r="AJ255" s="100">
        <v>1</v>
      </c>
      <c r="AK255" s="100"/>
      <c r="AL255" s="103"/>
      <c r="AM255" s="103"/>
      <c r="AN255" s="102">
        <f>IFERROR(ROUND((VLOOKUP($A255,'Из ГУГЛа'!$B:$Z,AN$1,0)+AP255)*AO255,),VLOOKUP($A255,'Из ГУГЛа'!$B:$Z,AN$1,0))</f>
        <v>0</v>
      </c>
      <c r="AO255" s="100">
        <v>1</v>
      </c>
      <c r="AP255" s="100"/>
      <c r="AQ255" s="103"/>
      <c r="AR255" s="103"/>
    </row>
    <row r="256" spans="1:44" ht="40.5" thickTop="1" thickBot="1" x14ac:dyDescent="0.3">
      <c r="A256" s="57">
        <v>426738</v>
      </c>
      <c r="B256" s="57">
        <f>VLOOKUP($A256,'Выгр Кат'!$A:$T,B$1,0)</f>
        <v>426738</v>
      </c>
      <c r="C256" s="58" t="str">
        <f>VLOOKUP($A256,'Выгр Кат'!$A:$T,C$1,0)</f>
        <v>Жгут проводов задний для Лада Нива 4х4 Урбан 5-ти дверная</v>
      </c>
      <c r="D256" s="57" t="str">
        <f>VLOOKUP($A256,'Выгр Кат'!$A:$T,D$1,0)</f>
        <v>Y</v>
      </c>
      <c r="E256" s="57" t="str">
        <f>VLOOKUP($A256,'Выгр Кат'!$A:$T,E$1,0)</f>
        <v>1</v>
      </c>
      <c r="F256" s="57">
        <f>VLOOKUP($A256,'Выгр Кат'!$A:$T,F$1,0)</f>
        <v>0</v>
      </c>
      <c r="G256" s="57" t="str">
        <f>VLOOKUP($A256,'Выгр Кат'!$A:$T,G$1,0)</f>
        <v>21313724210А1</v>
      </c>
      <c r="H256" s="57" t="str">
        <f>VLOOKUP($A256,'Выгр Кат'!$A:$T,H$1,0)</f>
        <v>2131-3724210</v>
      </c>
      <c r="I256" s="39" t="s">
        <v>1274</v>
      </c>
      <c r="J256" s="1" t="s">
        <v>526</v>
      </c>
      <c r="K256" s="47">
        <f>VLOOKUP(I256,Прайс!A:E,5,0)</f>
        <v>6000</v>
      </c>
      <c r="L256" s="7">
        <f>VLOOKUP(K256,Наценка!$A$1:$B$8,2,1)</f>
        <v>1.32</v>
      </c>
      <c r="M256" s="44">
        <f t="shared" si="58"/>
        <v>7920</v>
      </c>
      <c r="N256" s="62">
        <f t="shared" si="81"/>
        <v>7990</v>
      </c>
      <c r="O256" s="60">
        <f>VLOOKUP($A256,'Выгр Кат'!$A:$P,O$1,0)</f>
        <v>6000</v>
      </c>
      <c r="P256" s="60">
        <f>VLOOKUP($A256,'Выгр Кат'!$A:$P,P$1,0)</f>
        <v>8490</v>
      </c>
      <c r="Q256" s="73">
        <f t="shared" si="82"/>
        <v>0</v>
      </c>
      <c r="R256" s="73">
        <f t="shared" si="83"/>
        <v>500</v>
      </c>
      <c r="S256" s="97">
        <f t="shared" si="59"/>
        <v>7990</v>
      </c>
      <c r="T256" s="98">
        <f t="shared" si="60"/>
        <v>0.33166666666666678</v>
      </c>
      <c r="U256" s="98">
        <f t="shared" si="61"/>
        <v>-1.2139096702687726</v>
      </c>
      <c r="V256" s="98">
        <f t="shared" si="62"/>
        <v>-0.39849999999999997</v>
      </c>
      <c r="W256" s="106">
        <f t="shared" si="84"/>
        <v>3609</v>
      </c>
      <c r="X256" s="102">
        <f>IFERROR(ROUND((VLOOKUP($A256,'Из ГУГЛа'!$B:$Z,X$1,0)+Z256)*Y256,),VLOOKUP($A256,'Из ГУГЛа'!$B:$Z,X$1,0))</f>
        <v>8590</v>
      </c>
      <c r="Y256" s="75">
        <v>1</v>
      </c>
      <c r="Z256" s="75">
        <v>0</v>
      </c>
      <c r="AA256" s="63">
        <v>8590</v>
      </c>
      <c r="AB256" s="63" t="s">
        <v>1215</v>
      </c>
      <c r="AC256" s="48" t="s">
        <v>1470</v>
      </c>
      <c r="AD256" s="102">
        <f>IFERROR(ROUND((VLOOKUP($A256,'Из ГУГЛа'!$B:$Z,AD$1,0)+AF256)*AE256,),VLOOKUP($A256,'Из ГУГЛа'!$B:$Z,AD$1,0))</f>
        <v>0</v>
      </c>
      <c r="AE256" s="100">
        <v>1</v>
      </c>
      <c r="AF256" s="100"/>
      <c r="AG256" s="103">
        <v>3609</v>
      </c>
      <c r="AH256" s="103" t="s">
        <v>1959</v>
      </c>
      <c r="AI256" s="102">
        <f>IFERROR(ROUND((VLOOKUP($A256,'Из ГУГЛа'!$B:$Z,AI$1,0)+AK256)*AJ256,),VLOOKUP($A256,'Из ГУГЛа'!$B:$Z,AI$1,0))</f>
        <v>0</v>
      </c>
      <c r="AJ256" s="100">
        <v>1</v>
      </c>
      <c r="AK256" s="100"/>
      <c r="AL256" s="103"/>
      <c r="AM256" s="103"/>
      <c r="AN256" s="102">
        <f>IFERROR(ROUND((VLOOKUP($A256,'Из ГУГЛа'!$B:$Z,AN$1,0)+AP256)*AO256,),VLOOKUP($A256,'Из ГУГЛа'!$B:$Z,AN$1,0))</f>
        <v>0</v>
      </c>
      <c r="AO256" s="100">
        <v>1</v>
      </c>
      <c r="AP256" s="100"/>
      <c r="AQ256" s="103"/>
      <c r="AR256" s="103"/>
    </row>
    <row r="257" spans="1:44" ht="40.5" thickTop="1" thickBot="1" x14ac:dyDescent="0.3">
      <c r="A257" s="57">
        <v>426628</v>
      </c>
      <c r="B257" s="57">
        <f>VLOOKUP($A257,'Выгр Кат'!$A:$T,B$1,0)</f>
        <v>426628</v>
      </c>
      <c r="C257" s="58" t="str">
        <f>VLOOKUP($A257,'Выгр Кат'!$A:$T,C$1,0)</f>
        <v>Жгут проводов контроллера для ВАЗ 2110-2112 инжекторный 16-ти клапанный двигатель 1.6 л</v>
      </c>
      <c r="D257" s="57" t="str">
        <f>VLOOKUP($A257,'Выгр Кат'!$A:$T,D$1,0)</f>
        <v>Y</v>
      </c>
      <c r="E257" s="57" t="str">
        <f>VLOOKUP($A257,'Выгр Кат'!$A:$T,E$1,0)</f>
        <v>1</v>
      </c>
      <c r="F257" s="57">
        <f>VLOOKUP($A257,'Выгр Кат'!$A:$T,F$1,0)</f>
        <v>0</v>
      </c>
      <c r="G257" s="57" t="str">
        <f>VLOOKUP($A257,'Выгр Кат'!$A:$T,G$1,0)</f>
        <v>211043724026</v>
      </c>
      <c r="H257" s="57" t="str">
        <f>VLOOKUP($A257,'Выгр Кат'!$A:$T,H$1,0)</f>
        <v>21104-3724026</v>
      </c>
      <c r="I257" s="39" t="s">
        <v>1288</v>
      </c>
      <c r="J257" s="1" t="s">
        <v>526</v>
      </c>
      <c r="K257" s="47">
        <f>VLOOKUP(I257,Прайс!A:E,5,0)</f>
        <v>10000</v>
      </c>
      <c r="L257" s="7">
        <f>VLOOKUP(K257,Наценка!$A$1:$B$8,2,1)</f>
        <v>1.3</v>
      </c>
      <c r="M257" s="44">
        <f t="shared" si="58"/>
        <v>13000</v>
      </c>
      <c r="N257" s="62">
        <f t="shared" si="81"/>
        <v>12990</v>
      </c>
      <c r="O257" s="60">
        <f>VLOOKUP($A257,'Выгр Кат'!$A:$P,O$1,0)</f>
        <v>10000</v>
      </c>
      <c r="P257" s="60">
        <f>VLOOKUP($A257,'Выгр Кат'!$A:$P,P$1,0)</f>
        <v>11990</v>
      </c>
      <c r="Q257" s="73">
        <f t="shared" si="82"/>
        <v>0</v>
      </c>
      <c r="R257" s="73">
        <f t="shared" si="83"/>
        <v>-1000</v>
      </c>
      <c r="S257" s="97">
        <f t="shared" si="59"/>
        <v>12990</v>
      </c>
      <c r="T257" s="98">
        <f t="shared" si="60"/>
        <v>0.29899999999999993</v>
      </c>
      <c r="U257" s="98">
        <f t="shared" si="61"/>
        <v>-0.11120615911035073</v>
      </c>
      <c r="V257" s="98">
        <f t="shared" si="62"/>
        <v>0.16900000000000004</v>
      </c>
      <c r="W257" s="106">
        <f t="shared" si="84"/>
        <v>11690</v>
      </c>
      <c r="X257" s="102">
        <f>IFERROR(ROUND((VLOOKUP($A257,'Из ГУГЛа'!$B:$Z,X$1,0)+Z257)*Y257,),VLOOKUP($A257,'Из ГУГЛа'!$B:$Z,X$1,0))</f>
        <v>11690</v>
      </c>
      <c r="Y257" s="75">
        <v>1</v>
      </c>
      <c r="Z257" s="75">
        <v>0</v>
      </c>
      <c r="AA257" s="63">
        <v>11690</v>
      </c>
      <c r="AB257" s="63" t="s">
        <v>1215</v>
      </c>
      <c r="AC257" s="48" t="s">
        <v>1471</v>
      </c>
      <c r="AD257" s="102">
        <f>IFERROR(ROUND((VLOOKUP($A257,'Из ГУГЛа'!$B:$Z,AD$1,0)+AF257)*AE257,),VLOOKUP($A257,'Из ГУГЛа'!$B:$Z,AD$1,0))</f>
        <v>0</v>
      </c>
      <c r="AE257" s="100">
        <v>1</v>
      </c>
      <c r="AF257" s="100"/>
      <c r="AG257" s="103">
        <v>13389</v>
      </c>
      <c r="AH257" s="103" t="s">
        <v>1958</v>
      </c>
      <c r="AI257" s="102">
        <f>IFERROR(ROUND((VLOOKUP($A257,'Из ГУГЛа'!$B:$Z,AI$1,0)+AK257)*AJ257,),VLOOKUP($A257,'Из ГУГЛа'!$B:$Z,AI$1,0))</f>
        <v>0</v>
      </c>
      <c r="AJ257" s="100">
        <v>1</v>
      </c>
      <c r="AK257" s="100"/>
      <c r="AL257" s="103"/>
      <c r="AM257" s="103"/>
      <c r="AN257" s="102">
        <f>IFERROR(ROUND((VLOOKUP($A257,'Из ГУГЛа'!$B:$Z,AN$1,0)+AP257)*AO257,),VLOOKUP($A257,'Из ГУГЛа'!$B:$Z,AN$1,0))</f>
        <v>0</v>
      </c>
      <c r="AO257" s="100">
        <v>1</v>
      </c>
      <c r="AP257" s="100"/>
      <c r="AQ257" s="103"/>
      <c r="AR257" s="103"/>
    </row>
    <row r="258" spans="1:44" ht="40.5" thickTop="1" thickBot="1" x14ac:dyDescent="0.3">
      <c r="A258" s="57">
        <v>426706</v>
      </c>
      <c r="B258" s="57">
        <f>VLOOKUP($A258,'Выгр Кат'!$A:$T,B$1,0)</f>
        <v>426706</v>
      </c>
      <c r="C258" s="58" t="str">
        <f>VLOOKUP($A258,'Выгр Кат'!$A:$T,C$1,0)</f>
        <v>Жгут проводов панели приборов 2115-60 для ВАЗ 2113-2115</v>
      </c>
      <c r="D258" s="57" t="str">
        <f>VLOOKUP($A258,'Выгр Кат'!$A:$T,D$1,0)</f>
        <v>Y</v>
      </c>
      <c r="E258" s="57" t="str">
        <f>VLOOKUP($A258,'Выгр Кат'!$A:$T,E$1,0)</f>
        <v>1</v>
      </c>
      <c r="F258" s="57">
        <f>VLOOKUP($A258,'Выгр Кат'!$A:$T,F$1,0)</f>
        <v>0</v>
      </c>
      <c r="G258" s="57" t="str">
        <f>VLOOKUP($A258,'Выгр Кат'!$A:$T,G$1,0)</f>
        <v>2115372403060</v>
      </c>
      <c r="H258" s="57" t="str">
        <f>VLOOKUP($A258,'Выгр Кат'!$A:$T,H$1,0)</f>
        <v>2115-3724030</v>
      </c>
      <c r="I258" s="39" t="s">
        <v>1326</v>
      </c>
      <c r="J258" s="1" t="s">
        <v>526</v>
      </c>
      <c r="K258" s="47">
        <f>VLOOKUP(I258,Прайс!A:E,5,0)</f>
        <v>4000</v>
      </c>
      <c r="L258" s="7">
        <f>VLOOKUP(K258,Наценка!$A$1:$B$8,2,1)</f>
        <v>1.4</v>
      </c>
      <c r="M258" s="44">
        <f t="shared" si="58"/>
        <v>5600</v>
      </c>
      <c r="N258" s="62">
        <f t="shared" si="81"/>
        <v>5590</v>
      </c>
      <c r="O258" s="60">
        <f>VLOOKUP($A258,'Выгр Кат'!$A:$P,O$1,0)</f>
        <v>4000</v>
      </c>
      <c r="P258" s="60">
        <f>VLOOKUP($A258,'Выгр Кат'!$A:$P,P$1,0)</f>
        <v>5590</v>
      </c>
      <c r="Q258" s="73">
        <f t="shared" si="82"/>
        <v>0</v>
      </c>
      <c r="R258" s="73">
        <f t="shared" si="83"/>
        <v>0</v>
      </c>
      <c r="S258" s="97">
        <f t="shared" si="59"/>
        <v>5590</v>
      </c>
      <c r="T258" s="98">
        <f t="shared" si="60"/>
        <v>0.39749999999999996</v>
      </c>
      <c r="U258" s="98">
        <f t="shared" si="61"/>
        <v>-0.17560462670872765</v>
      </c>
      <c r="V258" s="98">
        <f t="shared" si="62"/>
        <v>0.18874999999999997</v>
      </c>
      <c r="W258" s="106">
        <f t="shared" si="84"/>
        <v>4755</v>
      </c>
      <c r="X258" s="102">
        <f>IFERROR(ROUND((VLOOKUP($A258,'Из ГУГЛа'!$B:$Z,X$1,0)+Z258)*Y258,),VLOOKUP($A258,'Из ГУГЛа'!$B:$Z,X$1,0))</f>
        <v>5690</v>
      </c>
      <c r="Y258" s="75">
        <v>1</v>
      </c>
      <c r="Z258" s="75">
        <v>0</v>
      </c>
      <c r="AA258" s="63">
        <v>5690</v>
      </c>
      <c r="AB258" s="63" t="s">
        <v>1215</v>
      </c>
      <c r="AC258" s="48" t="s">
        <v>1472</v>
      </c>
      <c r="AD258" s="102">
        <f>IFERROR(ROUND((VLOOKUP($A258,'Из ГУГЛа'!$B:$Z,AD$1,0)+AF258)*AE258,),VLOOKUP($A258,'Из ГУГЛа'!$B:$Z,AD$1,0))</f>
        <v>0</v>
      </c>
      <c r="AE258" s="100">
        <v>1</v>
      </c>
      <c r="AF258" s="100"/>
      <c r="AG258" s="103">
        <v>4755</v>
      </c>
      <c r="AH258" s="103" t="s">
        <v>1957</v>
      </c>
      <c r="AI258" s="102">
        <f>IFERROR(ROUND((VLOOKUP($A258,'Из ГУГЛа'!$B:$Z,AI$1,0)+AK258)*AJ258,),VLOOKUP($A258,'Из ГУГЛа'!$B:$Z,AI$1,0))</f>
        <v>0</v>
      </c>
      <c r="AJ258" s="100">
        <v>1</v>
      </c>
      <c r="AK258" s="100"/>
      <c r="AL258" s="103"/>
      <c r="AM258" s="103"/>
      <c r="AN258" s="102">
        <f>IFERROR(ROUND((VLOOKUP($A258,'Из ГУГЛа'!$B:$Z,AN$1,0)+AP258)*AO258,),VLOOKUP($A258,'Из ГУГЛа'!$B:$Z,AN$1,0))</f>
        <v>0</v>
      </c>
      <c r="AO258" s="100">
        <v>1</v>
      </c>
      <c r="AP258" s="100"/>
      <c r="AQ258" s="103"/>
      <c r="AR258" s="103"/>
    </row>
    <row r="259" spans="1:44" ht="40.5" thickTop="1" thickBot="1" x14ac:dyDescent="0.3">
      <c r="A259" s="57">
        <v>426712</v>
      </c>
      <c r="B259" s="57">
        <f>VLOOKUP($A259,'Выгр Кат'!$A:$T,B$1,0)</f>
        <v>426712</v>
      </c>
      <c r="C259" s="58" t="str">
        <f>VLOOKUP($A259,'Выгр Кат'!$A:$T,C$1,0)</f>
        <v>Жгут проводов панели приборов 2115-70 для ВАЗ 2113-2115</v>
      </c>
      <c r="D259" s="57" t="str">
        <f>VLOOKUP($A259,'Выгр Кат'!$A:$T,D$1,0)</f>
        <v>Y</v>
      </c>
      <c r="E259" s="57" t="str">
        <f>VLOOKUP($A259,'Выгр Кат'!$A:$T,E$1,0)</f>
        <v>1</v>
      </c>
      <c r="F259" s="57">
        <f>VLOOKUP($A259,'Выгр Кат'!$A:$T,F$1,0)</f>
        <v>0</v>
      </c>
      <c r="G259" s="57" t="str">
        <f>VLOOKUP($A259,'Выгр Кат'!$A:$T,G$1,0)</f>
        <v>2115372403070</v>
      </c>
      <c r="H259" s="57" t="str">
        <f>VLOOKUP($A259,'Выгр Кат'!$A:$T,H$1,0)</f>
        <v>2115-3724030</v>
      </c>
      <c r="I259" s="39" t="s">
        <v>1446</v>
      </c>
      <c r="J259" s="1" t="s">
        <v>526</v>
      </c>
      <c r="K259" s="47">
        <f>VLOOKUP(I259,Прайс!A:E,5,0)</f>
        <v>4000</v>
      </c>
      <c r="L259" s="7">
        <f>VLOOKUP(K259,Наценка!$A$1:$B$8,2,1)</f>
        <v>1.4</v>
      </c>
      <c r="M259" s="44">
        <f t="shared" ref="M259:M288" si="85">K259*L259</f>
        <v>5600</v>
      </c>
      <c r="N259" s="62">
        <f t="shared" si="81"/>
        <v>5590</v>
      </c>
      <c r="O259" s="60">
        <f>VLOOKUP($A259,'Выгр Кат'!$A:$P,O$1,0)</f>
        <v>4000</v>
      </c>
      <c r="P259" s="60">
        <f>VLOOKUP($A259,'Выгр Кат'!$A:$P,P$1,0)</f>
        <v>5590</v>
      </c>
      <c r="Q259" s="73">
        <f t="shared" si="82"/>
        <v>0</v>
      </c>
      <c r="R259" s="73">
        <f t="shared" si="83"/>
        <v>0</v>
      </c>
      <c r="S259" s="97">
        <f t="shared" si="59"/>
        <v>5590</v>
      </c>
      <c r="T259" s="98">
        <f t="shared" si="60"/>
        <v>0.39749999999999996</v>
      </c>
      <c r="U259" s="98">
        <f t="shared" si="61"/>
        <v>-1.9143117593436645E-2</v>
      </c>
      <c r="V259" s="98">
        <f t="shared" si="62"/>
        <v>0.37125000000000008</v>
      </c>
      <c r="W259" s="106">
        <f t="shared" si="84"/>
        <v>5485</v>
      </c>
      <c r="X259" s="102">
        <f>IFERROR(ROUND((VLOOKUP($A259,'Из ГУГЛа'!$B:$Z,X$1,0)+Z259)*Y259,),VLOOKUP($A259,'Из ГУГЛа'!$B:$Z,X$1,0))</f>
        <v>5690</v>
      </c>
      <c r="Y259" s="75">
        <v>1</v>
      </c>
      <c r="Z259" s="75">
        <v>0</v>
      </c>
      <c r="AA259" s="63">
        <v>5690</v>
      </c>
      <c r="AB259" s="63" t="s">
        <v>1215</v>
      </c>
      <c r="AC259" s="48" t="s">
        <v>1473</v>
      </c>
      <c r="AD259" s="102">
        <f>IFERROR(ROUND((VLOOKUP($A259,'Из ГУГЛа'!$B:$Z,AD$1,0)+AF259)*AE259,),VLOOKUP($A259,'Из ГУГЛа'!$B:$Z,AD$1,0))</f>
        <v>0</v>
      </c>
      <c r="AE259" s="100">
        <v>1</v>
      </c>
      <c r="AF259" s="100"/>
      <c r="AG259" s="103">
        <v>5485</v>
      </c>
      <c r="AH259" s="103" t="s">
        <v>1956</v>
      </c>
      <c r="AI259" s="102">
        <f>IFERROR(ROUND((VLOOKUP($A259,'Из ГУГЛа'!$B:$Z,AI$1,0)+AK259)*AJ259,),VLOOKUP($A259,'Из ГУГЛа'!$B:$Z,AI$1,0))</f>
        <v>0</v>
      </c>
      <c r="AJ259" s="100">
        <v>1</v>
      </c>
      <c r="AK259" s="100"/>
      <c r="AL259" s="103"/>
      <c r="AM259" s="103"/>
      <c r="AN259" s="102">
        <f>IFERROR(ROUND((VLOOKUP($A259,'Из ГУГЛа'!$B:$Z,AN$1,0)+AP259)*AO259,),VLOOKUP($A259,'Из ГУГЛа'!$B:$Z,AN$1,0))</f>
        <v>0</v>
      </c>
      <c r="AO259" s="100">
        <v>1</v>
      </c>
      <c r="AP259" s="100"/>
      <c r="AQ259" s="103"/>
      <c r="AR259" s="103"/>
    </row>
    <row r="260" spans="1:44" ht="40.5" thickTop="1" thickBot="1" x14ac:dyDescent="0.3">
      <c r="A260" s="57">
        <v>426713</v>
      </c>
      <c r="B260" s="57">
        <f>VLOOKUP($A260,'Выгр Кат'!$A:$T,B$1,0)</f>
        <v>426713</v>
      </c>
      <c r="C260" s="58" t="str">
        <f>VLOOKUP($A260,'Выгр Кат'!$A:$T,C$1,0)</f>
        <v>Жгут проводов панели приборов 2115-80 для ВАЗ 2113-2115</v>
      </c>
      <c r="D260" s="57" t="str">
        <f>VLOOKUP($A260,'Выгр Кат'!$A:$T,D$1,0)</f>
        <v>Y</v>
      </c>
      <c r="E260" s="57" t="str">
        <f>VLOOKUP($A260,'Выгр Кат'!$A:$T,E$1,0)</f>
        <v>1</v>
      </c>
      <c r="F260" s="57">
        <f>VLOOKUP($A260,'Выгр Кат'!$A:$T,F$1,0)</f>
        <v>0</v>
      </c>
      <c r="G260" s="57" t="str">
        <f>VLOOKUP($A260,'Выгр Кат'!$A:$T,G$1,0)</f>
        <v>2115372403080</v>
      </c>
      <c r="H260" s="57" t="str">
        <f>VLOOKUP($A260,'Выгр Кат'!$A:$T,H$1,0)</f>
        <v>2115-3724030</v>
      </c>
      <c r="I260" s="39" t="s">
        <v>1447</v>
      </c>
      <c r="J260" s="1" t="s">
        <v>526</v>
      </c>
      <c r="K260" s="47">
        <f>VLOOKUP(I260,Прайс!A:E,5,0)</f>
        <v>4000</v>
      </c>
      <c r="L260" s="7">
        <f>VLOOKUP(K260,Наценка!$A$1:$B$8,2,1)</f>
        <v>1.4</v>
      </c>
      <c r="M260" s="44">
        <f t="shared" si="85"/>
        <v>5600</v>
      </c>
      <c r="N260" s="62">
        <f t="shared" si="81"/>
        <v>5590</v>
      </c>
      <c r="O260" s="60">
        <f>VLOOKUP($A260,'Выгр Кат'!$A:$P,O$1,0)</f>
        <v>4000</v>
      </c>
      <c r="P260" s="60">
        <f>VLOOKUP($A260,'Выгр Кат'!$A:$P,P$1,0)</f>
        <v>5590</v>
      </c>
      <c r="Q260" s="73">
        <f t="shared" si="82"/>
        <v>0</v>
      </c>
      <c r="R260" s="73">
        <f t="shared" si="83"/>
        <v>0</v>
      </c>
      <c r="S260" s="97">
        <f t="shared" ref="S260:S288" si="86">IFERROR(ROUND(N260*(1-$S$2),),"")</f>
        <v>5590</v>
      </c>
      <c r="T260" s="98">
        <f t="shared" ref="T260:T288" si="87">IFERROR(S260/K260-1,"")</f>
        <v>0.39749999999999996</v>
      </c>
      <c r="U260" s="98">
        <f t="shared" ref="U260:U288" si="88">IFERROR((W260-S260)/W260,"")</f>
        <v>-0.11443381180223286</v>
      </c>
      <c r="V260" s="98">
        <f t="shared" ref="V260:V288" si="89">IFERROR(IF(W260="","",W260/K260-1),"")</f>
        <v>0.254</v>
      </c>
      <c r="W260" s="106">
        <f t="shared" si="84"/>
        <v>5016</v>
      </c>
      <c r="X260" s="102">
        <f>IFERROR(ROUND((VLOOKUP($A260,'Из ГУГЛа'!$B:$Z,X$1,0)+Z260)*Y260,),VLOOKUP($A260,'Из ГУГЛа'!$B:$Z,X$1,0))</f>
        <v>5690</v>
      </c>
      <c r="Y260" s="75">
        <v>1</v>
      </c>
      <c r="Z260" s="75">
        <v>0</v>
      </c>
      <c r="AA260" s="63">
        <v>5690</v>
      </c>
      <c r="AB260" s="63" t="s">
        <v>1215</v>
      </c>
      <c r="AC260" s="48" t="s">
        <v>1474</v>
      </c>
      <c r="AD260" s="102">
        <f>IFERROR(ROUND((VLOOKUP($A260,'Из ГУГЛа'!$B:$Z,AD$1,0)+AF260)*AE260,),VLOOKUP($A260,'Из ГУГЛа'!$B:$Z,AD$1,0))</f>
        <v>0</v>
      </c>
      <c r="AE260" s="100">
        <v>1</v>
      </c>
      <c r="AF260" s="100"/>
      <c r="AG260" s="103">
        <v>5016</v>
      </c>
      <c r="AH260" s="103" t="s">
        <v>1955</v>
      </c>
      <c r="AI260" s="102">
        <f>IFERROR(ROUND((VLOOKUP($A260,'Из ГУГЛа'!$B:$Z,AI$1,0)+AK260)*AJ260,),VLOOKUP($A260,'Из ГУГЛа'!$B:$Z,AI$1,0))</f>
        <v>0</v>
      </c>
      <c r="AJ260" s="100">
        <v>1</v>
      </c>
      <c r="AK260" s="100"/>
      <c r="AL260" s="103"/>
      <c r="AM260" s="103"/>
      <c r="AN260" s="102">
        <f>IFERROR(ROUND((VLOOKUP($A260,'Из ГУГЛа'!$B:$Z,AN$1,0)+AP260)*AO260,),VLOOKUP($A260,'Из ГУГЛа'!$B:$Z,AN$1,0))</f>
        <v>0</v>
      </c>
      <c r="AO260" s="100">
        <v>1</v>
      </c>
      <c r="AP260" s="100"/>
      <c r="AQ260" s="103"/>
      <c r="AR260" s="103"/>
    </row>
    <row r="261" spans="1:44" ht="40.5" thickTop="1" thickBot="1" x14ac:dyDescent="0.3">
      <c r="A261" s="57">
        <v>426618</v>
      </c>
      <c r="B261" s="57">
        <f>VLOOKUP($A261,'Выгр Кат'!$A:$T,B$1,0)</f>
        <v>426618</v>
      </c>
      <c r="C261" s="58" t="str">
        <f>VLOOKUP($A261,'Выгр Кат'!$A:$T,C$1,0)</f>
        <v>Жгут проводов панели приборов для ВАЗ 2110-2112 1.6 л</v>
      </c>
      <c r="D261" s="57" t="str">
        <f>VLOOKUP($A261,'Выгр Кат'!$A:$T,D$1,0)</f>
        <v>Y</v>
      </c>
      <c r="E261" s="57" t="str">
        <f>VLOOKUP($A261,'Выгр Кат'!$A:$T,E$1,0)</f>
        <v>1</v>
      </c>
      <c r="F261" s="57">
        <f>VLOOKUP($A261,'Выгр Кат'!$A:$T,F$1,0)</f>
        <v>0</v>
      </c>
      <c r="G261" s="57" t="str">
        <f>VLOOKUP($A261,'Выгр Кат'!$A:$T,G$1,0)</f>
        <v>2111372403003</v>
      </c>
      <c r="H261" s="57" t="str">
        <f>VLOOKUP($A261,'Выгр Кат'!$A:$T,H$1,0)</f>
        <v>2111-3724030</v>
      </c>
      <c r="I261" s="39" t="s">
        <v>1335</v>
      </c>
      <c r="J261" s="1" t="s">
        <v>526</v>
      </c>
      <c r="K261" s="47">
        <f>VLOOKUP(I261,Прайс!A:E,5,0)</f>
        <v>4500</v>
      </c>
      <c r="L261" s="7">
        <f>VLOOKUP(K261,Наценка!$A$1:$B$8,2,1)</f>
        <v>1.4</v>
      </c>
      <c r="M261" s="44">
        <f t="shared" si="85"/>
        <v>6300</v>
      </c>
      <c r="N261" s="62">
        <f t="shared" si="81"/>
        <v>6290</v>
      </c>
      <c r="O261" s="60">
        <f>VLOOKUP($A261,'Выгр Кат'!$A:$P,O$1,0)</f>
        <v>4500</v>
      </c>
      <c r="P261" s="60">
        <f>VLOOKUP($A261,'Выгр Кат'!$A:$P,P$1,0)</f>
        <v>6290</v>
      </c>
      <c r="Q261" s="73">
        <f t="shared" si="82"/>
        <v>0</v>
      </c>
      <c r="R261" s="73">
        <f t="shared" si="83"/>
        <v>0</v>
      </c>
      <c r="S261" s="97">
        <f t="shared" si="86"/>
        <v>6290</v>
      </c>
      <c r="T261" s="98">
        <f t="shared" si="87"/>
        <v>0.39777777777777779</v>
      </c>
      <c r="U261" s="98">
        <f t="shared" si="88"/>
        <v>-0.1038961038961039</v>
      </c>
      <c r="V261" s="98">
        <f t="shared" si="89"/>
        <v>0.26622222222222214</v>
      </c>
      <c r="W261" s="106">
        <f t="shared" si="84"/>
        <v>5698</v>
      </c>
      <c r="X261" s="102">
        <f>IFERROR(ROUND((VLOOKUP($A261,'Из ГУГЛа'!$B:$Z,X$1,0)+Z261)*Y261,),VLOOKUP($A261,'Из ГУГЛа'!$B:$Z,X$1,0))</f>
        <v>6390</v>
      </c>
      <c r="Y261" s="75">
        <v>1</v>
      </c>
      <c r="Z261" s="75">
        <v>0</v>
      </c>
      <c r="AA261" s="63">
        <v>6390</v>
      </c>
      <c r="AB261" s="63" t="s">
        <v>1215</v>
      </c>
      <c r="AC261" s="48" t="s">
        <v>1475</v>
      </c>
      <c r="AD261" s="102">
        <f>IFERROR(ROUND((VLOOKUP($A261,'Из ГУГЛа'!$B:$Z,AD$1,0)+AF261)*AE261,),VLOOKUP($A261,'Из ГУГЛа'!$B:$Z,AD$1,0))</f>
        <v>0</v>
      </c>
      <c r="AE261" s="100">
        <v>1</v>
      </c>
      <c r="AF261" s="100"/>
      <c r="AG261" s="103">
        <v>5698</v>
      </c>
      <c r="AH261" s="103" t="s">
        <v>2079</v>
      </c>
      <c r="AI261" s="102">
        <f>IFERROR(ROUND((VLOOKUP($A261,'Из ГУГЛа'!$B:$Z,AI$1,0)+AK261)*AJ261,),VLOOKUP($A261,'Из ГУГЛа'!$B:$Z,AI$1,0))</f>
        <v>0</v>
      </c>
      <c r="AJ261" s="100">
        <v>1</v>
      </c>
      <c r="AK261" s="100"/>
      <c r="AL261" s="103"/>
      <c r="AM261" s="103"/>
      <c r="AN261" s="102">
        <f>IFERROR(ROUND((VLOOKUP($A261,'Из ГУГЛа'!$B:$Z,AN$1,0)+AP261)*AO261,),VLOOKUP($A261,'Из ГУГЛа'!$B:$Z,AN$1,0))</f>
        <v>0</v>
      </c>
      <c r="AO261" s="100">
        <v>1</v>
      </c>
      <c r="AP261" s="100"/>
      <c r="AQ261" s="103"/>
      <c r="AR261" s="103"/>
    </row>
    <row r="262" spans="1:44" ht="66" thickTop="1" thickBot="1" x14ac:dyDescent="0.3">
      <c r="A262" s="57">
        <v>426656</v>
      </c>
      <c r="B262" s="57">
        <f>VLOOKUP($A262,'Выгр Кат'!$A:$T,B$1,0)</f>
        <v>426656</v>
      </c>
      <c r="C262" s="58" t="str">
        <f>VLOOKUP($A262,'Выгр Кат'!$A:$T,C$1,0)</f>
        <v>Жгут проводов панели приборов для ВАЗ 2113-2115 Е-газ, разъем 12+4 контакта</v>
      </c>
      <c r="D262" s="57" t="str">
        <f>VLOOKUP($A262,'Выгр Кат'!$A:$T,D$1,0)</f>
        <v>Y</v>
      </c>
      <c r="E262" s="57" t="str">
        <f>VLOOKUP($A262,'Выгр Кат'!$A:$T,E$1,0)</f>
        <v>1</v>
      </c>
      <c r="F262" s="57">
        <f>VLOOKUP($A262,'Выгр Кат'!$A:$T,F$1,0)</f>
        <v>0</v>
      </c>
      <c r="G262" s="57" t="str">
        <f>VLOOKUP($A262,'Выгр Кат'!$A:$T,G$1,0)</f>
        <v>21154372403000</v>
      </c>
      <c r="H262" s="57" t="str">
        <f>VLOOKUP($A262,'Выгр Кат'!$A:$T,H$1,0)</f>
        <v>21154-3724030</v>
      </c>
      <c r="I262" s="39" t="s">
        <v>1337</v>
      </c>
      <c r="J262" s="1" t="s">
        <v>526</v>
      </c>
      <c r="K262" s="47">
        <f>VLOOKUP(I262,Прайс!A:E,5,0)</f>
        <v>4000</v>
      </c>
      <c r="L262" s="7">
        <f>VLOOKUP(K262,Наценка!$A$1:$B$8,2,1)</f>
        <v>1.4</v>
      </c>
      <c r="M262" s="44">
        <f t="shared" si="85"/>
        <v>5600</v>
      </c>
      <c r="N262" s="62">
        <f t="shared" si="81"/>
        <v>5590</v>
      </c>
      <c r="O262" s="60">
        <f>VLOOKUP($A262,'Выгр Кат'!$A:$P,O$1,0)</f>
        <v>4000</v>
      </c>
      <c r="P262" s="60">
        <f>VLOOKUP($A262,'Выгр Кат'!$A:$P,P$1,0)</f>
        <v>5590</v>
      </c>
      <c r="Q262" s="73">
        <f t="shared" si="82"/>
        <v>0</v>
      </c>
      <c r="R262" s="73">
        <f t="shared" si="83"/>
        <v>0</v>
      </c>
      <c r="S262" s="97">
        <f t="shared" si="86"/>
        <v>5590</v>
      </c>
      <c r="T262" s="98">
        <f t="shared" si="87"/>
        <v>0.39749999999999996</v>
      </c>
      <c r="U262" s="98">
        <f t="shared" si="88"/>
        <v>1.5324995596265633E-2</v>
      </c>
      <c r="V262" s="98">
        <f t="shared" si="89"/>
        <v>0.4192499999999999</v>
      </c>
      <c r="W262" s="106">
        <f t="shared" si="84"/>
        <v>5677</v>
      </c>
      <c r="X262" s="102">
        <f>IFERROR(ROUND((VLOOKUP($A262,'Из ГУГЛа'!$B:$Z,X$1,0)+Z262)*Y262,),VLOOKUP($A262,'Из ГУГЛа'!$B:$Z,X$1,0))</f>
        <v>5690</v>
      </c>
      <c r="Y262" s="75">
        <v>1</v>
      </c>
      <c r="Z262" s="75">
        <v>0</v>
      </c>
      <c r="AA262" s="63">
        <v>5690</v>
      </c>
      <c r="AB262" s="63" t="s">
        <v>1215</v>
      </c>
      <c r="AC262" s="48" t="s">
        <v>1476</v>
      </c>
      <c r="AD262" s="102">
        <f>IFERROR(ROUND((VLOOKUP($A262,'Из ГУГЛа'!$B:$Z,AD$1,0)+AF262)*AE262,),VLOOKUP($A262,'Из ГУГЛа'!$B:$Z,AD$1,0))</f>
        <v>0</v>
      </c>
      <c r="AE262" s="100">
        <v>1</v>
      </c>
      <c r="AF262" s="100"/>
      <c r="AG262" s="103">
        <v>5677</v>
      </c>
      <c r="AH262" s="103" t="s">
        <v>1953</v>
      </c>
      <c r="AI262" s="102">
        <f>IFERROR(ROUND((VLOOKUP($A262,'Из ГУГЛа'!$B:$Z,AI$1,0)+AK262)*AJ262,),VLOOKUP($A262,'Из ГУГЛа'!$B:$Z,AI$1,0))</f>
        <v>0</v>
      </c>
      <c r="AJ262" s="100">
        <v>1</v>
      </c>
      <c r="AK262" s="100"/>
      <c r="AL262" s="103"/>
      <c r="AM262" s="103"/>
      <c r="AN262" s="102">
        <f>IFERROR(ROUND((VLOOKUP($A262,'Из ГУГЛа'!$B:$Z,AN$1,0)+AP262)*AO262,),VLOOKUP($A262,'Из ГУГЛа'!$B:$Z,AN$1,0))</f>
        <v>0</v>
      </c>
      <c r="AO262" s="100">
        <v>1</v>
      </c>
      <c r="AP262" s="100"/>
      <c r="AQ262" s="103"/>
      <c r="AR262" s="103"/>
    </row>
    <row r="263" spans="1:44" ht="53.25" thickTop="1" thickBot="1" x14ac:dyDescent="0.3">
      <c r="A263" s="57">
        <v>426986</v>
      </c>
      <c r="B263" s="57">
        <f>VLOOKUP($A263,'Выгр Кат'!$A:$T,B$1,0)</f>
        <v>426986</v>
      </c>
      <c r="C263" s="58" t="str">
        <f>VLOOKUP($A263,'Выгр Кат'!$A:$T,C$1,0)</f>
        <v>Жгут проводов передний в сборе HARN-FR LH для Лада Веста</v>
      </c>
      <c r="D263" s="57" t="str">
        <f>VLOOKUP($A263,'Выгр Кат'!$A:$T,D$1,0)</f>
        <v>Y</v>
      </c>
      <c r="E263" s="57" t="str">
        <f>VLOOKUP($A263,'Выгр Кат'!$A:$T,E$1,0)</f>
        <v>1</v>
      </c>
      <c r="F263" s="57">
        <f>VLOOKUP($A263,'Выгр Кат'!$A:$T,F$1,0)</f>
        <v>0</v>
      </c>
      <c r="G263" s="57" t="str">
        <f>VLOOKUP($A263,'Выгр Кат'!$A:$T,G$1,0)</f>
        <v>8450008432</v>
      </c>
      <c r="H263" s="57">
        <f>VLOOKUP($A263,'Выгр Кат'!$A:$T,H$1,0)</f>
        <v>0</v>
      </c>
      <c r="I263" s="39" t="s">
        <v>1349</v>
      </c>
      <c r="J263" s="1" t="s">
        <v>526</v>
      </c>
      <c r="K263" s="47">
        <f>VLOOKUP(I263,Прайс!A:E,5,0)</f>
        <v>15000</v>
      </c>
      <c r="L263" s="7">
        <f>VLOOKUP(K263,Наценка!$A$1:$B$8,2,1)</f>
        <v>1.3</v>
      </c>
      <c r="M263" s="44">
        <f t="shared" si="85"/>
        <v>19500</v>
      </c>
      <c r="N263" s="62">
        <f t="shared" si="81"/>
        <v>19490</v>
      </c>
      <c r="O263" s="60">
        <f>VLOOKUP($A263,'Выгр Кат'!$A:$P,O$1,0)</f>
        <v>15000</v>
      </c>
      <c r="P263" s="60">
        <f>VLOOKUP($A263,'Выгр Кат'!$A:$P,P$1,0)</f>
        <v>20490</v>
      </c>
      <c r="Q263" s="73">
        <f t="shared" si="82"/>
        <v>0</v>
      </c>
      <c r="R263" s="73">
        <f t="shared" si="83"/>
        <v>1000</v>
      </c>
      <c r="S263" s="97">
        <f t="shared" si="86"/>
        <v>19490</v>
      </c>
      <c r="T263" s="98">
        <f t="shared" si="87"/>
        <v>0.29933333333333323</v>
      </c>
      <c r="U263" s="98">
        <f t="shared" si="88"/>
        <v>5.3423992229237494E-2</v>
      </c>
      <c r="V263" s="98">
        <f t="shared" si="89"/>
        <v>0.3726666666666667</v>
      </c>
      <c r="W263" s="106">
        <f t="shared" si="84"/>
        <v>20590</v>
      </c>
      <c r="X263" s="102">
        <f>IFERROR(ROUND((VLOOKUP($A263,'Из ГУГЛа'!$B:$Z,X$1,0)+Z263)*Y263,),VLOOKUP($A263,'Из ГУГЛа'!$B:$Z,X$1,0))</f>
        <v>20590</v>
      </c>
      <c r="Y263" s="75">
        <v>1</v>
      </c>
      <c r="Z263" s="75">
        <v>0</v>
      </c>
      <c r="AA263" s="63">
        <v>20590</v>
      </c>
      <c r="AB263" s="63" t="s">
        <v>1215</v>
      </c>
      <c r="AC263" s="48" t="s">
        <v>1353</v>
      </c>
      <c r="AD263" s="102">
        <f>IFERROR(ROUND((VLOOKUP($A263,'Из ГУГЛа'!$B:$Z,AD$1,0)+AF263)*AE263,),VLOOKUP($A263,'Из ГУГЛа'!$B:$Z,AD$1,0))</f>
        <v>0</v>
      </c>
      <c r="AE263" s="100">
        <v>1</v>
      </c>
      <c r="AF263" s="100"/>
      <c r="AG263" s="103">
        <v>21712</v>
      </c>
      <c r="AH263" s="103" t="s">
        <v>1952</v>
      </c>
      <c r="AI263" s="102">
        <f>IFERROR(ROUND((VLOOKUP($A263,'Из ГУГЛа'!$B:$Z,AI$1,0)+AK263)*AJ263,),VLOOKUP($A263,'Из ГУГЛа'!$B:$Z,AI$1,0))</f>
        <v>0</v>
      </c>
      <c r="AJ263" s="100">
        <v>1</v>
      </c>
      <c r="AK263" s="100"/>
      <c r="AL263" s="103"/>
      <c r="AM263" s="103"/>
      <c r="AN263" s="102">
        <f>IFERROR(ROUND((VLOOKUP($A263,'Из ГУГЛа'!$B:$Z,AN$1,0)+AP263)*AO263,),VLOOKUP($A263,'Из ГУГЛа'!$B:$Z,AN$1,0))</f>
        <v>0</v>
      </c>
      <c r="AO263" s="100">
        <v>1</v>
      </c>
      <c r="AP263" s="100"/>
      <c r="AQ263" s="103"/>
      <c r="AR263" s="103"/>
    </row>
    <row r="264" spans="1:44" ht="40.5" thickTop="1" thickBot="1" x14ac:dyDescent="0.3">
      <c r="A264" s="57">
        <v>426988</v>
      </c>
      <c r="B264" s="57">
        <f>VLOOKUP($A264,'Выгр Кат'!$A:$T,B$1,0)</f>
        <v>426988</v>
      </c>
      <c r="C264" s="58" t="str">
        <f>VLOOKUP($A264,'Выгр Кат'!$A:$T,C$1,0)</f>
        <v>Жгут проводов передний в сборе для Лада Веста</v>
      </c>
      <c r="D264" s="57" t="str">
        <f>VLOOKUP($A264,'Выгр Кат'!$A:$T,D$1,0)</f>
        <v>Y</v>
      </c>
      <c r="E264" s="57" t="str">
        <f>VLOOKUP($A264,'Выгр Кат'!$A:$T,E$1,0)</f>
        <v>1</v>
      </c>
      <c r="F264" s="57">
        <f>VLOOKUP($A264,'Выгр Кат'!$A:$T,F$1,0)</f>
        <v>0</v>
      </c>
      <c r="G264" s="57" t="str">
        <f>VLOOKUP($A264,'Выгр Кат'!$A:$T,G$1,0)</f>
        <v>8450030782</v>
      </c>
      <c r="H264" s="57">
        <f>VLOOKUP($A264,'Выгр Кат'!$A:$T,H$1,0)</f>
        <v>0</v>
      </c>
      <c r="I264" s="39" t="s">
        <v>1352</v>
      </c>
      <c r="J264" s="1" t="s">
        <v>526</v>
      </c>
      <c r="K264" s="47">
        <f>VLOOKUP(I264,Прайс!A:E,5,0)</f>
        <v>15000</v>
      </c>
      <c r="L264" s="7">
        <f>VLOOKUP(K264,Наценка!$A$1:$B$8,2,1)</f>
        <v>1.3</v>
      </c>
      <c r="M264" s="44">
        <f t="shared" si="85"/>
        <v>19500</v>
      </c>
      <c r="N264" s="62">
        <f t="shared" si="81"/>
        <v>19490</v>
      </c>
      <c r="O264" s="60">
        <f>VLOOKUP($A264,'Выгр Кат'!$A:$P,O$1,0)</f>
        <v>15000</v>
      </c>
      <c r="P264" s="60">
        <f>VLOOKUP($A264,'Выгр Кат'!$A:$P,P$1,0)</f>
        <v>20490</v>
      </c>
      <c r="Q264" s="73">
        <f t="shared" si="82"/>
        <v>0</v>
      </c>
      <c r="R264" s="73">
        <f t="shared" si="83"/>
        <v>1000</v>
      </c>
      <c r="S264" s="97">
        <f t="shared" si="86"/>
        <v>19490</v>
      </c>
      <c r="T264" s="98">
        <f t="shared" si="87"/>
        <v>0.29933333333333323</v>
      </c>
      <c r="U264" s="98">
        <f t="shared" si="88"/>
        <v>5.3423992229237494E-2</v>
      </c>
      <c r="V264" s="98">
        <f t="shared" si="89"/>
        <v>0.3726666666666667</v>
      </c>
      <c r="W264" s="106">
        <f t="shared" si="84"/>
        <v>20590</v>
      </c>
      <c r="X264" s="102">
        <f>IFERROR(ROUND((VLOOKUP($A264,'Из ГУГЛа'!$B:$Z,X$1,0)+Z264)*Y264,),VLOOKUP($A264,'Из ГУГЛа'!$B:$Z,X$1,0))</f>
        <v>20590</v>
      </c>
      <c r="Y264" s="75">
        <v>1</v>
      </c>
      <c r="Z264" s="75">
        <v>0</v>
      </c>
      <c r="AA264" s="63">
        <v>20590</v>
      </c>
      <c r="AB264" s="63" t="s">
        <v>1215</v>
      </c>
      <c r="AC264" s="48" t="s">
        <v>1353</v>
      </c>
      <c r="AD264" s="102">
        <f>IFERROR(ROUND((VLOOKUP($A264,'Из ГУГЛа'!$B:$Z,AD$1,0)+AF264)*AE264,),VLOOKUP($A264,'Из ГУГЛа'!$B:$Z,AD$1,0))</f>
        <v>0</v>
      </c>
      <c r="AE264" s="100">
        <v>1</v>
      </c>
      <c r="AF264" s="100"/>
      <c r="AG264" s="103">
        <v>21712</v>
      </c>
      <c r="AH264" s="103" t="s">
        <v>1951</v>
      </c>
      <c r="AI264" s="102">
        <f>IFERROR(ROUND((VLOOKUP($A264,'Из ГУГЛа'!$B:$Z,AI$1,0)+AK264)*AJ264,),VLOOKUP($A264,'Из ГУГЛа'!$B:$Z,AI$1,0))</f>
        <v>0</v>
      </c>
      <c r="AJ264" s="100">
        <v>1</v>
      </c>
      <c r="AK264" s="100"/>
      <c r="AL264" s="103"/>
      <c r="AM264" s="103"/>
      <c r="AN264" s="102">
        <f>IFERROR(ROUND((VLOOKUP($A264,'Из ГУГЛа'!$B:$Z,AN$1,0)+AP264)*AO264,),VLOOKUP($A264,'Из ГУГЛа'!$B:$Z,AN$1,0))</f>
        <v>0</v>
      </c>
      <c r="AO264" s="100">
        <v>1</v>
      </c>
      <c r="AP264" s="100"/>
      <c r="AQ264" s="103"/>
      <c r="AR264" s="103"/>
    </row>
    <row r="265" spans="1:44" ht="53.25" thickTop="1" thickBot="1" x14ac:dyDescent="0.3">
      <c r="A265" s="57">
        <v>426424</v>
      </c>
      <c r="B265" s="57">
        <f>VLOOKUP($A265,'Выгр Кат'!$A:$T,B$1,0)</f>
        <v>426424</v>
      </c>
      <c r="C265" s="58" t="str">
        <f>VLOOKUP($A265,'Выгр Кат'!$A:$T,C$1,0)</f>
        <v>Жгут проводов под капот в сборе из 4-х частей для ВАЗ 2108-21099 карбюраторный двигатель</v>
      </c>
      <c r="D265" s="57" t="str">
        <f>VLOOKUP($A265,'Выгр Кат'!$A:$T,D$1,0)</f>
        <v>Y</v>
      </c>
      <c r="E265" s="57" t="str">
        <f>VLOOKUP($A265,'Выгр Кат'!$A:$T,E$1,0)</f>
        <v>1</v>
      </c>
      <c r="F265" s="57">
        <f>VLOOKUP($A265,'Выгр Кат'!$A:$T,F$1,0)</f>
        <v>0</v>
      </c>
      <c r="G265" s="57">
        <f>VLOOKUP($A265,'Выгр Кат'!$A:$T,G$1,0)</f>
        <v>0</v>
      </c>
      <c r="H265" s="57">
        <f>VLOOKUP($A265,'Выгр Кат'!$A:$T,H$1,0)</f>
        <v>0</v>
      </c>
      <c r="I265" s="39" t="s">
        <v>1359</v>
      </c>
      <c r="J265" s="1" t="s">
        <v>526</v>
      </c>
      <c r="K265" s="47">
        <f>VLOOKUP(I265,Прайс!A:E,5,0)</f>
        <v>5000</v>
      </c>
      <c r="L265" s="7">
        <f>VLOOKUP(K265,Наценка!$A$1:$B$8,2,1)</f>
        <v>1.32</v>
      </c>
      <c r="M265" s="44">
        <f t="shared" si="85"/>
        <v>6600</v>
      </c>
      <c r="N265" s="62">
        <f t="shared" si="81"/>
        <v>6590</v>
      </c>
      <c r="O265" s="60">
        <f>VLOOKUP($A265,'Выгр Кат'!$A:$P,O$1,0)</f>
        <v>4400</v>
      </c>
      <c r="P265" s="60">
        <f>VLOOKUP($A265,'Выгр Кат'!$A:$P,P$1,0)</f>
        <v>6190</v>
      </c>
      <c r="Q265" s="73">
        <f t="shared" si="82"/>
        <v>-600</v>
      </c>
      <c r="R265" s="73">
        <f t="shared" si="83"/>
        <v>-400</v>
      </c>
      <c r="S265" s="97">
        <f t="shared" si="86"/>
        <v>6590</v>
      </c>
      <c r="T265" s="98">
        <f t="shared" si="87"/>
        <v>0.31800000000000006</v>
      </c>
      <c r="U265" s="98">
        <f t="shared" si="88"/>
        <v>5.1525618883131834E-2</v>
      </c>
      <c r="V265" s="98">
        <f t="shared" si="89"/>
        <v>0.38959999999999995</v>
      </c>
      <c r="W265" s="106">
        <f t="shared" si="84"/>
        <v>6948</v>
      </c>
      <c r="X265" s="102" t="str">
        <f>IFERROR(ROUND((VLOOKUP($A265,'Из ГУГЛа'!$B:$Z,X$1,0)+Z265)*Y265,),VLOOKUP($A265,'Из ГУГЛа'!$B:$Z,X$1,0))</f>
        <v/>
      </c>
      <c r="Y265" s="75">
        <v>1</v>
      </c>
      <c r="Z265" s="75">
        <v>0</v>
      </c>
      <c r="AA265" s="63" t="s">
        <v>1017</v>
      </c>
      <c r="AB265" s="63"/>
      <c r="AD265" s="102">
        <f>IFERROR(ROUND((VLOOKUP($A265,'Из ГУГЛа'!$B:$Z,AD$1,0)+AF265)*AE265,),VLOOKUP($A265,'Из ГУГЛа'!$B:$Z,AD$1,0))</f>
        <v>0</v>
      </c>
      <c r="AE265" s="100">
        <v>1</v>
      </c>
      <c r="AF265" s="100"/>
      <c r="AG265" s="103">
        <v>6948</v>
      </c>
      <c r="AH265" s="103" t="s">
        <v>1954</v>
      </c>
      <c r="AI265" s="102">
        <f>IFERROR(ROUND((VLOOKUP($A265,'Из ГУГЛа'!$B:$Z,AI$1,0)+AK265)*AJ265,),VLOOKUP($A265,'Из ГУГЛа'!$B:$Z,AI$1,0))</f>
        <v>0</v>
      </c>
      <c r="AJ265" s="100">
        <v>1</v>
      </c>
      <c r="AK265" s="100"/>
      <c r="AL265" s="103"/>
      <c r="AM265" s="103"/>
      <c r="AN265" s="102">
        <f>IFERROR(ROUND((VLOOKUP($A265,'Из ГУГЛа'!$B:$Z,AN$1,0)+AP265)*AO265,),VLOOKUP($A265,'Из ГУГЛа'!$B:$Z,AN$1,0))</f>
        <v>0</v>
      </c>
      <c r="AO265" s="100">
        <v>1</v>
      </c>
      <c r="AP265" s="100"/>
      <c r="AQ265" s="103"/>
      <c r="AR265" s="103"/>
    </row>
    <row r="266" spans="1:44" ht="46.5" thickTop="1" thickBot="1" x14ac:dyDescent="0.3">
      <c r="A266" s="57">
        <v>426766</v>
      </c>
      <c r="B266" s="57">
        <f>VLOOKUP($A266,'Выгр Кат'!$A:$T,B$1,0)</f>
        <v>426766</v>
      </c>
      <c r="C266" s="58" t="str">
        <f>VLOOKUP($A266,'Выгр Кат'!$A:$T,C$1,0)</f>
        <v>Жгут проводов правой передней двери для Шевроле Нива под зеркало с электрорегулировкой</v>
      </c>
      <c r="D266" s="57" t="str">
        <f>VLOOKUP($A266,'Выгр Кат'!$A:$T,D$1,0)</f>
        <v>Y</v>
      </c>
      <c r="E266" s="57" t="str">
        <f>VLOOKUP($A266,'Выгр Кат'!$A:$T,E$1,0)</f>
        <v>1</v>
      </c>
      <c r="F266" s="57">
        <f>VLOOKUP($A266,'Выгр Кат'!$A:$T,F$1,0)</f>
        <v>0</v>
      </c>
      <c r="G266" s="57" t="str">
        <f>VLOOKUP($A266,'Выгр Кат'!$A:$T,G$1,0)</f>
        <v>21233724550</v>
      </c>
      <c r="H266" s="57" t="str">
        <f>VLOOKUP($A266,'Выгр Кат'!$A:$T,H$1,0)</f>
        <v>2123-3724550</v>
      </c>
      <c r="I266" s="39" t="s">
        <v>1365</v>
      </c>
      <c r="J266" s="1" t="s">
        <v>526</v>
      </c>
      <c r="K266" s="47">
        <f>VLOOKUP(I266,Прайс!A:E,5,0)</f>
        <v>2000</v>
      </c>
      <c r="L266" s="7">
        <f>VLOOKUP(K266,Наценка!$A$1:$B$8,2,1)</f>
        <v>1.4</v>
      </c>
      <c r="M266" s="44">
        <f t="shared" si="85"/>
        <v>2800</v>
      </c>
      <c r="N266" s="62">
        <f t="shared" si="81"/>
        <v>2790</v>
      </c>
      <c r="O266" s="60">
        <f>VLOOKUP($A266,'Выгр Кат'!$A:$P,O$1,0)</f>
        <v>2000</v>
      </c>
      <c r="P266" s="60">
        <f>VLOOKUP($A266,'Выгр Кат'!$A:$P,P$1,0)</f>
        <v>2790</v>
      </c>
      <c r="Q266" s="73">
        <f t="shared" si="82"/>
        <v>0</v>
      </c>
      <c r="R266" s="73">
        <f t="shared" si="83"/>
        <v>0</v>
      </c>
      <c r="S266" s="97">
        <f t="shared" si="86"/>
        <v>2790</v>
      </c>
      <c r="T266" s="98">
        <f t="shared" si="87"/>
        <v>0.39500000000000002</v>
      </c>
      <c r="U266" s="98">
        <f t="shared" si="88"/>
        <v>-7.1017274472168906E-2</v>
      </c>
      <c r="V266" s="98">
        <f t="shared" si="89"/>
        <v>0.30249999999999999</v>
      </c>
      <c r="W266" s="106">
        <f t="shared" si="84"/>
        <v>2605</v>
      </c>
      <c r="X266" s="102">
        <f>IFERROR(ROUND((VLOOKUP($A266,'Из ГУГЛа'!$B:$Z,X$1,0)+Z266)*Y266,),VLOOKUP($A266,'Из ГУГЛа'!$B:$Z,X$1,0))</f>
        <v>2890</v>
      </c>
      <c r="Y266" s="75">
        <v>1</v>
      </c>
      <c r="Z266" s="75">
        <v>0</v>
      </c>
      <c r="AA266" s="63">
        <v>2890</v>
      </c>
      <c r="AB266" s="63" t="s">
        <v>1215</v>
      </c>
      <c r="AC266" s="48" t="s">
        <v>1366</v>
      </c>
      <c r="AD266" s="102">
        <f>IFERROR(ROUND((VLOOKUP($A266,'Из ГУГЛа'!$B:$Z,AD$1,0)+AF266)*AE266,),VLOOKUP($A266,'Из ГУГЛа'!$B:$Z,AD$1,0))</f>
        <v>0</v>
      </c>
      <c r="AE266" s="100">
        <v>1</v>
      </c>
      <c r="AF266" s="100"/>
      <c r="AG266" s="103">
        <v>2605</v>
      </c>
      <c r="AH266" s="103" t="s">
        <v>1950</v>
      </c>
      <c r="AI266" s="102">
        <f>IFERROR(ROUND((VLOOKUP($A266,'Из ГУГЛа'!$B:$Z,AI$1,0)+AK266)*AJ266,),VLOOKUP($A266,'Из ГУГЛа'!$B:$Z,AI$1,0))</f>
        <v>0</v>
      </c>
      <c r="AJ266" s="100">
        <v>1</v>
      </c>
      <c r="AK266" s="100"/>
      <c r="AL266" s="103"/>
      <c r="AM266" s="103"/>
      <c r="AN266" s="102">
        <f>IFERROR(ROUND((VLOOKUP($A266,'Из ГУГЛа'!$B:$Z,AN$1,0)+AP266)*AO266,),VLOOKUP($A266,'Из ГУГЛа'!$B:$Z,AN$1,0))</f>
        <v>0</v>
      </c>
      <c r="AO266" s="100">
        <v>1</v>
      </c>
      <c r="AP266" s="100"/>
      <c r="AQ266" s="103"/>
      <c r="AR266" s="103"/>
    </row>
    <row r="267" spans="1:44" ht="40.5" thickTop="1" thickBot="1" x14ac:dyDescent="0.3">
      <c r="A267" s="57">
        <v>426729</v>
      </c>
      <c r="B267" s="57">
        <f>VLOOKUP($A267,'Выгр Кат'!$A:$T,B$1,0)</f>
        <v>426729</v>
      </c>
      <c r="C267" s="58" t="str">
        <f>VLOOKUP($A267,'Выгр Кат'!$A:$T,C$1,0)</f>
        <v>Жгут проводов системы зажигания для Лада Калина 16-ти клапанный двигатель, Е-газ</v>
      </c>
      <c r="D267" s="57" t="str">
        <f>VLOOKUP($A267,'Выгр Кат'!$A:$T,D$1,0)</f>
        <v>Y</v>
      </c>
      <c r="E267" s="57" t="str">
        <f>VLOOKUP($A267,'Выгр Кат'!$A:$T,E$1,0)</f>
        <v>1</v>
      </c>
      <c r="F267" s="57">
        <f>VLOOKUP($A267,'Выгр Кат'!$A:$T,F$1,0)</f>
        <v>0</v>
      </c>
      <c r="G267" s="57" t="str">
        <f>VLOOKUP($A267,'Выгр Кат'!$A:$T,G$1,0)</f>
        <v>11184372402645</v>
      </c>
      <c r="H267" s="57" t="str">
        <f>VLOOKUP($A267,'Выгр Кат'!$A:$T,H$1,0)</f>
        <v>11184-3724026</v>
      </c>
      <c r="I267" s="39" t="s">
        <v>1371</v>
      </c>
      <c r="J267" s="1" t="s">
        <v>526</v>
      </c>
      <c r="K267" s="47">
        <f>VLOOKUP(I267,Прайс!A:E,5,0)</f>
        <v>15000</v>
      </c>
      <c r="L267" s="7">
        <f>VLOOKUP(K267,Наценка!$A$1:$B$8,2,1)</f>
        <v>1.3</v>
      </c>
      <c r="M267" s="44">
        <f t="shared" si="85"/>
        <v>19500</v>
      </c>
      <c r="N267" s="62">
        <f t="shared" si="81"/>
        <v>19490</v>
      </c>
      <c r="O267" s="60">
        <f>VLOOKUP($A267,'Выгр Кат'!$A:$P,O$1,0)</f>
        <v>13000</v>
      </c>
      <c r="P267" s="60">
        <f>VLOOKUP($A267,'Выгр Кат'!$A:$P,P$1,0)</f>
        <v>16890</v>
      </c>
      <c r="Q267" s="73">
        <f t="shared" si="82"/>
        <v>-2000</v>
      </c>
      <c r="R267" s="73">
        <f t="shared" si="83"/>
        <v>-2600</v>
      </c>
      <c r="S267" s="97">
        <f t="shared" si="86"/>
        <v>19490</v>
      </c>
      <c r="T267" s="98">
        <f t="shared" si="87"/>
        <v>0.29933333333333323</v>
      </c>
      <c r="U267" s="98">
        <f t="shared" si="88"/>
        <v>-0.32983078602620086</v>
      </c>
      <c r="V267" s="98">
        <f t="shared" si="89"/>
        <v>-2.2933333333333361E-2</v>
      </c>
      <c r="W267" s="106">
        <f t="shared" si="84"/>
        <v>14656</v>
      </c>
      <c r="X267" s="102" t="str">
        <f>IFERROR(ROUND((VLOOKUP($A267,'Из ГУГЛа'!$B:$Z,X$1,0)+Z267)*Y267,),VLOOKUP($A267,'Из ГУГЛа'!$B:$Z,X$1,0))</f>
        <v/>
      </c>
      <c r="Y267" s="75">
        <v>1</v>
      </c>
      <c r="Z267" s="75">
        <v>0</v>
      </c>
      <c r="AA267" s="63" t="s">
        <v>1017</v>
      </c>
      <c r="AB267" s="63"/>
      <c r="AD267" s="102">
        <f>IFERROR(ROUND((VLOOKUP($A267,'Из ГУГЛа'!$B:$Z,AD$1,0)+AF267)*AE267,),VLOOKUP($A267,'Из ГУГЛа'!$B:$Z,AD$1,0))</f>
        <v>0</v>
      </c>
      <c r="AE267" s="100">
        <v>1</v>
      </c>
      <c r="AF267" s="100"/>
      <c r="AG267" s="103">
        <v>14656</v>
      </c>
      <c r="AH267" s="103" t="s">
        <v>1949</v>
      </c>
      <c r="AI267" s="102">
        <f>IFERROR(ROUND((VLOOKUP($A267,'Из ГУГЛа'!$B:$Z,AI$1,0)+AK267)*AJ267,),VLOOKUP($A267,'Из ГУГЛа'!$B:$Z,AI$1,0))</f>
        <v>0</v>
      </c>
      <c r="AJ267" s="100">
        <v>1</v>
      </c>
      <c r="AK267" s="100"/>
      <c r="AL267" s="103"/>
      <c r="AM267" s="103"/>
      <c r="AN267" s="102">
        <f>IFERROR(ROUND((VLOOKUP($A267,'Из ГУГЛа'!$B:$Z,AN$1,0)+AP267)*AO267,),VLOOKUP($A267,'Из ГУГЛа'!$B:$Z,AN$1,0))</f>
        <v>0</v>
      </c>
      <c r="AO267" s="100">
        <v>1</v>
      </c>
      <c r="AP267" s="100"/>
      <c r="AQ267" s="103"/>
      <c r="AR267" s="103"/>
    </row>
    <row r="268" spans="1:44" ht="53.25" thickTop="1" thickBot="1" x14ac:dyDescent="0.3">
      <c r="A268" s="57">
        <v>426867</v>
      </c>
      <c r="B268" s="57">
        <f>VLOOKUP($A268,'Выгр Кат'!$A:$T,B$1,0)</f>
        <v>426867</v>
      </c>
      <c r="C268" s="58" t="str">
        <f>VLOOKUP($A268,'Выгр Кат'!$A:$T,C$1,0)</f>
        <v>Жгут проводов системы зажигания для Шевроле Нива с Е-газ и датчиком фаз</v>
      </c>
      <c r="D268" s="57" t="str">
        <f>VLOOKUP($A268,'Выгр Кат'!$A:$T,D$1,0)</f>
        <v>Y</v>
      </c>
      <c r="E268" s="57" t="str">
        <f>VLOOKUP($A268,'Выгр Кат'!$A:$T,E$1,0)</f>
        <v>1</v>
      </c>
      <c r="F268" s="57">
        <f>VLOOKUP($A268,'Выгр Кат'!$A:$T,F$1,0)</f>
        <v>0</v>
      </c>
      <c r="G268" s="57" t="str">
        <f>VLOOKUP($A268,'Выгр Кат'!$A:$T,G$1,0)</f>
        <v>2123372402661</v>
      </c>
      <c r="H268" s="57" t="str">
        <f>VLOOKUP($A268,'Выгр Кат'!$A:$T,H$1,0)</f>
        <v>2123-3724026</v>
      </c>
      <c r="I268" s="39" t="s">
        <v>1466</v>
      </c>
      <c r="J268" s="1" t="s">
        <v>526</v>
      </c>
      <c r="K268" s="47">
        <f>VLOOKUP(I268,Прайс!A:E,5,0)</f>
        <v>15000</v>
      </c>
      <c r="L268" s="7">
        <f>VLOOKUP(K268,Наценка!$A$1:$B$8,2,1)</f>
        <v>1.3</v>
      </c>
      <c r="M268" s="44">
        <f t="shared" si="85"/>
        <v>19500</v>
      </c>
      <c r="N268" s="62">
        <f t="shared" si="81"/>
        <v>19490</v>
      </c>
      <c r="O268" s="60">
        <f>VLOOKUP($A268,'Выгр Кат'!$A:$P,O$1,0)</f>
        <v>15000</v>
      </c>
      <c r="P268" s="60">
        <f>VLOOKUP($A268,'Выгр Кат'!$A:$P,P$1,0)</f>
        <v>20490</v>
      </c>
      <c r="Q268" s="73">
        <f t="shared" si="82"/>
        <v>0</v>
      </c>
      <c r="R268" s="73">
        <f t="shared" si="83"/>
        <v>1000</v>
      </c>
      <c r="S268" s="97">
        <f t="shared" si="86"/>
        <v>19490</v>
      </c>
      <c r="T268" s="98">
        <f t="shared" si="87"/>
        <v>0.29933333333333323</v>
      </c>
      <c r="U268" s="98">
        <f t="shared" si="88"/>
        <v>-0.22965299684542587</v>
      </c>
      <c r="V268" s="98">
        <f t="shared" si="89"/>
        <v>5.6666666666666643E-2</v>
      </c>
      <c r="W268" s="106">
        <f t="shared" si="84"/>
        <v>15850</v>
      </c>
      <c r="X268" s="102">
        <f>IFERROR(ROUND((VLOOKUP($A268,'Из ГУГЛа'!$B:$Z,X$1,0)+Z268)*Y268,),VLOOKUP($A268,'Из ГУГЛа'!$B:$Z,X$1,0))</f>
        <v>20590</v>
      </c>
      <c r="Y268" s="75">
        <v>1</v>
      </c>
      <c r="Z268" s="75">
        <v>0</v>
      </c>
      <c r="AA268" s="63">
        <v>20590</v>
      </c>
      <c r="AB268" s="63" t="s">
        <v>1215</v>
      </c>
      <c r="AC268" s="48" t="s">
        <v>1374</v>
      </c>
      <c r="AD268" s="102">
        <f>IFERROR(ROUND((VLOOKUP($A268,'Из ГУГЛа'!$B:$Z,AD$1,0)+AF268)*AE268,),VLOOKUP($A268,'Из ГУГЛа'!$B:$Z,AD$1,0))</f>
        <v>0</v>
      </c>
      <c r="AE268" s="100">
        <v>1</v>
      </c>
      <c r="AF268" s="100"/>
      <c r="AG268" s="103">
        <v>15850</v>
      </c>
      <c r="AH268" s="103" t="s">
        <v>1948</v>
      </c>
      <c r="AI268" s="102">
        <f>IFERROR(ROUND((VLOOKUP($A268,'Из ГУГЛа'!$B:$Z,AI$1,0)+AK268)*AJ268,),VLOOKUP($A268,'Из ГУГЛа'!$B:$Z,AI$1,0))</f>
        <v>0</v>
      </c>
      <c r="AJ268" s="100">
        <v>1</v>
      </c>
      <c r="AK268" s="100"/>
      <c r="AL268" s="103"/>
      <c r="AM268" s="103"/>
      <c r="AN268" s="102">
        <f>IFERROR(ROUND((VLOOKUP($A268,'Из ГУГЛа'!$B:$Z,AN$1,0)+AP268)*AO268,),VLOOKUP($A268,'Из ГУГЛа'!$B:$Z,AN$1,0))</f>
        <v>0</v>
      </c>
      <c r="AO268" s="100">
        <v>1</v>
      </c>
      <c r="AP268" s="100"/>
      <c r="AQ268" s="103"/>
      <c r="AR268" s="103"/>
    </row>
    <row r="269" spans="1:44" ht="53.25" thickTop="1" thickBot="1" x14ac:dyDescent="0.3">
      <c r="A269" s="57">
        <v>426878</v>
      </c>
      <c r="B269" s="57">
        <f>VLOOKUP($A269,'Выгр Кат'!$A:$T,B$1,0)</f>
        <v>426878</v>
      </c>
      <c r="C269" s="58" t="str">
        <f>VLOOKUP($A269,'Выгр Кат'!$A:$T,C$1,0)</f>
        <v>Жгут проводов системы зажигания для Шевроле Нива с Е-газ, Евро-5</v>
      </c>
      <c r="D269" s="57" t="str">
        <f>VLOOKUP($A269,'Выгр Кат'!$A:$T,D$1,0)</f>
        <v>Y</v>
      </c>
      <c r="E269" s="57" t="str">
        <f>VLOOKUP($A269,'Выгр Кат'!$A:$T,E$1,0)</f>
        <v>1</v>
      </c>
      <c r="F269" s="57">
        <f>VLOOKUP($A269,'Выгр Кат'!$A:$T,F$1,0)</f>
        <v>0</v>
      </c>
      <c r="G269" s="57" t="str">
        <f>VLOOKUP($A269,'Выгр Кат'!$A:$T,G$1,0)</f>
        <v>2123372402681</v>
      </c>
      <c r="H269" s="57" t="str">
        <f>VLOOKUP($A269,'Выгр Кат'!$A:$T,H$1,0)</f>
        <v>2123-3724026</v>
      </c>
      <c r="I269" s="39" t="s">
        <v>1467</v>
      </c>
      <c r="J269" s="1" t="s">
        <v>526</v>
      </c>
      <c r="K269" s="47">
        <f>VLOOKUP(I269,Прайс!A:E,5,0)</f>
        <v>15000</v>
      </c>
      <c r="L269" s="7">
        <f>VLOOKUP(K269,Наценка!$A$1:$B$8,2,1)</f>
        <v>1.3</v>
      </c>
      <c r="M269" s="44">
        <f t="shared" si="85"/>
        <v>19500</v>
      </c>
      <c r="N269" s="62">
        <f t="shared" si="81"/>
        <v>19490</v>
      </c>
      <c r="O269" s="60">
        <f>VLOOKUP($A269,'Выгр Кат'!$A:$P,O$1,0)</f>
        <v>15000</v>
      </c>
      <c r="P269" s="60">
        <f>VLOOKUP($A269,'Выгр Кат'!$A:$P,P$1,0)</f>
        <v>20490</v>
      </c>
      <c r="Q269" s="73">
        <f t="shared" si="82"/>
        <v>0</v>
      </c>
      <c r="R269" s="73">
        <f t="shared" si="83"/>
        <v>1000</v>
      </c>
      <c r="S269" s="97">
        <f t="shared" si="86"/>
        <v>19490</v>
      </c>
      <c r="T269" s="98">
        <f t="shared" si="87"/>
        <v>0.29933333333333323</v>
      </c>
      <c r="U269" s="98">
        <f t="shared" si="88"/>
        <v>-0.20219590426844314</v>
      </c>
      <c r="V269" s="98">
        <f t="shared" si="89"/>
        <v>8.0799999999999983E-2</v>
      </c>
      <c r="W269" s="106">
        <f t="shared" si="84"/>
        <v>16212</v>
      </c>
      <c r="X269" s="102">
        <f>IFERROR(ROUND((VLOOKUP($A269,'Из ГУГЛа'!$B:$Z,X$1,0)+Z269)*Y269,),VLOOKUP($A269,'Из ГУГЛа'!$B:$Z,X$1,0))</f>
        <v>20590</v>
      </c>
      <c r="Y269" s="75">
        <v>1</v>
      </c>
      <c r="Z269" s="75">
        <v>0</v>
      </c>
      <c r="AA269" s="63">
        <v>20590</v>
      </c>
      <c r="AB269" s="63" t="s">
        <v>1215</v>
      </c>
      <c r="AC269" s="48" t="s">
        <v>1377</v>
      </c>
      <c r="AD269" s="102">
        <f>IFERROR(ROUND((VLOOKUP($A269,'Из ГУГЛа'!$B:$Z,AD$1,0)+AF269)*AE269,),VLOOKUP($A269,'Из ГУГЛа'!$B:$Z,AD$1,0))</f>
        <v>0</v>
      </c>
      <c r="AE269" s="100">
        <v>1</v>
      </c>
      <c r="AF269" s="100"/>
      <c r="AG269" s="103">
        <v>16212</v>
      </c>
      <c r="AH269" s="103" t="s">
        <v>1947</v>
      </c>
      <c r="AI269" s="102">
        <f>IFERROR(ROUND((VLOOKUP($A269,'Из ГУГЛа'!$B:$Z,AI$1,0)+AK269)*AJ269,),VLOOKUP($A269,'Из ГУГЛа'!$B:$Z,AI$1,0))</f>
        <v>0</v>
      </c>
      <c r="AJ269" s="100">
        <v>1</v>
      </c>
      <c r="AK269" s="100"/>
      <c r="AL269" s="103"/>
      <c r="AM269" s="103"/>
      <c r="AN269" s="102">
        <f>IFERROR(ROUND((VLOOKUP($A269,'Из ГУГЛа'!$B:$Z,AN$1,0)+AP269)*AO269,),VLOOKUP($A269,'Из ГУГЛа'!$B:$Z,AN$1,0))</f>
        <v>0</v>
      </c>
      <c r="AO269" s="100">
        <v>1</v>
      </c>
      <c r="AP269" s="100"/>
      <c r="AQ269" s="103"/>
      <c r="AR269" s="103"/>
    </row>
    <row r="270" spans="1:44" ht="66" thickTop="1" thickBot="1" x14ac:dyDescent="0.3">
      <c r="A270" s="57">
        <v>426756</v>
      </c>
      <c r="B270" s="57">
        <f>VLOOKUP($A270,'Выгр Кат'!$A:$T,B$1,0)</f>
        <v>426756</v>
      </c>
      <c r="C270" s="58" t="str">
        <f>VLOOKUP($A270,'Выгр Кат'!$A:$T,C$1,0)</f>
        <v>Жгут проводов системы зажигания старого образца для Шевроле Нива</v>
      </c>
      <c r="D270" s="57" t="str">
        <f>VLOOKUP($A270,'Выгр Кат'!$A:$T,D$1,0)</f>
        <v>Y</v>
      </c>
      <c r="E270" s="57" t="str">
        <f>VLOOKUP($A270,'Выгр Кат'!$A:$T,E$1,0)</f>
        <v>1</v>
      </c>
      <c r="F270" s="57">
        <f>VLOOKUP($A270,'Выгр Кат'!$A:$T,F$1,0)</f>
        <v>0</v>
      </c>
      <c r="G270" s="57" t="str">
        <f>VLOOKUP($A270,'Выгр Кат'!$A:$T,G$1,0)</f>
        <v>2123372402620</v>
      </c>
      <c r="H270" s="57" t="str">
        <f>VLOOKUP($A270,'Выгр Кат'!$A:$T,H$1,0)</f>
        <v>2123-3724026</v>
      </c>
      <c r="I270" s="39" t="s">
        <v>1380</v>
      </c>
      <c r="J270" s="1" t="s">
        <v>526</v>
      </c>
      <c r="K270" s="46">
        <f>O270</f>
        <v>12000</v>
      </c>
      <c r="L270" s="7">
        <f>VLOOKUP(K270,Наценка!$A$1:$B$8,2,1)</f>
        <v>1.3</v>
      </c>
      <c r="M270" s="44">
        <f t="shared" si="85"/>
        <v>15600</v>
      </c>
      <c r="N270" s="62">
        <f t="shared" si="81"/>
        <v>15590</v>
      </c>
      <c r="O270" s="60">
        <f>VLOOKUP($A270,'Выгр Кат'!$A:$P,O$1,0)</f>
        <v>12000</v>
      </c>
      <c r="P270" s="60">
        <f>VLOOKUP($A270,'Выгр Кат'!$A:$P,P$1,0)</f>
        <v>16390</v>
      </c>
      <c r="Q270" s="73">
        <f t="shared" si="82"/>
        <v>0</v>
      </c>
      <c r="R270" s="73">
        <f t="shared" si="83"/>
        <v>800</v>
      </c>
      <c r="S270" s="97">
        <f t="shared" si="86"/>
        <v>15590</v>
      </c>
      <c r="T270" s="98">
        <f t="shared" si="87"/>
        <v>0.29916666666666658</v>
      </c>
      <c r="U270" s="98">
        <f t="shared" si="88"/>
        <v>-0.28832327906784561</v>
      </c>
      <c r="V270" s="98">
        <f t="shared" si="89"/>
        <v>8.4166666666667389E-3</v>
      </c>
      <c r="W270" s="106">
        <f t="shared" si="84"/>
        <v>12101</v>
      </c>
      <c r="X270" s="102">
        <f>IFERROR(ROUND((VLOOKUP($A270,'Из ГУГЛа'!$B:$Z,X$1,0)+Z270)*Y270,),VLOOKUP($A270,'Из ГУГЛа'!$B:$Z,X$1,0))</f>
        <v>16490</v>
      </c>
      <c r="Y270" s="75">
        <v>1</v>
      </c>
      <c r="Z270" s="75">
        <v>0</v>
      </c>
      <c r="AA270" s="63">
        <v>16490</v>
      </c>
      <c r="AB270" s="63" t="s">
        <v>1215</v>
      </c>
      <c r="AC270" s="48" t="s">
        <v>1381</v>
      </c>
      <c r="AD270" s="102">
        <f>IFERROR(ROUND((VLOOKUP($A270,'Из ГУГЛа'!$B:$Z,AD$1,0)+AF270)*AE270,),VLOOKUP($A270,'Из ГУГЛа'!$B:$Z,AD$1,0))</f>
        <v>0</v>
      </c>
      <c r="AE270" s="100">
        <v>1</v>
      </c>
      <c r="AF270" s="100"/>
      <c r="AG270" s="103">
        <v>12101</v>
      </c>
      <c r="AH270" s="103" t="s">
        <v>1946</v>
      </c>
      <c r="AI270" s="102">
        <f>IFERROR(ROUND((VLOOKUP($A270,'Из ГУГЛа'!$B:$Z,AI$1,0)+AK270)*AJ270,),VLOOKUP($A270,'Из ГУГЛа'!$B:$Z,AI$1,0))</f>
        <v>0</v>
      </c>
      <c r="AJ270" s="100">
        <v>1</v>
      </c>
      <c r="AK270" s="100"/>
      <c r="AL270" s="103"/>
      <c r="AM270" s="103"/>
      <c r="AN270" s="102">
        <f>IFERROR(ROUND((VLOOKUP($A270,'Из ГУГЛа'!$B:$Z,AN$1,0)+AP270)*AO270,),VLOOKUP($A270,'Из ГУГЛа'!$B:$Z,AN$1,0))</f>
        <v>0</v>
      </c>
      <c r="AO270" s="100">
        <v>1</v>
      </c>
      <c r="AP270" s="100"/>
      <c r="AQ270" s="103"/>
      <c r="AR270" s="103"/>
    </row>
    <row r="271" spans="1:44" ht="40.5" thickTop="1" thickBot="1" x14ac:dyDescent="0.3">
      <c r="A271" s="57">
        <v>426616</v>
      </c>
      <c r="B271" s="57">
        <f>VLOOKUP($A271,'Выгр Кат'!$A:$T,B$1,0)</f>
        <v>426616</v>
      </c>
      <c r="C271" s="58" t="str">
        <f>VLOOKUP($A271,'Выгр Кат'!$A:$T,C$1,0)</f>
        <v>Жгут проводов системы зажигания Январь 7.2 для ВАЗ 2108-21099</v>
      </c>
      <c r="D271" s="57" t="str">
        <f>VLOOKUP($A271,'Выгр Кат'!$A:$T,D$1,0)</f>
        <v>Y</v>
      </c>
      <c r="E271" s="57" t="str">
        <f>VLOOKUP($A271,'Выгр Кат'!$A:$T,E$1,0)</f>
        <v>1</v>
      </c>
      <c r="F271" s="57">
        <f>VLOOKUP($A271,'Выгр Кат'!$A:$T,F$1,0)</f>
        <v>0</v>
      </c>
      <c r="G271" s="57" t="str">
        <f>VLOOKUP($A271,'Выгр Кат'!$A:$T,G$1,0)</f>
        <v>21093372402680</v>
      </c>
      <c r="H271" s="57" t="str">
        <f>VLOOKUP($A271,'Выгр Кат'!$A:$T,H$1,0)</f>
        <v>21093-3724026</v>
      </c>
      <c r="I271" s="39" t="s">
        <v>1383</v>
      </c>
      <c r="J271" s="1" t="s">
        <v>526</v>
      </c>
      <c r="K271" s="47">
        <f>VLOOKUP(I271,Прайс!A:E,5,0)</f>
        <v>8000</v>
      </c>
      <c r="L271" s="7">
        <f>VLOOKUP(K271,Наценка!$A$1:$B$8,2,1)</f>
        <v>1.32</v>
      </c>
      <c r="M271" s="44">
        <f t="shared" si="85"/>
        <v>10560</v>
      </c>
      <c r="N271" s="62">
        <f t="shared" si="81"/>
        <v>10590</v>
      </c>
      <c r="O271" s="60">
        <f>VLOOKUP($A271,'Выгр Кат'!$A:$P,O$1,0)</f>
        <v>8000</v>
      </c>
      <c r="P271" s="60">
        <f>VLOOKUP($A271,'Выгр Кат'!$A:$P,P$1,0)</f>
        <v>10890</v>
      </c>
      <c r="Q271" s="73">
        <f t="shared" si="82"/>
        <v>0</v>
      </c>
      <c r="R271" s="73">
        <f t="shared" si="83"/>
        <v>300</v>
      </c>
      <c r="S271" s="97">
        <f t="shared" si="86"/>
        <v>10590</v>
      </c>
      <c r="T271" s="98">
        <f t="shared" si="87"/>
        <v>0.32374999999999998</v>
      </c>
      <c r="U271" s="98">
        <f t="shared" si="88"/>
        <v>-1.6119746689694875E-2</v>
      </c>
      <c r="V271" s="98">
        <f t="shared" si="89"/>
        <v>0.30275000000000007</v>
      </c>
      <c r="W271" s="106">
        <f t="shared" si="84"/>
        <v>10422</v>
      </c>
      <c r="X271" s="102">
        <f>IFERROR(ROUND((VLOOKUP($A271,'Из ГУГЛа'!$B:$Z,X$1,0)+Z271)*Y271,),VLOOKUP($A271,'Из ГУГЛа'!$B:$Z,X$1,0))</f>
        <v>10990</v>
      </c>
      <c r="Y271" s="75">
        <v>1</v>
      </c>
      <c r="Z271" s="75">
        <v>0</v>
      </c>
      <c r="AA271" s="63">
        <v>10990</v>
      </c>
      <c r="AB271" s="63" t="s">
        <v>1215</v>
      </c>
      <c r="AC271" s="48" t="s">
        <v>803</v>
      </c>
      <c r="AD271" s="102">
        <f>IFERROR(ROUND((VLOOKUP($A271,'Из ГУГЛа'!$B:$Z,AD$1,0)+AF271)*AE271,),VLOOKUP($A271,'Из ГУГЛа'!$B:$Z,AD$1,0))</f>
        <v>0</v>
      </c>
      <c r="AE271" s="100">
        <v>1</v>
      </c>
      <c r="AF271" s="100"/>
      <c r="AG271" s="103">
        <v>10422</v>
      </c>
      <c r="AH271" s="103" t="s">
        <v>1945</v>
      </c>
      <c r="AI271" s="102">
        <f>IFERROR(ROUND((VLOOKUP($A271,'Из ГУГЛа'!$B:$Z,AI$1,0)+AK271)*AJ271,),VLOOKUP($A271,'Из ГУГЛа'!$B:$Z,AI$1,0))</f>
        <v>0</v>
      </c>
      <c r="AJ271" s="100">
        <v>1</v>
      </c>
      <c r="AK271" s="100"/>
      <c r="AL271" s="103"/>
      <c r="AM271" s="103"/>
      <c r="AN271" s="102">
        <f>IFERROR(ROUND((VLOOKUP($A271,'Из ГУГЛа'!$B:$Z,AN$1,0)+AP271)*AO271,),VLOOKUP($A271,'Из ГУГЛа'!$B:$Z,AN$1,0))</f>
        <v>0</v>
      </c>
      <c r="AO271" s="100">
        <v>1</v>
      </c>
      <c r="AP271" s="100"/>
      <c r="AQ271" s="103"/>
      <c r="AR271" s="103"/>
    </row>
    <row r="272" spans="1:44" ht="40.5" thickTop="1" thickBot="1" x14ac:dyDescent="0.3">
      <c r="A272" s="57">
        <v>426719</v>
      </c>
      <c r="B272" s="57">
        <f>VLOOKUP($A272,'Выгр Кат'!$A:$T,B$1,0)</f>
        <v>426719</v>
      </c>
      <c r="C272" s="58" t="str">
        <f>VLOOKUP($A272,'Выгр Кат'!$A:$T,C$1,0)</f>
        <v>Жгут проводов фар и генератора для ВАЗ 2113-2115</v>
      </c>
      <c r="D272" s="57" t="str">
        <f>VLOOKUP($A272,'Выгр Кат'!$A:$T,D$1,0)</f>
        <v>Y</v>
      </c>
      <c r="E272" s="57" t="str">
        <f>VLOOKUP($A272,'Выгр Кат'!$A:$T,E$1,0)</f>
        <v>1</v>
      </c>
      <c r="F272" s="57">
        <f>VLOOKUP($A272,'Выгр Кат'!$A:$T,F$1,0)</f>
        <v>0</v>
      </c>
      <c r="G272" s="57" t="str">
        <f>VLOOKUP($A272,'Выгр Кат'!$A:$T,G$1,0)</f>
        <v>2114372401010</v>
      </c>
      <c r="H272" s="57" t="str">
        <f>VLOOKUP($A272,'Выгр Кат'!$A:$T,H$1,0)</f>
        <v>2114-3724010</v>
      </c>
      <c r="I272" s="39" t="s">
        <v>1393</v>
      </c>
      <c r="J272" s="1" t="s">
        <v>526</v>
      </c>
      <c r="K272" s="47">
        <f>VLOOKUP(I272,Прайс!A:E,5,0)</f>
        <v>4000</v>
      </c>
      <c r="L272" s="7">
        <f>VLOOKUP(K272,Наценка!$A$1:$B$8,2,1)</f>
        <v>1.4</v>
      </c>
      <c r="M272" s="44">
        <f t="shared" si="85"/>
        <v>5600</v>
      </c>
      <c r="N272" s="62">
        <f t="shared" si="81"/>
        <v>5590</v>
      </c>
      <c r="O272" s="60">
        <f>VLOOKUP($A272,'Выгр Кат'!$A:$P,O$1,0)</f>
        <v>4000</v>
      </c>
      <c r="P272" s="60">
        <f>VLOOKUP($A272,'Выгр Кат'!$A:$P,P$1,0)</f>
        <v>5590</v>
      </c>
      <c r="Q272" s="73">
        <f t="shared" si="82"/>
        <v>0</v>
      </c>
      <c r="R272" s="73">
        <f t="shared" si="83"/>
        <v>0</v>
      </c>
      <c r="S272" s="97">
        <f t="shared" si="86"/>
        <v>5590</v>
      </c>
      <c r="T272" s="98">
        <f t="shared" si="87"/>
        <v>0.39749999999999996</v>
      </c>
      <c r="U272" s="98">
        <f t="shared" si="88"/>
        <v>-0.12024048096192384</v>
      </c>
      <c r="V272" s="98">
        <f t="shared" si="89"/>
        <v>0.24750000000000005</v>
      </c>
      <c r="W272" s="106">
        <f t="shared" si="84"/>
        <v>4990</v>
      </c>
      <c r="X272" s="102">
        <f>IFERROR(ROUND((VLOOKUP($A272,'Из ГУГЛа'!$B:$Z,X$1,0)+Z272)*Y272,),VLOOKUP($A272,'Из ГУГЛа'!$B:$Z,X$1,0))</f>
        <v>4990</v>
      </c>
      <c r="Y272" s="75">
        <v>1</v>
      </c>
      <c r="Z272" s="75">
        <v>0</v>
      </c>
      <c r="AA272" s="63">
        <v>4990</v>
      </c>
      <c r="AB272" s="63" t="s">
        <v>1215</v>
      </c>
      <c r="AC272" s="48" t="s">
        <v>1477</v>
      </c>
      <c r="AD272" s="102">
        <f>IFERROR(ROUND((VLOOKUP($A272,'Из ГУГЛа'!$B:$Z,AD$1,0)+AF272)*AE272,),VLOOKUP($A272,'Из ГУГЛа'!$B:$Z,AD$1,0))</f>
        <v>0</v>
      </c>
      <c r="AE272" s="100">
        <v>1</v>
      </c>
      <c r="AF272" s="100"/>
      <c r="AG272" s="103">
        <v>5677</v>
      </c>
      <c r="AH272" s="103" t="s">
        <v>1944</v>
      </c>
      <c r="AI272" s="102">
        <f>IFERROR(ROUND((VLOOKUP($A272,'Из ГУГЛа'!$B:$Z,AI$1,0)+AK272)*AJ272,),VLOOKUP($A272,'Из ГУГЛа'!$B:$Z,AI$1,0))</f>
        <v>0</v>
      </c>
      <c r="AJ272" s="100">
        <v>1</v>
      </c>
      <c r="AK272" s="100"/>
      <c r="AL272" s="103"/>
      <c r="AM272" s="103"/>
      <c r="AN272" s="102">
        <f>IFERROR(ROUND((VLOOKUP($A272,'Из ГУГЛа'!$B:$Z,AN$1,0)+AP272)*AO272,),VLOOKUP($A272,'Из ГУГЛа'!$B:$Z,AN$1,0))</f>
        <v>0</v>
      </c>
      <c r="AO272" s="100">
        <v>1</v>
      </c>
      <c r="AP272" s="100"/>
      <c r="AQ272" s="103"/>
      <c r="AR272" s="103"/>
    </row>
    <row r="273" spans="1:44" ht="40.5" thickTop="1" thickBot="1" x14ac:dyDescent="0.3">
      <c r="A273" s="57">
        <v>426723</v>
      </c>
      <c r="B273" s="57">
        <f>VLOOKUP($A273,'Выгр Кат'!$A:$T,B$1,0)</f>
        <v>426723</v>
      </c>
      <c r="C273" s="58" t="str">
        <f>VLOOKUP($A273,'Выгр Кат'!$A:$T,C$1,0)</f>
        <v xml:space="preserve">Жгут проводов фар и генератора для ВАЗ 2113-2115 Е-газ, без ПТФ </v>
      </c>
      <c r="D273" s="57" t="str">
        <f>VLOOKUP($A273,'Выгр Кат'!$A:$T,D$1,0)</f>
        <v>Y</v>
      </c>
      <c r="E273" s="57" t="str">
        <f>VLOOKUP($A273,'Выгр Кат'!$A:$T,E$1,0)</f>
        <v>1</v>
      </c>
      <c r="F273" s="57">
        <f>VLOOKUP($A273,'Выгр Кат'!$A:$T,F$1,0)</f>
        <v>0</v>
      </c>
      <c r="G273" s="57" t="str">
        <f>VLOOKUP($A273,'Выгр Кат'!$A:$T,G$1,0)</f>
        <v>211543724010</v>
      </c>
      <c r="H273" s="57" t="str">
        <f>VLOOKUP($A273,'Выгр Кат'!$A:$T,H$1,0)</f>
        <v>21154-3724010</v>
      </c>
      <c r="I273" s="39" t="s">
        <v>1396</v>
      </c>
      <c r="J273" s="1" t="s">
        <v>526</v>
      </c>
      <c r="K273" s="47">
        <f>VLOOKUP(I273,Прайс!A:E,5,0)</f>
        <v>4000</v>
      </c>
      <c r="L273" s="7">
        <f>VLOOKUP(K273,Наценка!$A$1:$B$8,2,1)</f>
        <v>1.4</v>
      </c>
      <c r="M273" s="44">
        <f t="shared" si="85"/>
        <v>5600</v>
      </c>
      <c r="N273" s="62">
        <f t="shared" si="81"/>
        <v>5590</v>
      </c>
      <c r="O273" s="60">
        <f>VLOOKUP($A273,'Выгр Кат'!$A:$P,O$1,0)</f>
        <v>3500</v>
      </c>
      <c r="P273" s="60">
        <f>VLOOKUP($A273,'Выгр Кат'!$A:$P,P$1,0)</f>
        <v>4890</v>
      </c>
      <c r="Q273" s="73">
        <f t="shared" si="82"/>
        <v>-500</v>
      </c>
      <c r="R273" s="73">
        <f t="shared" si="83"/>
        <v>-700</v>
      </c>
      <c r="S273" s="97">
        <f t="shared" si="86"/>
        <v>5590</v>
      </c>
      <c r="T273" s="98">
        <f t="shared" si="87"/>
        <v>0.39749999999999996</v>
      </c>
      <c r="U273" s="98">
        <f t="shared" si="88"/>
        <v>-0.12024048096192384</v>
      </c>
      <c r="V273" s="98">
        <f t="shared" si="89"/>
        <v>0.24750000000000005</v>
      </c>
      <c r="W273" s="106">
        <f t="shared" si="84"/>
        <v>4990</v>
      </c>
      <c r="X273" s="102">
        <f>IFERROR(ROUND((VLOOKUP($A273,'Из ГУГЛа'!$B:$Z,X$1,0)+Z273)*Y273,),VLOOKUP($A273,'Из ГУГЛа'!$B:$Z,X$1,0))</f>
        <v>4990</v>
      </c>
      <c r="Y273" s="75">
        <v>1</v>
      </c>
      <c r="Z273" s="75">
        <v>0</v>
      </c>
      <c r="AA273" s="63">
        <v>4990</v>
      </c>
      <c r="AB273" s="63" t="s">
        <v>1215</v>
      </c>
      <c r="AC273" s="48" t="s">
        <v>1478</v>
      </c>
      <c r="AD273" s="102">
        <f>IFERROR(ROUND((VLOOKUP($A273,'Из ГУГЛа'!$B:$Z,AD$1,0)+AF273)*AE273,),VLOOKUP($A273,'Из ГУГЛа'!$B:$Z,AD$1,0))</f>
        <v>0</v>
      </c>
      <c r="AE273" s="100">
        <v>1</v>
      </c>
      <c r="AF273" s="100"/>
      <c r="AG273" s="103">
        <v>5145</v>
      </c>
      <c r="AH273" s="103" t="s">
        <v>1943</v>
      </c>
      <c r="AI273" s="102">
        <f>IFERROR(ROUND((VLOOKUP($A273,'Из ГУГЛа'!$B:$Z,AI$1,0)+AK273)*AJ273,),VLOOKUP($A273,'Из ГУГЛа'!$B:$Z,AI$1,0))</f>
        <v>0</v>
      </c>
      <c r="AJ273" s="100">
        <v>1</v>
      </c>
      <c r="AK273" s="100"/>
      <c r="AL273" s="103"/>
      <c r="AM273" s="103"/>
      <c r="AN273" s="102">
        <f>IFERROR(ROUND((VLOOKUP($A273,'Из ГУГЛа'!$B:$Z,AN$1,0)+AP273)*AO273,),VLOOKUP($A273,'Из ГУГЛа'!$B:$Z,AN$1,0))</f>
        <v>0</v>
      </c>
      <c r="AO273" s="100">
        <v>1</v>
      </c>
      <c r="AP273" s="100"/>
      <c r="AQ273" s="103"/>
      <c r="AR273" s="103"/>
    </row>
    <row r="274" spans="1:44" ht="27.75" thickTop="1" thickBot="1" x14ac:dyDescent="0.3">
      <c r="A274" s="57">
        <v>426428</v>
      </c>
      <c r="B274" s="57">
        <f>VLOOKUP($A274,'Выгр Кат'!$A:$T,B$1,0)</f>
        <v>426428</v>
      </c>
      <c r="C274" s="58" t="str">
        <f>VLOOKUP($A274,'Выгр Кат'!$A:$T,C$1,0)</f>
        <v>Жгут проводов фар на ленте для ВАЗ 2108-21099</v>
      </c>
      <c r="D274" s="57" t="str">
        <f>VLOOKUP($A274,'Выгр Кат'!$A:$T,D$1,0)</f>
        <v>Y</v>
      </c>
      <c r="E274" s="57" t="str">
        <f>VLOOKUP($A274,'Выгр Кат'!$A:$T,E$1,0)</f>
        <v>1</v>
      </c>
      <c r="F274" s="57">
        <f>VLOOKUP($A274,'Выгр Кат'!$A:$T,F$1,0)</f>
        <v>0</v>
      </c>
      <c r="G274" s="57" t="str">
        <f>VLOOKUP($A274,'Выгр Кат'!$A:$T,G$1,0)</f>
        <v>2108372401001</v>
      </c>
      <c r="H274" s="57" t="str">
        <f>VLOOKUP($A274,'Выгр Кат'!$A:$T,H$1,0)</f>
        <v>2108-3724010</v>
      </c>
      <c r="I274" s="39" t="s">
        <v>1855</v>
      </c>
      <c r="J274" s="1" t="s">
        <v>526</v>
      </c>
      <c r="K274" s="47">
        <f>VLOOKUP(I274,Прайс!A:E,5,0)</f>
        <v>1800</v>
      </c>
      <c r="L274" s="7">
        <f>VLOOKUP(K274,Наценка!$A$1:$B$8,2,1)</f>
        <v>1.5</v>
      </c>
      <c r="M274" s="44">
        <f t="shared" si="85"/>
        <v>2700</v>
      </c>
      <c r="N274" s="62">
        <f t="shared" si="81"/>
        <v>2690</v>
      </c>
      <c r="O274" s="60">
        <f>VLOOKUP($A274,'Выгр Кат'!$A:$P,O$1,0)</f>
        <v>1800</v>
      </c>
      <c r="P274" s="60">
        <f>VLOOKUP($A274,'Выгр Кат'!$A:$P,P$1,0)</f>
        <v>2390</v>
      </c>
      <c r="Q274" s="73">
        <f t="shared" si="82"/>
        <v>0</v>
      </c>
      <c r="R274" s="73">
        <f t="shared" si="83"/>
        <v>-300</v>
      </c>
      <c r="S274" s="97">
        <f t="shared" si="86"/>
        <v>2690</v>
      </c>
      <c r="T274" s="98">
        <f t="shared" si="87"/>
        <v>0.49444444444444446</v>
      </c>
      <c r="U274" s="98">
        <f t="shared" si="88"/>
        <v>-8.0321285140562249E-2</v>
      </c>
      <c r="V274" s="98">
        <f t="shared" si="89"/>
        <v>0.3833333333333333</v>
      </c>
      <c r="W274" s="106">
        <f t="shared" si="84"/>
        <v>2490</v>
      </c>
      <c r="X274" s="102">
        <f>IFERROR(ROUND((VLOOKUP($A274,'Из ГУГЛа'!$B:$Z,X$1,0)+Z274)*Y274,),VLOOKUP($A274,'Из ГУГЛа'!$B:$Z,X$1,0))</f>
        <v>2490</v>
      </c>
      <c r="Y274" s="75">
        <v>1</v>
      </c>
      <c r="Z274" s="75">
        <v>0</v>
      </c>
      <c r="AA274" s="63">
        <v>2490</v>
      </c>
      <c r="AB274" s="63" t="s">
        <v>1215</v>
      </c>
      <c r="AC274" s="48" t="s">
        <v>1479</v>
      </c>
      <c r="AD274" s="102">
        <f>IFERROR(ROUND((VLOOKUP($A274,'Из ГУГЛа'!$B:$Z,AD$1,0)+AF274)*AE274,),VLOOKUP($A274,'Из ГУГЛа'!$B:$Z,AD$1,0))</f>
        <v>0</v>
      </c>
      <c r="AE274" s="100">
        <v>1</v>
      </c>
      <c r="AF274" s="100"/>
      <c r="AG274" s="103">
        <v>2532</v>
      </c>
      <c r="AH274" s="103" t="s">
        <v>1942</v>
      </c>
      <c r="AI274" s="102">
        <f>IFERROR(ROUND((VLOOKUP($A274,'Из ГУГЛа'!$B:$Z,AI$1,0)+AK274)*AJ274,),VLOOKUP($A274,'Из ГУГЛа'!$B:$Z,AI$1,0))</f>
        <v>0</v>
      </c>
      <c r="AJ274" s="100">
        <v>1</v>
      </c>
      <c r="AK274" s="100"/>
      <c r="AL274" s="103"/>
      <c r="AM274" s="103"/>
      <c r="AN274" s="102">
        <f>IFERROR(ROUND((VLOOKUP($A274,'Из ГУГЛа'!$B:$Z,AN$1,0)+AP274)*AO274,),VLOOKUP($A274,'Из ГУГЛа'!$B:$Z,AN$1,0))</f>
        <v>0</v>
      </c>
      <c r="AO274" s="100">
        <v>1</v>
      </c>
      <c r="AP274" s="100"/>
      <c r="AQ274" s="103"/>
      <c r="AR274" s="103"/>
    </row>
    <row r="275" spans="1:44" ht="40.5" thickTop="1" thickBot="1" x14ac:dyDescent="0.3">
      <c r="A275" s="57">
        <v>426942</v>
      </c>
      <c r="B275" s="57">
        <f>VLOOKUP($A275,'Выгр Кат'!$A:$T,B$1,0)</f>
        <v>426942</v>
      </c>
      <c r="C275" s="58" t="str">
        <f>VLOOKUP($A275,'Выгр Кат'!$A:$T,C$1,0)</f>
        <v>Жгут системы зажигания для Лада Приора</v>
      </c>
      <c r="D275" s="57" t="str">
        <f>VLOOKUP($A275,'Выгр Кат'!$A:$T,D$1,0)</f>
        <v>Y</v>
      </c>
      <c r="E275" s="57" t="str">
        <f>VLOOKUP($A275,'Выгр Кат'!$A:$T,E$1,0)</f>
        <v>1</v>
      </c>
      <c r="F275" s="57">
        <f>VLOOKUP($A275,'Выгр Кат'!$A:$T,F$1,0)</f>
        <v>0</v>
      </c>
      <c r="G275" s="57" t="str">
        <f>VLOOKUP($A275,'Выгр Кат'!$A:$T,G$1,0)</f>
        <v>217023724026</v>
      </c>
      <c r="H275" s="57" t="str">
        <f>VLOOKUP($A275,'Выгр Кат'!$A:$T,H$1,0)</f>
        <v>21702-3724026</v>
      </c>
      <c r="I275" s="39" t="s">
        <v>1413</v>
      </c>
      <c r="J275" s="1" t="s">
        <v>526</v>
      </c>
      <c r="K275" s="46">
        <f>O275</f>
        <v>8000</v>
      </c>
      <c r="L275" s="7">
        <f>VLOOKUP(K275,Наценка!$A$1:$B$8,2,1)</f>
        <v>1.32</v>
      </c>
      <c r="M275" s="44">
        <f t="shared" si="85"/>
        <v>10560</v>
      </c>
      <c r="N275" s="62">
        <f t="shared" si="81"/>
        <v>10590</v>
      </c>
      <c r="O275" s="60">
        <f>VLOOKUP($A275,'Выгр Кат'!$A:$P,O$1,0)</f>
        <v>8000</v>
      </c>
      <c r="P275" s="60">
        <f>VLOOKUP($A275,'Выгр Кат'!$A:$P,P$1,0)</f>
        <v>12290</v>
      </c>
      <c r="Q275" s="73">
        <f t="shared" si="82"/>
        <v>0</v>
      </c>
      <c r="R275" s="73">
        <f t="shared" si="83"/>
        <v>1700</v>
      </c>
      <c r="S275" s="97">
        <f t="shared" si="86"/>
        <v>10590</v>
      </c>
      <c r="T275" s="98">
        <f t="shared" si="87"/>
        <v>0.32374999999999998</v>
      </c>
      <c r="U275" s="98">
        <f t="shared" si="88"/>
        <v>2.5400331308669245E-2</v>
      </c>
      <c r="V275" s="98">
        <f t="shared" si="89"/>
        <v>0.35824999999999996</v>
      </c>
      <c r="W275" s="106">
        <f t="shared" si="84"/>
        <v>10866</v>
      </c>
      <c r="X275" s="102">
        <f>IFERROR(ROUND((VLOOKUP($A275,'Из ГУГЛа'!$B:$Z,X$1,0)+Z275)*Y275,),VLOOKUP($A275,'Из ГУГЛа'!$B:$Z,X$1,0))</f>
        <v>12390</v>
      </c>
      <c r="Y275" s="75">
        <v>1</v>
      </c>
      <c r="Z275" s="75">
        <v>0</v>
      </c>
      <c r="AA275" s="63">
        <v>12390</v>
      </c>
      <c r="AB275" s="63" t="s">
        <v>1215</v>
      </c>
      <c r="AC275" s="48" t="s">
        <v>1414</v>
      </c>
      <c r="AD275" s="102">
        <f>IFERROR(ROUND((VLOOKUP($A275,'Из ГУГЛа'!$B:$Z,AD$1,0)+AF275)*AE275,),VLOOKUP($A275,'Из ГУГЛа'!$B:$Z,AD$1,0))</f>
        <v>0</v>
      </c>
      <c r="AE275" s="100">
        <v>1</v>
      </c>
      <c r="AF275" s="100"/>
      <c r="AG275" s="103">
        <v>10866</v>
      </c>
      <c r="AH275" s="103" t="s">
        <v>1925</v>
      </c>
      <c r="AI275" s="102">
        <f>IFERROR(ROUND((VLOOKUP($A275,'Из ГУГЛа'!$B:$Z,AI$1,0)+AK275)*AJ275,),VLOOKUP($A275,'Из ГУГЛа'!$B:$Z,AI$1,0))</f>
        <v>0</v>
      </c>
      <c r="AJ275" s="100">
        <v>1</v>
      </c>
      <c r="AK275" s="100"/>
      <c r="AL275" s="103"/>
      <c r="AM275" s="103"/>
      <c r="AN275" s="102">
        <f>IFERROR(ROUND((VLOOKUP($A275,'Из ГУГЛа'!$B:$Z,AN$1,0)+AP275)*AO275,),VLOOKUP($A275,'Из ГУГЛа'!$B:$Z,AN$1,0))</f>
        <v>0</v>
      </c>
      <c r="AO275" s="100">
        <v>1</v>
      </c>
      <c r="AP275" s="100"/>
      <c r="AQ275" s="103"/>
      <c r="AR275" s="103"/>
    </row>
    <row r="276" spans="1:44" ht="40.5" thickTop="1" thickBot="1" x14ac:dyDescent="0.3">
      <c r="A276" s="57">
        <v>426426</v>
      </c>
      <c r="B276" s="57">
        <f>VLOOKUP($A276,'Выгр Кат'!$A:$T,B$1,0)</f>
        <v>426426</v>
      </c>
      <c r="C276" s="58" t="str">
        <f>VLOOKUP($A276,'Выгр Кат'!$A:$T,C$1,0)</f>
        <v>Жгут соединения бензонасоса со жгутом ЭБУ для ВАЗ 2108-21099</v>
      </c>
      <c r="D276" s="57" t="str">
        <f>VLOOKUP($A276,'Выгр Кат'!$A:$T,D$1,0)</f>
        <v>Y</v>
      </c>
      <c r="E276" s="57" t="str">
        <f>VLOOKUP($A276,'Выгр Кат'!$A:$T,E$1,0)</f>
        <v>1</v>
      </c>
      <c r="F276" s="57">
        <f>VLOOKUP($A276,'Выгр Кат'!$A:$T,F$1,0)</f>
        <v>0</v>
      </c>
      <c r="G276" s="57" t="str">
        <f>VLOOKUP($A276,'Выгр Кат'!$A:$T,G$1,0)</f>
        <v>210823724037</v>
      </c>
      <c r="H276" s="57" t="str">
        <f>VLOOKUP($A276,'Выгр Кат'!$A:$T,H$1,0)</f>
        <v>21082-3724037</v>
      </c>
      <c r="I276" s="39" t="s">
        <v>1418</v>
      </c>
      <c r="J276" s="1" t="s">
        <v>526</v>
      </c>
      <c r="K276" s="47">
        <f>VLOOKUP(I276,Прайс!A:E,5,0)</f>
        <v>500</v>
      </c>
      <c r="L276" s="7">
        <f>VLOOKUP(K276,Наценка!$A$1:$B$8,2,1)</f>
        <v>1.63</v>
      </c>
      <c r="M276" s="44">
        <f t="shared" si="85"/>
        <v>815</v>
      </c>
      <c r="N276" s="62">
        <f t="shared" si="81"/>
        <v>819</v>
      </c>
      <c r="O276" s="60">
        <f>VLOOKUP($A276,'Выгр Кат'!$A:$P,O$1,0)</f>
        <v>500</v>
      </c>
      <c r="P276" s="60">
        <f>VLOOKUP($A276,'Выгр Кат'!$A:$P,P$1,0)</f>
        <v>859</v>
      </c>
      <c r="Q276" s="73">
        <f t="shared" si="82"/>
        <v>0</v>
      </c>
      <c r="R276" s="73">
        <f t="shared" si="83"/>
        <v>40</v>
      </c>
      <c r="S276" s="97">
        <f t="shared" si="86"/>
        <v>819</v>
      </c>
      <c r="T276" s="98">
        <f t="shared" si="87"/>
        <v>0.6379999999999999</v>
      </c>
      <c r="U276" s="98">
        <f t="shared" si="88"/>
        <v>-0.61857707509881421</v>
      </c>
      <c r="V276" s="98">
        <f t="shared" si="89"/>
        <v>1.2000000000000011E-2</v>
      </c>
      <c r="W276" s="106">
        <f t="shared" si="84"/>
        <v>506</v>
      </c>
      <c r="X276" s="102">
        <f>IFERROR(ROUND((VLOOKUP($A276,'Из ГУГЛа'!$B:$Z,X$1,0)+Z276)*Y276,),VLOOKUP($A276,'Из ГУГЛа'!$B:$Z,X$1,0))</f>
        <v>890</v>
      </c>
      <c r="Y276" s="75">
        <v>1</v>
      </c>
      <c r="Z276" s="75">
        <v>0</v>
      </c>
      <c r="AA276" s="63">
        <v>890</v>
      </c>
      <c r="AB276" s="63" t="s">
        <v>1215</v>
      </c>
      <c r="AC276" s="48" t="s">
        <v>1480</v>
      </c>
      <c r="AD276" s="102">
        <f>IFERROR(ROUND((VLOOKUP($A276,'Из ГУГЛа'!$B:$Z,AD$1,0)+AF276)*AE276,),VLOOKUP($A276,'Из ГУГЛа'!$B:$Z,AD$1,0))</f>
        <v>0</v>
      </c>
      <c r="AE276" s="100">
        <v>1</v>
      </c>
      <c r="AF276" s="100"/>
      <c r="AG276" s="103">
        <v>506</v>
      </c>
      <c r="AH276" s="103" t="s">
        <v>1924</v>
      </c>
      <c r="AI276" s="102">
        <f>IFERROR(ROUND((VLOOKUP($A276,'Из ГУГЛа'!$B:$Z,AI$1,0)+AK276)*AJ276,),VLOOKUP($A276,'Из ГУГЛа'!$B:$Z,AI$1,0))</f>
        <v>0</v>
      </c>
      <c r="AJ276" s="100">
        <v>1</v>
      </c>
      <c r="AK276" s="100"/>
      <c r="AL276" s="103"/>
      <c r="AM276" s="103"/>
      <c r="AN276" s="102">
        <f>IFERROR(ROUND((VLOOKUP($A276,'Из ГУГЛа'!$B:$Z,AN$1,0)+AP276)*AO276,),VLOOKUP($A276,'Из ГУГЛа'!$B:$Z,AN$1,0))</f>
        <v>0</v>
      </c>
      <c r="AO276" s="100">
        <v>1</v>
      </c>
      <c r="AP276" s="100"/>
      <c r="AQ276" s="103"/>
      <c r="AR276" s="103"/>
    </row>
    <row r="277" spans="1:44" ht="53.25" thickTop="1" thickBot="1" x14ac:dyDescent="0.3">
      <c r="A277" s="57">
        <v>426435</v>
      </c>
      <c r="B277" s="57">
        <f>VLOOKUP($A277,'Выгр Кат'!$A:$T,B$1,0)</f>
        <v>426435</v>
      </c>
      <c r="C277" s="58" t="str">
        <f>VLOOKUP($A277,'Выгр Кат'!$A:$T,C$1,0)</f>
        <v>Жгут стеклоподъёмника универсальный на 2 кнопки для ВАЗ 2108-21099</v>
      </c>
      <c r="D277" s="57" t="str">
        <f>VLOOKUP($A277,'Выгр Кат'!$A:$T,D$1,0)</f>
        <v>Y</v>
      </c>
      <c r="E277" s="57" t="str">
        <f>VLOOKUP($A277,'Выгр Кат'!$A:$T,E$1,0)</f>
        <v>1</v>
      </c>
      <c r="F277" s="57">
        <f>VLOOKUP($A277,'Выгр Кат'!$A:$T,F$1,0)</f>
        <v>0</v>
      </c>
      <c r="G277" s="57" t="str">
        <f>VLOOKUP($A277,'Выгр Кат'!$A:$T,G$1,0)</f>
        <v>21083724226</v>
      </c>
      <c r="H277" s="57" t="str">
        <f>VLOOKUP($A277,'Выгр Кат'!$A:$T,H$1,0)</f>
        <v>2108-3724226</v>
      </c>
      <c r="I277" s="39" t="s">
        <v>1421</v>
      </c>
      <c r="J277" s="1" t="s">
        <v>526</v>
      </c>
      <c r="K277" s="47">
        <f>VLOOKUP(I277,Прайс!A:E,5,0)</f>
        <v>250</v>
      </c>
      <c r="L277" s="7">
        <f>VLOOKUP(K277,Наценка!$A$1:$B$8,2,1)</f>
        <v>1.8</v>
      </c>
      <c r="M277" s="44">
        <f t="shared" si="85"/>
        <v>450</v>
      </c>
      <c r="N277" s="62">
        <f t="shared" si="81"/>
        <v>449</v>
      </c>
      <c r="O277" s="60">
        <f>VLOOKUP($A277,'Выгр Кат'!$A:$P,O$1,0)</f>
        <v>250</v>
      </c>
      <c r="P277" s="60">
        <f>VLOOKUP($A277,'Выгр Кат'!$A:$P,P$1,0)</f>
        <v>519</v>
      </c>
      <c r="Q277" s="73">
        <f t="shared" si="82"/>
        <v>0</v>
      </c>
      <c r="R277" s="73">
        <f t="shared" si="83"/>
        <v>70</v>
      </c>
      <c r="S277" s="97">
        <f t="shared" si="86"/>
        <v>449</v>
      </c>
      <c r="T277" s="98">
        <f t="shared" si="87"/>
        <v>0.79600000000000004</v>
      </c>
      <c r="U277" s="98">
        <f t="shared" si="88"/>
        <v>0.18214936247723132</v>
      </c>
      <c r="V277" s="98">
        <f t="shared" si="89"/>
        <v>1.1960000000000002</v>
      </c>
      <c r="W277" s="106">
        <f t="shared" si="84"/>
        <v>549</v>
      </c>
      <c r="X277" s="102">
        <f>IFERROR(ROUND((VLOOKUP($A277,'Из ГУГЛа'!$B:$Z,X$1,0)+Z277)*Y277,),VLOOKUP($A277,'Из ГУГЛа'!$B:$Z,X$1,0))</f>
        <v>549</v>
      </c>
      <c r="Y277" s="75">
        <v>1</v>
      </c>
      <c r="Z277" s="75">
        <v>0</v>
      </c>
      <c r="AA277" s="63">
        <v>549</v>
      </c>
      <c r="AB277" s="63" t="s">
        <v>1215</v>
      </c>
      <c r="AC277" s="48" t="s">
        <v>1481</v>
      </c>
      <c r="AD277" s="102">
        <f>IFERROR(ROUND((VLOOKUP($A277,'Из ГУГЛа'!$B:$Z,AD$1,0)+AF277)*AE277,),VLOOKUP($A277,'Из ГУГЛа'!$B:$Z,AD$1,0))</f>
        <v>0</v>
      </c>
      <c r="AE277" s="100">
        <v>1</v>
      </c>
      <c r="AF277" s="100"/>
      <c r="AG277" s="103">
        <v>651</v>
      </c>
      <c r="AH277" s="103" t="s">
        <v>1923</v>
      </c>
      <c r="AI277" s="102">
        <f>IFERROR(ROUND((VLOOKUP($A277,'Из ГУГЛа'!$B:$Z,AI$1,0)+AK277)*AJ277,),VLOOKUP($A277,'Из ГУГЛа'!$B:$Z,AI$1,0))</f>
        <v>0</v>
      </c>
      <c r="AJ277" s="100">
        <v>1</v>
      </c>
      <c r="AK277" s="100"/>
      <c r="AL277" s="103"/>
      <c r="AM277" s="103"/>
      <c r="AN277" s="102">
        <f>IFERROR(ROUND((VLOOKUP($A277,'Из ГУГЛа'!$B:$Z,AN$1,0)+AP277)*AO277,),VLOOKUP($A277,'Из ГУГЛа'!$B:$Z,AN$1,0))</f>
        <v>0</v>
      </c>
      <c r="AO277" s="100">
        <v>1</v>
      </c>
      <c r="AP277" s="100"/>
      <c r="AQ277" s="103"/>
      <c r="AR277" s="103"/>
    </row>
    <row r="278" spans="1:44" ht="53.25" thickTop="1" thickBot="1" x14ac:dyDescent="0.3">
      <c r="A278" s="57">
        <v>426735</v>
      </c>
      <c r="B278" s="57">
        <f>VLOOKUP($A278,'Выгр Кат'!$A:$T,B$1,0)</f>
        <v>426735</v>
      </c>
      <c r="C278" s="58" t="str">
        <f>VLOOKUP($A278,'Выгр Кат'!$A:$T,C$1,0)</f>
        <v>Монтажный набор для подключения лобового стекла с обогревом для Лада Калина</v>
      </c>
      <c r="D278" s="57" t="str">
        <f>VLOOKUP($A278,'Выгр Кат'!$A:$T,D$1,0)</f>
        <v>Y</v>
      </c>
      <c r="E278" s="57" t="str">
        <f>VLOOKUP($A278,'Выгр Кат'!$A:$T,E$1,0)</f>
        <v>1</v>
      </c>
      <c r="F278" s="57">
        <f>VLOOKUP($A278,'Выгр Кат'!$A:$T,F$1,0)</f>
        <v>0</v>
      </c>
      <c r="G278" s="57">
        <f>VLOOKUP($A278,'Выгр Кат'!$A:$T,G$1,0)</f>
        <v>0</v>
      </c>
      <c r="H278" s="57">
        <f>VLOOKUP($A278,'Выгр Кат'!$A:$T,H$1,0)</f>
        <v>0</v>
      </c>
      <c r="I278" s="39" t="s">
        <v>1428</v>
      </c>
      <c r="J278" s="1" t="s">
        <v>526</v>
      </c>
      <c r="K278" s="47">
        <f>VLOOKUP(I278,Прайс!A:E,5,0)</f>
        <v>4000</v>
      </c>
      <c r="L278" s="7">
        <f>VLOOKUP(K278,Наценка!$A$1:$B$8,2,1)</f>
        <v>1.4</v>
      </c>
      <c r="M278" s="44">
        <f t="shared" si="85"/>
        <v>5600</v>
      </c>
      <c r="N278" s="62">
        <f t="shared" si="81"/>
        <v>5590</v>
      </c>
      <c r="O278" s="60">
        <f>VLOOKUP($A278,'Выгр Кат'!$A:$P,O$1,0)</f>
        <v>4000</v>
      </c>
      <c r="P278" s="60">
        <f>VLOOKUP($A278,'Выгр Кат'!$A:$P,P$1,0)</f>
        <v>5590</v>
      </c>
      <c r="Q278" s="73">
        <f t="shared" si="82"/>
        <v>0</v>
      </c>
      <c r="R278" s="73">
        <f t="shared" si="83"/>
        <v>0</v>
      </c>
      <c r="S278" s="97">
        <f t="shared" si="86"/>
        <v>5590</v>
      </c>
      <c r="T278" s="98">
        <f t="shared" si="87"/>
        <v>0.39749999999999996</v>
      </c>
      <c r="U278" s="98">
        <f t="shared" si="88"/>
        <v>1.7574692442882251E-2</v>
      </c>
      <c r="V278" s="98">
        <f t="shared" si="89"/>
        <v>0.4225000000000001</v>
      </c>
      <c r="W278" s="106">
        <f t="shared" si="84"/>
        <v>5690</v>
      </c>
      <c r="X278" s="102">
        <f>IFERROR(ROUND((VLOOKUP($A278,'Из ГУГЛа'!$B:$Z,X$1,0)+Z278)*Y278,),VLOOKUP($A278,'Из ГУГЛа'!$B:$Z,X$1,0))</f>
        <v>5690</v>
      </c>
      <c r="Y278" s="75">
        <v>1</v>
      </c>
      <c r="Z278" s="75">
        <v>0</v>
      </c>
      <c r="AA278" s="63">
        <v>5690</v>
      </c>
      <c r="AB278" s="63" t="s">
        <v>1215</v>
      </c>
      <c r="AC278" s="48" t="s">
        <v>1483</v>
      </c>
      <c r="AD278" s="102">
        <f>IFERROR(ROUND((VLOOKUP($A278,'Из ГУГЛа'!$B:$Z,AD$1,0)+AF278)*AE278,),VLOOKUP($A278,'Из ГУГЛа'!$B:$Z,AD$1,0))</f>
        <v>0</v>
      </c>
      <c r="AE278" s="100">
        <v>1</v>
      </c>
      <c r="AF278" s="100"/>
      <c r="AG278" s="103">
        <v>5769</v>
      </c>
      <c r="AH278" s="103" t="s">
        <v>2081</v>
      </c>
      <c r="AI278" s="102">
        <f>IFERROR(ROUND((VLOOKUP($A278,'Из ГУГЛа'!$B:$Z,AI$1,0)+AK278)*AJ278,),VLOOKUP($A278,'Из ГУГЛа'!$B:$Z,AI$1,0))</f>
        <v>0</v>
      </c>
      <c r="AJ278" s="100">
        <v>1</v>
      </c>
      <c r="AK278" s="100"/>
      <c r="AL278" s="103"/>
      <c r="AM278" s="103"/>
      <c r="AN278" s="102">
        <f>IFERROR(ROUND((VLOOKUP($A278,'Из ГУГЛа'!$B:$Z,AN$1,0)+AP278)*AO278,),VLOOKUP($A278,'Из ГУГЛа'!$B:$Z,AN$1,0))</f>
        <v>0</v>
      </c>
      <c r="AO278" s="100">
        <v>1</v>
      </c>
      <c r="AP278" s="100"/>
      <c r="AQ278" s="103"/>
      <c r="AR278" s="103"/>
    </row>
    <row r="279" spans="1:44" ht="40.5" thickTop="1" thickBot="1" x14ac:dyDescent="0.3">
      <c r="A279" s="57">
        <v>430022</v>
      </c>
      <c r="B279" s="57">
        <f>VLOOKUP($A279,'Выгр Кат'!$A:$T,B$1,0)</f>
        <v>430022</v>
      </c>
      <c r="C279" s="58" t="str">
        <f>VLOOKUP($A279,'Выгр Кат'!$A:$T,C$1,0)</f>
        <v xml:space="preserve">Жгут проводов системы зажигания 1118-3724026-30 для Лада Калина </v>
      </c>
      <c r="D279" s="57" t="str">
        <f>VLOOKUP($A279,'Выгр Кат'!$A:$T,D$1,0)</f>
        <v>Y</v>
      </c>
      <c r="E279" s="57" t="str">
        <f>VLOOKUP($A279,'Выгр Кат'!$A:$T,E$1,0)</f>
        <v>1</v>
      </c>
      <c r="F279" s="57">
        <f>VLOOKUP($A279,'Выгр Кат'!$A:$T,F$1,0)</f>
        <v>0</v>
      </c>
      <c r="G279" s="57" t="str">
        <f>VLOOKUP($A279,'Выгр Кат'!$A:$T,G$1,0)</f>
        <v>1118372402630</v>
      </c>
      <c r="H279" s="57" t="str">
        <f>VLOOKUP($A279,'Выгр Кат'!$A:$T,H$1,0)</f>
        <v>1118-3724026</v>
      </c>
      <c r="I279" s="39" t="s">
        <v>1496</v>
      </c>
      <c r="J279" s="1" t="s">
        <v>526</v>
      </c>
      <c r="K279" s="47">
        <f>VLOOKUP(I279,Прайс!A:E,5,0)</f>
        <v>15000</v>
      </c>
      <c r="L279" s="7">
        <f>VLOOKUP(K279,Наценка!$A$1:$B$8,2,1)</f>
        <v>1.3</v>
      </c>
      <c r="M279" s="44">
        <f t="shared" si="85"/>
        <v>19500</v>
      </c>
      <c r="N279" s="62">
        <f t="shared" ref="N279:N287" si="90">IF(M279&lt;=1000,(ROUNDUP(M279,-1)-1),(ROUNDUP(M279,-2)-10))</f>
        <v>19490</v>
      </c>
      <c r="O279" s="60">
        <f>VLOOKUP($A279,'Выгр Кат'!$A:$P,O$1,0)</f>
        <v>13000</v>
      </c>
      <c r="P279" s="60">
        <f>VLOOKUP($A279,'Выгр Кат'!$A:$P,P$1,0)</f>
        <v>17790</v>
      </c>
      <c r="Q279" s="73">
        <f t="shared" ref="Q279:Q287" si="91">O279-K279</f>
        <v>-2000</v>
      </c>
      <c r="R279" s="73">
        <f t="shared" ref="R279:R287" si="92">P279-N279</f>
        <v>-1700</v>
      </c>
      <c r="S279" s="97">
        <f t="shared" si="86"/>
        <v>19490</v>
      </c>
      <c r="T279" s="98">
        <f t="shared" si="87"/>
        <v>0.29933333333333323</v>
      </c>
      <c r="U279" s="98">
        <f t="shared" si="88"/>
        <v>-0.18228692750985745</v>
      </c>
      <c r="V279" s="98">
        <f t="shared" si="89"/>
        <v>9.8999999999999977E-2</v>
      </c>
      <c r="W279" s="106">
        <f t="shared" si="84"/>
        <v>16485</v>
      </c>
      <c r="X279" s="102" t="e">
        <f>IFERROR(ROUND((VLOOKUP($A279,'Из ГУГЛа'!$B:$Z,X$1,0)+Z279)*Y279,),VLOOKUP($A279,'Из ГУГЛа'!$B:$Z,X$1,0))</f>
        <v>#N/A</v>
      </c>
      <c r="Y279" s="75">
        <v>1</v>
      </c>
      <c r="Z279" s="75">
        <v>0</v>
      </c>
      <c r="AA279" s="63">
        <v>17890</v>
      </c>
      <c r="AB279" s="63" t="s">
        <v>1215</v>
      </c>
      <c r="AC279" s="48" t="s">
        <v>1489</v>
      </c>
      <c r="AD279" s="102" t="e">
        <f>IFERROR(ROUND((VLOOKUP($A279,'Из ГУГЛа'!$B:$Z,AD$1,0)+AF279)*AE279,),VLOOKUP($A279,'Из ГУГЛа'!$B:$Z,AD$1,0))</f>
        <v>#N/A</v>
      </c>
      <c r="AE279" s="100">
        <v>1</v>
      </c>
      <c r="AF279" s="100"/>
      <c r="AG279" s="103">
        <v>16485</v>
      </c>
      <c r="AH279" s="103" t="s">
        <v>1863</v>
      </c>
      <c r="AI279" s="102" t="e">
        <f>IFERROR(ROUND((VLOOKUP($A279,'Из ГУГЛа'!$B:$Z,AI$1,0)+AK279)*AJ279,),VLOOKUP($A279,'Из ГУГЛа'!$B:$Z,AI$1,0))</f>
        <v>#N/A</v>
      </c>
      <c r="AJ279" s="100">
        <v>1</v>
      </c>
      <c r="AK279" s="100"/>
      <c r="AL279" s="103"/>
      <c r="AM279" s="103"/>
      <c r="AN279" s="102" t="e">
        <f>IFERROR(ROUND((VLOOKUP($A279,'Из ГУГЛа'!$B:$Z,AN$1,0)+AP279)*AO279,),VLOOKUP($A279,'Из ГУГЛа'!$B:$Z,AN$1,0))</f>
        <v>#N/A</v>
      </c>
      <c r="AO279" s="100">
        <v>1</v>
      </c>
      <c r="AP279" s="100"/>
      <c r="AQ279" s="103"/>
      <c r="AR279" s="103"/>
    </row>
    <row r="280" spans="1:44" ht="53.25" thickTop="1" thickBot="1" x14ac:dyDescent="0.3">
      <c r="A280" s="57">
        <v>430040</v>
      </c>
      <c r="B280" s="57">
        <f>VLOOKUP($A280,'Выгр Кат'!$A:$T,B$1,0)</f>
        <v>430040</v>
      </c>
      <c r="C280" s="58" t="str">
        <f>VLOOKUP($A280,'Выгр Кат'!$A:$T,C$1,0)</f>
        <v>Жгут проводов системы зажигания коммутаторный для Лада Нива 4х4</v>
      </c>
      <c r="D280" s="57" t="str">
        <f>VLOOKUP($A280,'Выгр Кат'!$A:$T,D$1,0)</f>
        <v>Y</v>
      </c>
      <c r="E280" s="57" t="str">
        <f>VLOOKUP($A280,'Выгр Кат'!$A:$T,E$1,0)</f>
        <v>1</v>
      </c>
      <c r="F280" s="57">
        <f>VLOOKUP($A280,'Выгр Кат'!$A:$T,F$1,0)</f>
        <v>0</v>
      </c>
      <c r="G280" s="57" t="str">
        <f>VLOOKUP($A280,'Выгр Кат'!$A:$T,G$1,0)</f>
        <v>212133724026</v>
      </c>
      <c r="H280" s="57" t="str">
        <f>VLOOKUP($A280,'Выгр Кат'!$A:$T,H$1,0)</f>
        <v>21213-3724026</v>
      </c>
      <c r="I280" s="39" t="s">
        <v>1497</v>
      </c>
      <c r="J280" s="1" t="s">
        <v>526</v>
      </c>
      <c r="K280" s="47">
        <f>VLOOKUP(I280,Прайс!A:E,5,0)</f>
        <v>500</v>
      </c>
      <c r="L280" s="7">
        <f>VLOOKUP(K280,Наценка!$A$1:$B$8,2,1)</f>
        <v>1.63</v>
      </c>
      <c r="M280" s="44">
        <f t="shared" si="85"/>
        <v>815</v>
      </c>
      <c r="N280" s="62">
        <f t="shared" si="90"/>
        <v>819</v>
      </c>
      <c r="O280" s="60">
        <f>VLOOKUP($A280,'Выгр Кат'!$A:$P,O$1,0)</f>
        <v>500</v>
      </c>
      <c r="P280" s="60">
        <f>VLOOKUP($A280,'Выгр Кат'!$A:$P,P$1,0)</f>
        <v>789</v>
      </c>
      <c r="Q280" s="73">
        <f t="shared" si="91"/>
        <v>0</v>
      </c>
      <c r="R280" s="73">
        <f t="shared" si="92"/>
        <v>-30</v>
      </c>
      <c r="S280" s="97">
        <f t="shared" si="86"/>
        <v>819</v>
      </c>
      <c r="T280" s="98">
        <f t="shared" si="87"/>
        <v>0.6379999999999999</v>
      </c>
      <c r="U280" s="98">
        <f t="shared" si="88"/>
        <v>-0.36272878535773712</v>
      </c>
      <c r="V280" s="98">
        <f t="shared" si="89"/>
        <v>0.20199999999999996</v>
      </c>
      <c r="W280" s="106">
        <f t="shared" si="84"/>
        <v>601</v>
      </c>
      <c r="X280" s="102" t="e">
        <f>IFERROR(ROUND((VLOOKUP($A280,'Из ГУГЛа'!$B:$Z,X$1,0)+Z280)*Y280,),VLOOKUP($A280,'Из ГУГЛа'!$B:$Z,X$1,0))</f>
        <v>#N/A</v>
      </c>
      <c r="Y280" s="75">
        <v>1</v>
      </c>
      <c r="Z280" s="75">
        <v>0</v>
      </c>
      <c r="AA280" s="63">
        <v>890</v>
      </c>
      <c r="AB280" s="63" t="s">
        <v>1215</v>
      </c>
      <c r="AC280" s="48" t="s">
        <v>1492</v>
      </c>
      <c r="AD280" s="102" t="e">
        <f>IFERROR(ROUND((VLOOKUP($A280,'Из ГУГЛа'!$B:$Z,AD$1,0)+AF280)*AE280,),VLOOKUP($A280,'Из ГУГЛа'!$B:$Z,AD$1,0))</f>
        <v>#N/A</v>
      </c>
      <c r="AE280" s="100">
        <v>1</v>
      </c>
      <c r="AF280" s="100"/>
      <c r="AG280" s="103">
        <v>601</v>
      </c>
      <c r="AH280" s="103" t="s">
        <v>1862</v>
      </c>
      <c r="AI280" s="102" t="e">
        <f>IFERROR(ROUND((VLOOKUP($A280,'Из ГУГЛа'!$B:$Z,AI$1,0)+AK280)*AJ280,),VLOOKUP($A280,'Из ГУГЛа'!$B:$Z,AI$1,0))</f>
        <v>#N/A</v>
      </c>
      <c r="AJ280" s="100">
        <v>1</v>
      </c>
      <c r="AK280" s="100"/>
      <c r="AL280" s="103"/>
      <c r="AM280" s="103"/>
      <c r="AN280" s="102" t="e">
        <f>IFERROR(ROUND((VLOOKUP($A280,'Из ГУГЛа'!$B:$Z,AN$1,0)+AP280)*AO280,),VLOOKUP($A280,'Из ГУГЛа'!$B:$Z,AN$1,0))</f>
        <v>#N/A</v>
      </c>
      <c r="AO280" s="100">
        <v>1</v>
      </c>
      <c r="AP280" s="100"/>
      <c r="AQ280" s="103"/>
      <c r="AR280" s="103"/>
    </row>
    <row r="281" spans="1:44" ht="40.5" thickTop="1" thickBot="1" x14ac:dyDescent="0.3">
      <c r="A281" s="57">
        <v>202555</v>
      </c>
      <c r="B281" s="57">
        <f>VLOOKUP($A281,'Выгр Кат'!$A:$T,B$1,0)</f>
        <v>4464</v>
      </c>
      <c r="C281" s="58" t="str">
        <f>VLOOKUP($A281,'Выгр Кат'!$A:$T,C$1,0)</f>
        <v>Разъем для датчика температуры окружающего воздуха ВАЗ 2115 и датчика скорости ABS 1118</v>
      </c>
      <c r="D281" s="57" t="str">
        <f>VLOOKUP($A281,'Выгр Кат'!$A:$T,D$1,0)</f>
        <v>Y</v>
      </c>
      <c r="E281" s="57" t="str">
        <f>VLOOKUP($A281,'Выгр Кат'!$A:$T,E$1,0)</f>
        <v>1</v>
      </c>
      <c r="F281" s="57">
        <f>VLOOKUP($A281,'Выгр Кат'!$A:$T,F$1,0)</f>
        <v>0</v>
      </c>
      <c r="G281" s="57" t="str">
        <f>VLOOKUP($A281,'Выгр Кат'!$A:$T,G$1,0)</f>
        <v>Р127</v>
      </c>
      <c r="H281" s="57">
        <f>VLOOKUP($A281,'Выгр Кат'!$A:$T,H$1,0)</f>
        <v>0</v>
      </c>
      <c r="I281" s="39" t="s">
        <v>416</v>
      </c>
      <c r="J281" s="1" t="s">
        <v>526</v>
      </c>
      <c r="K281" s="47">
        <f>VLOOKUP(I281,Прайс!A:E,5,0)</f>
        <v>150</v>
      </c>
      <c r="L281" s="7">
        <f>VLOOKUP(K281,Наценка!$A$1:$B$8,2,1)</f>
        <v>1.8</v>
      </c>
      <c r="M281" s="44">
        <f t="shared" si="85"/>
        <v>270</v>
      </c>
      <c r="N281" s="62">
        <f t="shared" si="90"/>
        <v>269</v>
      </c>
      <c r="O281" s="60">
        <f>VLOOKUP($A281,'Выгр Кат'!$A:$P,O$1,0)</f>
        <v>150</v>
      </c>
      <c r="P281" s="60">
        <f>VLOOKUP($A281,'Выгр Кат'!$A:$P,P$1,0)</f>
        <v>199</v>
      </c>
      <c r="Q281" s="73">
        <f t="shared" si="91"/>
        <v>0</v>
      </c>
      <c r="R281" s="73">
        <f t="shared" si="92"/>
        <v>-70</v>
      </c>
      <c r="S281" s="97">
        <f t="shared" si="86"/>
        <v>269</v>
      </c>
      <c r="T281" s="98">
        <f t="shared" si="87"/>
        <v>0.79333333333333322</v>
      </c>
      <c r="U281" s="98">
        <f t="shared" si="88"/>
        <v>-0.17467248908296942</v>
      </c>
      <c r="V281" s="98">
        <f t="shared" si="89"/>
        <v>0.52666666666666662</v>
      </c>
      <c r="W281" s="106">
        <f t="shared" si="84"/>
        <v>229</v>
      </c>
      <c r="X281" s="102" t="e">
        <f>IFERROR(ROUND((VLOOKUP($A281,'Из ГУГЛа'!$B:$Z,X$1,0)+Z281)*Y281,),VLOOKUP($A281,'Из ГУГЛа'!$B:$Z,X$1,0))</f>
        <v>#N/A</v>
      </c>
      <c r="Y281" s="75">
        <v>1</v>
      </c>
      <c r="Z281" s="75">
        <v>0</v>
      </c>
      <c r="AA281" s="63">
        <v>229</v>
      </c>
      <c r="AB281" s="63" t="s">
        <v>1215</v>
      </c>
      <c r="AC281" s="48" t="s">
        <v>1495</v>
      </c>
      <c r="AD281" s="102" t="e">
        <f>IFERROR(ROUND((VLOOKUP($A281,'Из ГУГЛа'!$B:$Z,AD$1,0)+AF281)*AE281,),VLOOKUP($A281,'Из ГУГЛа'!$B:$Z,AD$1,0))</f>
        <v>#N/A</v>
      </c>
      <c r="AE281" s="100">
        <v>1</v>
      </c>
      <c r="AF281" s="100"/>
      <c r="AG281" s="103">
        <v>312</v>
      </c>
      <c r="AH281" s="103" t="s">
        <v>1941</v>
      </c>
      <c r="AI281" s="102" t="e">
        <f>IFERROR(ROUND((VLOOKUP($A281,'Из ГУГЛа'!$B:$Z,AI$1,0)+AK281)*AJ281,),VLOOKUP($A281,'Из ГУГЛа'!$B:$Z,AI$1,0))</f>
        <v>#N/A</v>
      </c>
      <c r="AJ281" s="100">
        <v>1</v>
      </c>
      <c r="AK281" s="100"/>
      <c r="AL281" s="103"/>
      <c r="AM281" s="103"/>
      <c r="AN281" s="102" t="e">
        <f>IFERROR(ROUND((VLOOKUP($A281,'Из ГУГЛа'!$B:$Z,AN$1,0)+AP281)*AO281,),VLOOKUP($A281,'Из ГУГЛа'!$B:$Z,AN$1,0))</f>
        <v>#N/A</v>
      </c>
      <c r="AO281" s="100">
        <v>1</v>
      </c>
      <c r="AP281" s="100"/>
      <c r="AQ281" s="103"/>
      <c r="AR281" s="103"/>
    </row>
    <row r="282" spans="1:44" ht="31.5" thickTop="1" thickBot="1" x14ac:dyDescent="0.3">
      <c r="A282" s="57">
        <v>455438</v>
      </c>
      <c r="B282" s="57">
        <f>VLOOKUP($A282,'Выгр Кат'!$A:$T,B$1,0)</f>
        <v>455438</v>
      </c>
      <c r="C282" s="58" t="str">
        <f>VLOOKUP($A282,'Выгр Кат'!$A:$T,C$1,0)</f>
        <v>Жгут проводов передний в сборе 8450100549 для Лада Калина 2, Гранта</v>
      </c>
      <c r="D282" s="57" t="str">
        <f>VLOOKUP($A282,'Выгр Кат'!$A:$T,D$1,0)</f>
        <v>Y</v>
      </c>
      <c r="E282" s="57" t="str">
        <f>VLOOKUP($A282,'Выгр Кат'!$A:$T,E$1,0)</f>
        <v>1</v>
      </c>
      <c r="F282" s="57">
        <f>VLOOKUP($A282,'Выгр Кат'!$A:$T,F$1,0)</f>
        <v>0</v>
      </c>
      <c r="G282" s="57" t="str">
        <f>VLOOKUP($A282,'Выгр Кат'!$A:$T,G$1,0)</f>
        <v>8450100549</v>
      </c>
      <c r="H282" s="57">
        <f>VLOOKUP($A282,'Выгр Кат'!$A:$T,H$1,0)</f>
        <v>0</v>
      </c>
      <c r="I282" s="39"/>
      <c r="J282" s="1" t="s">
        <v>526</v>
      </c>
      <c r="K282" s="46">
        <f t="shared" ref="K282:K287" si="93">O282</f>
        <v>41780</v>
      </c>
      <c r="L282" s="7">
        <f>VLOOKUP(K282,Наценка!$A$1:$B$8,2,1)</f>
        <v>1.3</v>
      </c>
      <c r="M282" s="44">
        <f t="shared" si="85"/>
        <v>54314</v>
      </c>
      <c r="N282" s="62">
        <f t="shared" si="90"/>
        <v>54390</v>
      </c>
      <c r="O282" s="60">
        <f>VLOOKUP($A282,'Выгр Кат'!$A:$P,O$1,0)</f>
        <v>41780</v>
      </c>
      <c r="P282" s="60">
        <f>VLOOKUP($A282,'Выгр Кат'!$A:$P,P$1,0)</f>
        <v>54390</v>
      </c>
      <c r="Q282" s="73">
        <f t="shared" si="91"/>
        <v>0</v>
      </c>
      <c r="R282" s="73">
        <f t="shared" si="92"/>
        <v>0</v>
      </c>
      <c r="S282" s="97">
        <f t="shared" si="86"/>
        <v>54390</v>
      </c>
      <c r="T282" s="98">
        <f t="shared" si="87"/>
        <v>0.3018190521780757</v>
      </c>
      <c r="U282" s="98">
        <f t="shared" si="88"/>
        <v>0.17874614966479435</v>
      </c>
      <c r="V282" s="98">
        <f t="shared" si="89"/>
        <v>0.58516036381043568</v>
      </c>
      <c r="W282" s="106">
        <f t="shared" si="84"/>
        <v>66228</v>
      </c>
      <c r="X282" s="74" t="e">
        <f>IFERROR((VLOOKUP($A282,'Из ГУГЛа'!$B:$G,6,0)+Z282)*Y282,VLOOKUP($A282,'Из ГУГЛа'!$B:$G,6,0))</f>
        <v>#N/A</v>
      </c>
      <c r="Y282" s="75">
        <v>1</v>
      </c>
      <c r="Z282" s="75">
        <v>0</v>
      </c>
      <c r="AA282" s="63"/>
      <c r="AB282" s="63"/>
      <c r="AD282" s="102" t="e">
        <f>IFERROR(ROUND((VLOOKUP($A282,'Из ГУГЛа'!$B:$Z,AD$1,0)+AF282)*AE282,),VLOOKUP($A282,'Из ГУГЛа'!$B:$Z,AD$1,0))</f>
        <v>#N/A</v>
      </c>
      <c r="AE282" s="100">
        <v>1</v>
      </c>
      <c r="AF282" s="100"/>
      <c r="AG282" s="103">
        <v>66228</v>
      </c>
      <c r="AH282" s="103" t="s">
        <v>1922</v>
      </c>
      <c r="AI282" s="102" t="e">
        <f>IFERROR(ROUND((VLOOKUP($A282,'Из ГУГЛа'!$B:$Z,AI$1,0)+AK282)*AJ282,),VLOOKUP($A282,'Из ГУГЛа'!$B:$Z,AI$1,0))</f>
        <v>#N/A</v>
      </c>
      <c r="AJ282" s="100">
        <v>1</v>
      </c>
      <c r="AK282" s="100"/>
      <c r="AL282" s="103"/>
      <c r="AM282" s="103"/>
      <c r="AN282" s="102" t="e">
        <f>IFERROR(ROUND((VLOOKUP($A282,'Из ГУГЛа'!$B:$Z,AN$1,0)+AP282)*AO282,),VLOOKUP($A282,'Из ГУГЛа'!$B:$Z,AN$1,0))</f>
        <v>#N/A</v>
      </c>
      <c r="AO282" s="100">
        <v>1</v>
      </c>
      <c r="AP282" s="100"/>
      <c r="AQ282" s="103"/>
      <c r="AR282" s="103"/>
    </row>
    <row r="283" spans="1:44" ht="31.5" thickTop="1" thickBot="1" x14ac:dyDescent="0.3">
      <c r="A283" s="57">
        <v>455439</v>
      </c>
      <c r="B283" s="57">
        <f>VLOOKUP($A283,'Выгр Кат'!$A:$T,B$1,0)</f>
        <v>455439</v>
      </c>
      <c r="C283" s="58" t="str">
        <f>VLOOKUP($A283,'Выгр Кат'!$A:$T,C$1,0)</f>
        <v>Жгут проводов передний в сборе 8450100550 для Лада Калина 2, Гранта</v>
      </c>
      <c r="D283" s="57" t="str">
        <f>VLOOKUP($A283,'Выгр Кат'!$A:$T,D$1,0)</f>
        <v>Y</v>
      </c>
      <c r="E283" s="57" t="str">
        <f>VLOOKUP($A283,'Выгр Кат'!$A:$T,E$1,0)</f>
        <v>1</v>
      </c>
      <c r="F283" s="57">
        <f>VLOOKUP($A283,'Выгр Кат'!$A:$T,F$1,0)</f>
        <v>0</v>
      </c>
      <c r="G283" s="57" t="str">
        <f>VLOOKUP($A283,'Выгр Кат'!$A:$T,G$1,0)</f>
        <v>8450100550</v>
      </c>
      <c r="H283" s="57">
        <f>VLOOKUP($A283,'Выгр Кат'!$A:$T,H$1,0)</f>
        <v>0</v>
      </c>
      <c r="I283" s="39"/>
      <c r="J283" s="1" t="s">
        <v>526</v>
      </c>
      <c r="K283" s="46">
        <f t="shared" si="93"/>
        <v>17430</v>
      </c>
      <c r="L283" s="7">
        <f>VLOOKUP(K283,Наценка!$A$1:$B$8,2,1)</f>
        <v>1.3</v>
      </c>
      <c r="M283" s="44">
        <f t="shared" si="85"/>
        <v>22659</v>
      </c>
      <c r="N283" s="62">
        <f t="shared" si="90"/>
        <v>22690</v>
      </c>
      <c r="O283" s="60">
        <f>VLOOKUP($A283,'Выгр Кат'!$A:$P,O$1,0)</f>
        <v>17430</v>
      </c>
      <c r="P283" s="60">
        <f>VLOOKUP($A283,'Выгр Кат'!$A:$P,P$1,0)</f>
        <v>22690</v>
      </c>
      <c r="Q283" s="73">
        <f t="shared" si="91"/>
        <v>0</v>
      </c>
      <c r="R283" s="73">
        <f t="shared" si="92"/>
        <v>0</v>
      </c>
      <c r="S283" s="97">
        <f t="shared" si="86"/>
        <v>22690</v>
      </c>
      <c r="T283" s="98">
        <f t="shared" si="87"/>
        <v>0.30177854274239824</v>
      </c>
      <c r="U283" s="98">
        <f t="shared" si="88"/>
        <v>0.18184112789817186</v>
      </c>
      <c r="V283" s="98">
        <f t="shared" si="89"/>
        <v>0.59110728628800913</v>
      </c>
      <c r="W283" s="106">
        <f t="shared" si="84"/>
        <v>27733</v>
      </c>
      <c r="X283" s="74" t="e">
        <f>IFERROR((VLOOKUP($A283,'Из ГУГЛа'!$B:$G,6,0)+Z283)*Y283,VLOOKUP($A283,'Из ГУГЛа'!$B:$G,6,0))</f>
        <v>#N/A</v>
      </c>
      <c r="Y283" s="75">
        <v>1</v>
      </c>
      <c r="Z283" s="75">
        <v>0</v>
      </c>
      <c r="AA283" s="63"/>
      <c r="AB283" s="63"/>
      <c r="AD283" s="102" t="e">
        <f>IFERROR(ROUND((VLOOKUP($A283,'Из ГУГЛа'!$B:$Z,AD$1,0)+AF283)*AE283,),VLOOKUP($A283,'Из ГУГЛа'!$B:$Z,AD$1,0))</f>
        <v>#N/A</v>
      </c>
      <c r="AE283" s="100">
        <v>1</v>
      </c>
      <c r="AF283" s="100"/>
      <c r="AG283" s="103">
        <v>27733</v>
      </c>
      <c r="AH283" s="103" t="s">
        <v>1921</v>
      </c>
      <c r="AI283" s="102" t="e">
        <f>IFERROR(ROUND((VLOOKUP($A283,'Из ГУГЛа'!$B:$Z,AI$1,0)+AK283)*AJ283,),VLOOKUP($A283,'Из ГУГЛа'!$B:$Z,AI$1,0))</f>
        <v>#N/A</v>
      </c>
      <c r="AJ283" s="100">
        <v>1</v>
      </c>
      <c r="AK283" s="100"/>
      <c r="AL283" s="103"/>
      <c r="AM283" s="103"/>
      <c r="AN283" s="102" t="e">
        <f>IFERROR(ROUND((VLOOKUP($A283,'Из ГУГЛа'!$B:$Z,AN$1,0)+AP283)*AO283,),VLOOKUP($A283,'Из ГУГЛа'!$B:$Z,AN$1,0))</f>
        <v>#N/A</v>
      </c>
      <c r="AO283" s="100">
        <v>1</v>
      </c>
      <c r="AP283" s="100"/>
      <c r="AQ283" s="103"/>
      <c r="AR283" s="103"/>
    </row>
    <row r="284" spans="1:44" ht="31.5" thickTop="1" thickBot="1" x14ac:dyDescent="0.3">
      <c r="A284" s="57">
        <v>455440</v>
      </c>
      <c r="B284" s="57">
        <f>VLOOKUP($A284,'Выгр Кат'!$A:$T,B$1,0)</f>
        <v>455440</v>
      </c>
      <c r="C284" s="58" t="str">
        <f>VLOOKUP($A284,'Выгр Кат'!$A:$T,C$1,0)</f>
        <v>Жгут проводов передний в сборе 8450100551 для Лада Калина 2, Гранта</v>
      </c>
      <c r="D284" s="57" t="str">
        <f>VLOOKUP($A284,'Выгр Кат'!$A:$T,D$1,0)</f>
        <v>Y</v>
      </c>
      <c r="E284" s="57" t="str">
        <f>VLOOKUP($A284,'Выгр Кат'!$A:$T,E$1,0)</f>
        <v>1</v>
      </c>
      <c r="F284" s="57">
        <f>VLOOKUP($A284,'Выгр Кат'!$A:$T,F$1,0)</f>
        <v>0</v>
      </c>
      <c r="G284" s="57" t="str">
        <f>VLOOKUP($A284,'Выгр Кат'!$A:$T,G$1,0)</f>
        <v>8450100551</v>
      </c>
      <c r="H284" s="57">
        <f>VLOOKUP($A284,'Выгр Кат'!$A:$T,H$1,0)</f>
        <v>0</v>
      </c>
      <c r="I284" s="39"/>
      <c r="J284" s="1" t="s">
        <v>526</v>
      </c>
      <c r="K284" s="46">
        <f t="shared" si="93"/>
        <v>17637</v>
      </c>
      <c r="L284" s="7">
        <f>VLOOKUP(K284,Наценка!$A$1:$B$8,2,1)</f>
        <v>1.3</v>
      </c>
      <c r="M284" s="44">
        <f t="shared" si="85"/>
        <v>22928.100000000002</v>
      </c>
      <c r="N284" s="62">
        <f t="shared" si="90"/>
        <v>22990</v>
      </c>
      <c r="O284" s="60">
        <f>VLOOKUP($A284,'Выгр Кат'!$A:$P,O$1,0)</f>
        <v>17637</v>
      </c>
      <c r="P284" s="60">
        <f>VLOOKUP($A284,'Выгр Кат'!$A:$P,P$1,0)</f>
        <v>22990</v>
      </c>
      <c r="Q284" s="73">
        <f t="shared" si="91"/>
        <v>0</v>
      </c>
      <c r="R284" s="73">
        <f t="shared" si="92"/>
        <v>0</v>
      </c>
      <c r="S284" s="97">
        <f t="shared" si="86"/>
        <v>22990</v>
      </c>
      <c r="T284" s="98">
        <f t="shared" si="87"/>
        <v>0.30350966717695749</v>
      </c>
      <c r="U284" s="98">
        <f t="shared" si="88"/>
        <v>-0.3825245053821637</v>
      </c>
      <c r="V284" s="98">
        <f t="shared" si="89"/>
        <v>-5.7152576968872215E-2</v>
      </c>
      <c r="W284" s="106">
        <f t="shared" si="84"/>
        <v>16629</v>
      </c>
      <c r="X284" s="74" t="e">
        <f>IFERROR((VLOOKUP($A284,'Из ГУГЛа'!$B:$G,6,0)+Z284)*Y284,VLOOKUP($A284,'Из ГУГЛа'!$B:$G,6,0))</f>
        <v>#N/A</v>
      </c>
      <c r="Y284" s="75">
        <v>1</v>
      </c>
      <c r="Z284" s="75">
        <v>0</v>
      </c>
      <c r="AA284" s="63"/>
      <c r="AB284" s="63"/>
      <c r="AD284" s="102" t="e">
        <f>IFERROR(ROUND((VLOOKUP($A284,'Из ГУГЛа'!$B:$Z,AD$1,0)+AF284)*AE284,),VLOOKUP($A284,'Из ГУГЛа'!$B:$Z,AD$1,0))</f>
        <v>#N/A</v>
      </c>
      <c r="AE284" s="100">
        <v>1</v>
      </c>
      <c r="AF284" s="100"/>
      <c r="AG284" s="103">
        <v>16629</v>
      </c>
      <c r="AH284" s="103" t="s">
        <v>1920</v>
      </c>
      <c r="AI284" s="102" t="e">
        <f>IFERROR(ROUND((VLOOKUP($A284,'Из ГУГЛа'!$B:$Z,AI$1,0)+AK284)*AJ284,),VLOOKUP($A284,'Из ГУГЛа'!$B:$Z,AI$1,0))</f>
        <v>#N/A</v>
      </c>
      <c r="AJ284" s="100">
        <v>1</v>
      </c>
      <c r="AK284" s="100"/>
      <c r="AL284" s="103"/>
      <c r="AM284" s="103"/>
      <c r="AN284" s="102" t="e">
        <f>IFERROR(ROUND((VLOOKUP($A284,'Из ГУГЛа'!$B:$Z,AN$1,0)+AP284)*AO284,),VLOOKUP($A284,'Из ГУГЛа'!$B:$Z,AN$1,0))</f>
        <v>#N/A</v>
      </c>
      <c r="AO284" s="100">
        <v>1</v>
      </c>
      <c r="AP284" s="100"/>
      <c r="AQ284" s="103"/>
      <c r="AR284" s="103"/>
    </row>
    <row r="285" spans="1:44" ht="31.5" thickTop="1" thickBot="1" x14ac:dyDescent="0.3">
      <c r="A285" s="57">
        <v>455443</v>
      </c>
      <c r="B285" s="57">
        <f>VLOOKUP($A285,'Выгр Кат'!$A:$T,B$1,0)</f>
        <v>455443</v>
      </c>
      <c r="C285" s="58" t="str">
        <f>VLOOKUP($A285,'Выгр Кат'!$A:$T,C$1,0)</f>
        <v>Жгут проводов передний в сборе 8450100552 для Лада Калина 2, Гранта</v>
      </c>
      <c r="D285" s="57" t="str">
        <f>VLOOKUP($A285,'Выгр Кат'!$A:$T,D$1,0)</f>
        <v>Y</v>
      </c>
      <c r="E285" s="57" t="str">
        <f>VLOOKUP($A285,'Выгр Кат'!$A:$T,E$1,0)</f>
        <v>1</v>
      </c>
      <c r="F285" s="57">
        <f>VLOOKUP($A285,'Выгр Кат'!$A:$T,F$1,0)</f>
        <v>0</v>
      </c>
      <c r="G285" s="57" t="str">
        <f>VLOOKUP($A285,'Выгр Кат'!$A:$T,G$1,0)</f>
        <v>8450100552</v>
      </c>
      <c r="H285" s="57">
        <f>VLOOKUP($A285,'Выгр Кат'!$A:$T,H$1,0)</f>
        <v>0</v>
      </c>
      <c r="I285" s="39"/>
      <c r="J285" s="1" t="s">
        <v>526</v>
      </c>
      <c r="K285" s="46">
        <f t="shared" si="93"/>
        <v>12221</v>
      </c>
      <c r="L285" s="7">
        <f>VLOOKUP(K285,Наценка!$A$1:$B$8,2,1)</f>
        <v>1.3</v>
      </c>
      <c r="M285" s="44">
        <f t="shared" si="85"/>
        <v>15887.300000000001</v>
      </c>
      <c r="N285" s="62">
        <f t="shared" si="90"/>
        <v>15890</v>
      </c>
      <c r="O285" s="60">
        <f>VLOOKUP($A285,'Выгр Кат'!$A:$P,O$1,0)</f>
        <v>12221</v>
      </c>
      <c r="P285" s="60">
        <f>VLOOKUP($A285,'Выгр Кат'!$A:$P,P$1,0)</f>
        <v>15890</v>
      </c>
      <c r="Q285" s="73">
        <f t="shared" si="91"/>
        <v>0</v>
      </c>
      <c r="R285" s="73">
        <f t="shared" si="92"/>
        <v>0</v>
      </c>
      <c r="S285" s="97">
        <f t="shared" si="86"/>
        <v>15890</v>
      </c>
      <c r="T285" s="98">
        <f t="shared" si="87"/>
        <v>0.3002209311840276</v>
      </c>
      <c r="U285" s="98">
        <f t="shared" si="88"/>
        <v>0.6370986159959805</v>
      </c>
      <c r="V285" s="98">
        <f t="shared" si="89"/>
        <v>2.58284919401031</v>
      </c>
      <c r="W285" s="106">
        <f t="shared" si="84"/>
        <v>43786</v>
      </c>
      <c r="X285" s="74" t="e">
        <f>IFERROR((VLOOKUP($A285,'Из ГУГЛа'!$B:$G,6,0)+Z285)*Y285,VLOOKUP($A285,'Из ГУГЛа'!$B:$G,6,0))</f>
        <v>#N/A</v>
      </c>
      <c r="Y285" s="75">
        <v>1</v>
      </c>
      <c r="Z285" s="75">
        <v>0</v>
      </c>
      <c r="AA285" s="63"/>
      <c r="AB285" s="63"/>
      <c r="AD285" s="102" t="e">
        <f>IFERROR(ROUND((VLOOKUP($A285,'Из ГУГЛа'!$B:$Z,AD$1,0)+AF285)*AE285,),VLOOKUP($A285,'Из ГУГЛа'!$B:$Z,AD$1,0))</f>
        <v>#N/A</v>
      </c>
      <c r="AE285" s="100">
        <v>1</v>
      </c>
      <c r="AF285" s="100"/>
      <c r="AG285" s="103">
        <v>43786</v>
      </c>
      <c r="AH285" s="103" t="s">
        <v>1919</v>
      </c>
      <c r="AI285" s="102" t="e">
        <f>IFERROR(ROUND((VLOOKUP($A285,'Из ГУГЛа'!$B:$Z,AI$1,0)+AK285)*AJ285,),VLOOKUP($A285,'Из ГУГЛа'!$B:$Z,AI$1,0))</f>
        <v>#N/A</v>
      </c>
      <c r="AJ285" s="100">
        <v>1</v>
      </c>
      <c r="AK285" s="100"/>
      <c r="AL285" s="103"/>
      <c r="AM285" s="103"/>
      <c r="AN285" s="102" t="e">
        <f>IFERROR(ROUND((VLOOKUP($A285,'Из ГУГЛа'!$B:$Z,AN$1,0)+AP285)*AO285,),VLOOKUP($A285,'Из ГУГЛа'!$B:$Z,AN$1,0))</f>
        <v>#N/A</v>
      </c>
      <c r="AO285" s="100">
        <v>1</v>
      </c>
      <c r="AP285" s="100"/>
      <c r="AQ285" s="103"/>
      <c r="AR285" s="103"/>
    </row>
    <row r="286" spans="1:44" ht="31.5" thickTop="1" thickBot="1" x14ac:dyDescent="0.3">
      <c r="A286" s="57">
        <v>455444</v>
      </c>
      <c r="B286" s="57">
        <f>VLOOKUP($A286,'Выгр Кат'!$A:$T,B$1,0)</f>
        <v>455444</v>
      </c>
      <c r="C286" s="58" t="str">
        <f>VLOOKUP($A286,'Выгр Кат'!$A:$T,C$1,0)</f>
        <v>Жгут проводов передний в сборе 8450100553 для Лада Калина 2, Гранта</v>
      </c>
      <c r="D286" s="57" t="str">
        <f>VLOOKUP($A286,'Выгр Кат'!$A:$T,D$1,0)</f>
        <v>Y</v>
      </c>
      <c r="E286" s="57" t="str">
        <f>VLOOKUP($A286,'Выгр Кат'!$A:$T,E$1,0)</f>
        <v>1</v>
      </c>
      <c r="F286" s="57">
        <f>VLOOKUP($A286,'Выгр Кат'!$A:$T,F$1,0)</f>
        <v>0</v>
      </c>
      <c r="G286" s="57" t="str">
        <f>VLOOKUP($A286,'Выгр Кат'!$A:$T,G$1,0)</f>
        <v>8450100553</v>
      </c>
      <c r="H286" s="57">
        <f>VLOOKUP($A286,'Выгр Кат'!$A:$T,H$1,0)</f>
        <v>0</v>
      </c>
      <c r="I286" s="39"/>
      <c r="J286" s="1" t="s">
        <v>526</v>
      </c>
      <c r="K286" s="46">
        <f t="shared" si="93"/>
        <v>19876</v>
      </c>
      <c r="L286" s="7">
        <f>VLOOKUP(K286,Наценка!$A$1:$B$8,2,1)</f>
        <v>1.3</v>
      </c>
      <c r="M286" s="44">
        <f t="shared" si="85"/>
        <v>25838.799999999999</v>
      </c>
      <c r="N286" s="62">
        <f t="shared" si="90"/>
        <v>25890</v>
      </c>
      <c r="O286" s="60">
        <f>VLOOKUP($A286,'Выгр Кат'!$A:$P,O$1,0)</f>
        <v>19876</v>
      </c>
      <c r="P286" s="60">
        <f>VLOOKUP($A286,'Выгр Кат'!$A:$P,P$1,0)</f>
        <v>25890</v>
      </c>
      <c r="Q286" s="73">
        <f t="shared" si="91"/>
        <v>0</v>
      </c>
      <c r="R286" s="73">
        <f t="shared" si="92"/>
        <v>0</v>
      </c>
      <c r="S286" s="97">
        <f t="shared" si="86"/>
        <v>25890</v>
      </c>
      <c r="T286" s="98">
        <f t="shared" si="87"/>
        <v>0.30257597102032596</v>
      </c>
      <c r="U286" s="98">
        <f t="shared" si="88"/>
        <v>0.13359212904089418</v>
      </c>
      <c r="V286" s="98">
        <f t="shared" si="89"/>
        <v>0.50342121151137054</v>
      </c>
      <c r="W286" s="106">
        <f t="shared" si="84"/>
        <v>29882</v>
      </c>
      <c r="X286" s="74" t="e">
        <f>IFERROR((VLOOKUP($A286,'Из ГУГЛа'!$B:$G,6,0)+Z286)*Y286,VLOOKUP($A286,'Из ГУГЛа'!$B:$G,6,0))</f>
        <v>#N/A</v>
      </c>
      <c r="Y286" s="75">
        <v>1</v>
      </c>
      <c r="Z286" s="75">
        <v>0</v>
      </c>
      <c r="AA286" s="63"/>
      <c r="AB286" s="63"/>
      <c r="AD286" s="102" t="e">
        <f>IFERROR(ROUND((VLOOKUP($A286,'Из ГУГЛа'!$B:$Z,AD$1,0)+AF286)*AE286,),VLOOKUP($A286,'Из ГУГЛа'!$B:$Z,AD$1,0))</f>
        <v>#N/A</v>
      </c>
      <c r="AE286" s="100">
        <v>1</v>
      </c>
      <c r="AF286" s="100"/>
      <c r="AG286" s="103">
        <v>29882</v>
      </c>
      <c r="AH286" s="103" t="s">
        <v>1918</v>
      </c>
      <c r="AI286" s="102" t="e">
        <f>IFERROR(ROUND((VLOOKUP($A286,'Из ГУГЛа'!$B:$Z,AI$1,0)+AK286)*AJ286,),VLOOKUP($A286,'Из ГУГЛа'!$B:$Z,AI$1,0))</f>
        <v>#N/A</v>
      </c>
      <c r="AJ286" s="100">
        <v>1</v>
      </c>
      <c r="AK286" s="100"/>
      <c r="AL286" s="103"/>
      <c r="AM286" s="103"/>
      <c r="AN286" s="102" t="e">
        <f>IFERROR(ROUND((VLOOKUP($A286,'Из ГУГЛа'!$B:$Z,AN$1,0)+AP286)*AO286,),VLOOKUP($A286,'Из ГУГЛа'!$B:$Z,AN$1,0))</f>
        <v>#N/A</v>
      </c>
      <c r="AO286" s="100">
        <v>1</v>
      </c>
      <c r="AP286" s="100"/>
      <c r="AQ286" s="103"/>
      <c r="AR286" s="103"/>
    </row>
    <row r="287" spans="1:44" ht="31.5" thickTop="1" thickBot="1" x14ac:dyDescent="0.3">
      <c r="A287" s="57">
        <v>455446</v>
      </c>
      <c r="B287" s="57">
        <f>VLOOKUP($A287,'Выгр Кат'!$A:$T,B$1,0)</f>
        <v>455446</v>
      </c>
      <c r="C287" s="58" t="str">
        <f>VLOOKUP($A287,'Выгр Кат'!$A:$T,C$1,0)</f>
        <v>Жгут проводов передний в сборе 8450100554 для Лада Калина 2, Гранта</v>
      </c>
      <c r="D287" s="57" t="str">
        <f>VLOOKUP($A287,'Выгр Кат'!$A:$T,D$1,0)</f>
        <v>Y</v>
      </c>
      <c r="E287" s="57" t="str">
        <f>VLOOKUP($A287,'Выгр Кат'!$A:$T,E$1,0)</f>
        <v>1</v>
      </c>
      <c r="F287" s="57">
        <f>VLOOKUP($A287,'Выгр Кат'!$A:$T,F$1,0)</f>
        <v>0</v>
      </c>
      <c r="G287" s="57" t="str">
        <f>VLOOKUP($A287,'Выгр Кат'!$A:$T,G$1,0)</f>
        <v>8450100554</v>
      </c>
      <c r="H287" s="57">
        <f>VLOOKUP($A287,'Выгр Кат'!$A:$T,H$1,0)</f>
        <v>0</v>
      </c>
      <c r="I287" s="39"/>
      <c r="J287" s="1" t="s">
        <v>526</v>
      </c>
      <c r="K287" s="46">
        <f t="shared" si="93"/>
        <v>12221</v>
      </c>
      <c r="L287" s="7">
        <f>VLOOKUP(K287,Наценка!$A$1:$B$8,2,1)</f>
        <v>1.3</v>
      </c>
      <c r="M287" s="44">
        <f t="shared" si="85"/>
        <v>15887.300000000001</v>
      </c>
      <c r="N287" s="62">
        <f t="shared" si="90"/>
        <v>15890</v>
      </c>
      <c r="O287" s="60">
        <f>VLOOKUP($A287,'Выгр Кат'!$A:$P,O$1,0)</f>
        <v>12221</v>
      </c>
      <c r="P287" s="60">
        <f>VLOOKUP($A287,'Выгр Кат'!$A:$P,P$1,0)</f>
        <v>15890</v>
      </c>
      <c r="Q287" s="73">
        <f t="shared" si="91"/>
        <v>0</v>
      </c>
      <c r="R287" s="73">
        <f t="shared" si="92"/>
        <v>0</v>
      </c>
      <c r="S287" s="97">
        <f t="shared" si="86"/>
        <v>15890</v>
      </c>
      <c r="T287" s="98">
        <f t="shared" si="87"/>
        <v>0.3002209311840276</v>
      </c>
      <c r="U287" s="98">
        <f t="shared" si="88"/>
        <v>0.65961913330334387</v>
      </c>
      <c r="V287" s="98">
        <f t="shared" si="89"/>
        <v>2.8199001718353656</v>
      </c>
      <c r="W287" s="106">
        <f t="shared" si="84"/>
        <v>46683</v>
      </c>
      <c r="X287" s="74" t="e">
        <f>IFERROR((VLOOKUP($A287,'Из ГУГЛа'!$B:$G,6,0)+Z287)*Y287,VLOOKUP($A287,'Из ГУГЛа'!$B:$G,6,0))</f>
        <v>#N/A</v>
      </c>
      <c r="Y287" s="75">
        <v>1</v>
      </c>
      <c r="Z287" s="75">
        <v>0</v>
      </c>
      <c r="AA287" s="63"/>
      <c r="AB287" s="63"/>
      <c r="AD287" s="102" t="e">
        <f>IFERROR(ROUND((VLOOKUP($A287,'Из ГУГЛа'!$B:$Z,AD$1,0)+AF287)*AE287,),VLOOKUP($A287,'Из ГУГЛа'!$B:$Z,AD$1,0))</f>
        <v>#N/A</v>
      </c>
      <c r="AE287" s="100">
        <v>1</v>
      </c>
      <c r="AF287" s="100"/>
      <c r="AG287" s="103">
        <v>46683</v>
      </c>
      <c r="AH287" s="103" t="s">
        <v>1917</v>
      </c>
      <c r="AI287" s="102" t="e">
        <f>IFERROR(ROUND((VLOOKUP($A287,'Из ГУГЛа'!$B:$Z,AI$1,0)+AK287)*AJ287,),VLOOKUP($A287,'Из ГУГЛа'!$B:$Z,AI$1,0))</f>
        <v>#N/A</v>
      </c>
      <c r="AJ287" s="100">
        <v>1</v>
      </c>
      <c r="AK287" s="100"/>
      <c r="AL287" s="103"/>
      <c r="AM287" s="103"/>
      <c r="AN287" s="102" t="e">
        <f>IFERROR(ROUND((VLOOKUP($A287,'Из ГУГЛа'!$B:$Z,AN$1,0)+AP287)*AO287,),VLOOKUP($A287,'Из ГУГЛа'!$B:$Z,AN$1,0))</f>
        <v>#N/A</v>
      </c>
      <c r="AO287" s="100">
        <v>1</v>
      </c>
      <c r="AP287" s="100"/>
      <c r="AQ287" s="103"/>
      <c r="AR287" s="103"/>
    </row>
    <row r="288" spans="1:44" ht="66" thickTop="1" thickBot="1" x14ac:dyDescent="0.3">
      <c r="A288" s="57">
        <v>426757</v>
      </c>
      <c r="B288" s="57">
        <f>VLOOKUP($A288,'Выгр Кат'!$A:$T,B$1,0)</f>
        <v>426757</v>
      </c>
      <c r="C288" s="58" t="str">
        <f>VLOOKUP($A288,'Выгр Кат'!$A:$T,C$1,0)</f>
        <v>Монтажный набор для подключения лобового стекла с обогревом для Шевроле Нива</v>
      </c>
      <c r="D288" s="57" t="str">
        <f>VLOOKUP($A288,'Выгр Кат'!$A:$T,D$1,0)</f>
        <v>Y</v>
      </c>
      <c r="E288" s="57" t="str">
        <f>VLOOKUP($A288,'Выгр Кат'!$A:$T,E$1,0)</f>
        <v>1</v>
      </c>
      <c r="F288" s="57">
        <f>VLOOKUP($A288,'Выгр Кат'!$A:$T,F$1,0)</f>
        <v>0</v>
      </c>
      <c r="G288" s="57">
        <f>VLOOKUP($A288,'Выгр Кат'!$A:$T,G$1,0)</f>
        <v>0</v>
      </c>
      <c r="H288" s="57">
        <f>VLOOKUP($A288,'Выгр Кат'!$A:$T,H$1,0)</f>
        <v>0</v>
      </c>
      <c r="I288" s="39" t="s">
        <v>1857</v>
      </c>
      <c r="J288" s="1" t="s">
        <v>526</v>
      </c>
      <c r="K288" s="47">
        <f>VLOOKUP(I288,Прайс!A:E,5,0)</f>
        <v>5000</v>
      </c>
      <c r="L288" s="7">
        <f>VLOOKUP(K288,Наценка!$A$1:$B$8,2,1)</f>
        <v>1.32</v>
      </c>
      <c r="M288" s="44">
        <f t="shared" si="85"/>
        <v>6600</v>
      </c>
      <c r="N288" s="62">
        <f t="shared" si="81"/>
        <v>6590</v>
      </c>
      <c r="O288" s="60">
        <f>VLOOKUP($A288,'Выгр Кат'!$A:$P,O$1,0)</f>
        <v>5000</v>
      </c>
      <c r="P288" s="60">
        <f>VLOOKUP($A288,'Выгр Кат'!$A:$P,P$1,0)</f>
        <v>7090</v>
      </c>
      <c r="Q288" s="73">
        <f t="shared" si="82"/>
        <v>0</v>
      </c>
      <c r="R288" s="73">
        <f t="shared" si="83"/>
        <v>500</v>
      </c>
      <c r="S288" s="97">
        <f t="shared" si="86"/>
        <v>6590</v>
      </c>
      <c r="T288" s="98">
        <f t="shared" si="87"/>
        <v>0.31800000000000006</v>
      </c>
      <c r="U288" s="98">
        <f t="shared" si="88"/>
        <v>-0.29317111459968603</v>
      </c>
      <c r="V288" s="98">
        <f t="shared" si="89"/>
        <v>1.9200000000000106E-2</v>
      </c>
      <c r="W288" s="106">
        <f t="shared" si="84"/>
        <v>5096</v>
      </c>
      <c r="X288" s="74">
        <f>IFERROR((VLOOKUP($A288,'Из ГУГЛа'!$B:$G,6,0)+Z288)*Y288,VLOOKUP($A288,'Из ГУГЛа'!$B:$G,6,0))</f>
        <v>7190</v>
      </c>
      <c r="Y288" s="75">
        <v>1</v>
      </c>
      <c r="Z288" s="75">
        <v>0</v>
      </c>
      <c r="AA288" s="63">
        <v>7190</v>
      </c>
      <c r="AB288" s="63" t="s">
        <v>1215</v>
      </c>
      <c r="AC288" s="48" t="s">
        <v>1482</v>
      </c>
      <c r="AD288" s="102">
        <f>IFERROR(ROUND((VLOOKUP($A288,'Из ГУГЛа'!$B:$Z,AD$1,0)+AF288)*AE288,),VLOOKUP($A288,'Из ГУГЛа'!$B:$Z,AD$1,0))</f>
        <v>0</v>
      </c>
      <c r="AE288" s="100">
        <v>1</v>
      </c>
      <c r="AF288" s="100"/>
      <c r="AG288" s="103">
        <v>5096</v>
      </c>
      <c r="AH288" s="103" t="s">
        <v>1940</v>
      </c>
      <c r="AI288" s="102">
        <f>IFERROR(ROUND((VLOOKUP($A288,'Из ГУГЛа'!$B:$Z,AI$1,0)+AK288)*AJ288,),VLOOKUP($A288,'Из ГУГЛа'!$B:$Z,AI$1,0))</f>
        <v>0</v>
      </c>
      <c r="AJ288" s="100">
        <v>1</v>
      </c>
      <c r="AK288" s="100"/>
      <c r="AL288" s="103"/>
      <c r="AM288" s="103"/>
      <c r="AN288" s="102">
        <f>IFERROR(ROUND((VLOOKUP($A288,'Из ГУГЛа'!$B:$Z,AN$1,0)+AP288)*AO288,),VLOOKUP($A288,'Из ГУГЛа'!$B:$Z,AN$1,0))</f>
        <v>0</v>
      </c>
      <c r="AO288" s="100">
        <v>1</v>
      </c>
      <c r="AP288" s="100"/>
      <c r="AQ288" s="103"/>
      <c r="AR288" s="103"/>
    </row>
    <row r="289" spans="13:13" ht="15.75" thickTop="1" x14ac:dyDescent="0.25"/>
    <row r="294" spans="13:13" x14ac:dyDescent="0.25">
      <c r="M294" s="44">
        <f t="shared" ref="M294" si="94">K294*L294</f>
        <v>0</v>
      </c>
    </row>
    <row r="295" spans="13:13" x14ac:dyDescent="0.25">
      <c r="M295" s="61">
        <f>AA295-10</f>
        <v>-10</v>
      </c>
    </row>
    <row r="296" spans="13:13" x14ac:dyDescent="0.25">
      <c r="M296" s="65">
        <f>AA296-30</f>
        <v>-30</v>
      </c>
    </row>
    <row r="297" spans="13:13" x14ac:dyDescent="0.25">
      <c r="M297" s="66">
        <f>AA297-100</f>
        <v>-100</v>
      </c>
    </row>
    <row r="298" spans="13:13" x14ac:dyDescent="0.25">
      <c r="M298" s="67">
        <f>AA298</f>
        <v>0</v>
      </c>
    </row>
    <row r="299" spans="13:13" x14ac:dyDescent="0.25">
      <c r="M299" s="67">
        <f>AA299*1.02</f>
        <v>0</v>
      </c>
    </row>
    <row r="300" spans="13:13" x14ac:dyDescent="0.25">
      <c r="M300" s="68">
        <f>AA300*1.05</f>
        <v>0</v>
      </c>
    </row>
    <row r="301" spans="13:13" x14ac:dyDescent="0.25">
      <c r="M301" s="77">
        <f>AA301*1.08</f>
        <v>0</v>
      </c>
    </row>
    <row r="302" spans="13:13" x14ac:dyDescent="0.25">
      <c r="M302" s="76">
        <f>K302*1.25</f>
        <v>0</v>
      </c>
    </row>
  </sheetData>
  <autoFilter ref="A2:AR2" xr:uid="{00000000-0001-0000-0000-000000000000}"/>
  <conditionalFormatting sqref="I1:I1048576">
    <cfRule type="duplicateValues" dxfId="12" priority="12"/>
  </conditionalFormatting>
  <conditionalFormatting sqref="C3:C288">
    <cfRule type="expression" dxfId="11" priority="9">
      <formula>OR(D3="N",E3="0")</formula>
    </cfRule>
  </conditionalFormatting>
  <conditionalFormatting sqref="A3:A288">
    <cfRule type="expression" dxfId="10" priority="8">
      <formula>AND($Q3=0,$R3=0)</formula>
    </cfRule>
  </conditionalFormatting>
  <conditionalFormatting sqref="X282:X288">
    <cfRule type="expression" dxfId="9" priority="7">
      <formula>VALUE(X282)&lt;&gt;AA282</formula>
    </cfRule>
  </conditionalFormatting>
  <conditionalFormatting sqref="U3:U288">
    <cfRule type="cellIs" dxfId="8" priority="5" operator="lessThan">
      <formula>0%</formula>
    </cfRule>
  </conditionalFormatting>
  <conditionalFormatting sqref="V3:V288 T3:T288">
    <cfRule type="cellIs" dxfId="7" priority="4" operator="lessThan">
      <formula>$S$1</formula>
    </cfRule>
  </conditionalFormatting>
  <conditionalFormatting sqref="X3:X281">
    <cfRule type="expression" dxfId="6" priority="6">
      <formula>VALUE(X3)&lt;&gt;AA3</formula>
    </cfRule>
  </conditionalFormatting>
  <conditionalFormatting sqref="AD3:AD288">
    <cfRule type="expression" dxfId="5" priority="3">
      <formula>VALUE(AD3)&lt;&gt;AG3</formula>
    </cfRule>
  </conditionalFormatting>
  <conditionalFormatting sqref="AI3:AI288">
    <cfRule type="expression" dxfId="4" priority="2">
      <formula>VALUE(AI3)&lt;&gt;AL3</formula>
    </cfRule>
  </conditionalFormatting>
  <conditionalFormatting sqref="AN3:AN288">
    <cfRule type="expression" dxfId="3" priority="1">
      <formula>VALUE(AN3)&lt;&gt;AQ3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2BA4B-EA49-4610-B544-2B96C59D5340}">
  <sheetPr codeName="Лист2"/>
  <dimension ref="A1:I485"/>
  <sheetViews>
    <sheetView workbookViewId="0">
      <pane ySplit="1" topLeftCell="A331" activePane="bottomLeft" state="frozen"/>
      <selection pane="bottomLeft" activeCell="B361" sqref="B361"/>
    </sheetView>
  </sheetViews>
  <sheetFormatPr defaultColWidth="9.140625" defaultRowHeight="15" x14ac:dyDescent="0.25"/>
  <cols>
    <col min="1" max="1" width="52.5703125" customWidth="1"/>
    <col min="2" max="2" width="18.28515625" style="2" customWidth="1"/>
    <col min="3" max="3" width="76.85546875" style="2" bestFit="1" customWidth="1"/>
    <col min="4" max="4" width="28.85546875" style="2" bestFit="1" customWidth="1"/>
    <col min="5" max="5" width="19.42578125" style="86" bestFit="1" customWidth="1"/>
    <col min="6" max="6" width="15.42578125" bestFit="1" customWidth="1"/>
    <col min="7" max="7" width="7" bestFit="1" customWidth="1"/>
    <col min="8" max="8" width="7" style="8" customWidth="1"/>
    <col min="9" max="9" width="46.85546875" customWidth="1"/>
  </cols>
  <sheetData>
    <row r="1" spans="1:9" s="2" customFormat="1" ht="51" x14ac:dyDescent="0.2">
      <c r="A1" s="15" t="s">
        <v>182</v>
      </c>
      <c r="B1" s="104" t="s">
        <v>1448</v>
      </c>
      <c r="C1" s="10" t="s">
        <v>183</v>
      </c>
      <c r="D1" s="10" t="s">
        <v>184</v>
      </c>
      <c r="E1" s="81" t="s">
        <v>1449</v>
      </c>
    </row>
    <row r="2" spans="1:9" s="2" customFormat="1" ht="12.75" x14ac:dyDescent="0.2">
      <c r="A2" s="40" t="str">
        <f>_xlfn.CONCAT(B2:D2)</f>
        <v>ПРОВОД 0,5</v>
      </c>
      <c r="B2" s="14"/>
      <c r="C2" s="15" t="s">
        <v>185</v>
      </c>
      <c r="D2" s="16"/>
      <c r="E2" s="17">
        <v>12</v>
      </c>
      <c r="F2" s="105" t="str">
        <f>IFERROR(IFERROR(VLOOKUP(D2,Кат!$I:$J,2,0),VLOOKUP(A2,Кат!$I:$J,2,0)),"")</f>
        <v/>
      </c>
      <c r="G2" s="105" t="str">
        <f>IFERROR(IFERROR(INDEX(Кат!$A:$A,MATCH(Прайс!D2,Кат!$I:$I,0)),INDEX(Кат!$A:$A,MATCH(A2,Кат!$I:$I,0))),"")</f>
        <v/>
      </c>
      <c r="H2" s="105" t="str">
        <f>IFERROR(IFERROR(INDEX(Кат!$B:$B,MATCH(Прайс!D2,Кат!$I:$I,0)),INDEX(Кат!$B:$B,MATCH(A2,Кат!$I:$I,0))),"")</f>
        <v/>
      </c>
      <c r="I2" s="2" t="str">
        <f>_xlfn.CONCAT(B2:D2)</f>
        <v>ПРОВОД 0,5</v>
      </c>
    </row>
    <row r="3" spans="1:9" s="2" customFormat="1" ht="12.75" x14ac:dyDescent="0.2">
      <c r="A3" s="40" t="str">
        <f t="shared" ref="A3:A66" si="0">_xlfn.CONCAT(B3:D3)</f>
        <v>ПРОВОД 0,75</v>
      </c>
      <c r="B3" s="14"/>
      <c r="C3" s="15" t="s">
        <v>186</v>
      </c>
      <c r="D3" s="16"/>
      <c r="E3" s="17">
        <v>15</v>
      </c>
      <c r="F3" s="105" t="str">
        <f>IFERROR(IFERROR(VLOOKUP(D3,Кат!$I:$J,2,0),VLOOKUP(A3,Кат!$I:$J,2,0)),"")</f>
        <v/>
      </c>
      <c r="G3" s="105" t="str">
        <f>IFERROR(IFERROR(INDEX(Кат!$A:$A,MATCH(Прайс!D3,Кат!$I:$I,0)),INDEX(Кат!$A:$A,MATCH(A3,Кат!$I:$I,0))),"")</f>
        <v/>
      </c>
      <c r="H3" s="105" t="str">
        <f>IFERROR(IFERROR(INDEX(Кат!$B:$B,MATCH(Прайс!D3,Кат!$I:$I,0)),INDEX(Кат!$B:$B,MATCH(A3,Кат!$I:$I,0))),"")</f>
        <v/>
      </c>
      <c r="I3" s="2" t="str">
        <f t="shared" ref="I3:I66" si="1">_xlfn.CONCAT(B3:D3)</f>
        <v>ПРОВОД 0,75</v>
      </c>
    </row>
    <row r="4" spans="1:9" s="2" customFormat="1" ht="12.75" x14ac:dyDescent="0.2">
      <c r="A4" s="40" t="str">
        <f t="shared" si="0"/>
        <v>ПРОВОД 1,0</v>
      </c>
      <c r="B4" s="14"/>
      <c r="C4" s="15" t="s">
        <v>187</v>
      </c>
      <c r="D4" s="16"/>
      <c r="E4" s="17">
        <v>19</v>
      </c>
      <c r="F4" s="105" t="str">
        <f>IFERROR(IFERROR(VLOOKUP(D4,Кат!$I:$J,2,0),VLOOKUP(A4,Кат!$I:$J,2,0)),"")</f>
        <v/>
      </c>
      <c r="G4" s="105" t="str">
        <f>IFERROR(IFERROR(INDEX(Кат!$A:$A,MATCH(Прайс!D4,Кат!$I:$I,0)),INDEX(Кат!$A:$A,MATCH(A4,Кат!$I:$I,0))),"")</f>
        <v/>
      </c>
      <c r="H4" s="105" t="str">
        <f>IFERROR(IFERROR(INDEX(Кат!$B:$B,MATCH(Прайс!D4,Кат!$I:$I,0)),INDEX(Кат!$B:$B,MATCH(A4,Кат!$I:$I,0))),"")</f>
        <v/>
      </c>
      <c r="I4" s="2" t="str">
        <f t="shared" si="1"/>
        <v>ПРОВОД 1,0</v>
      </c>
    </row>
    <row r="5" spans="1:9" s="2" customFormat="1" ht="12.75" x14ac:dyDescent="0.2">
      <c r="A5" s="40" t="str">
        <f t="shared" si="0"/>
        <v>ПРОВОД 1,5</v>
      </c>
      <c r="B5" s="14"/>
      <c r="C5" s="15" t="s">
        <v>188</v>
      </c>
      <c r="D5" s="16"/>
      <c r="E5" s="17">
        <v>26</v>
      </c>
      <c r="F5" s="105" t="str">
        <f>IFERROR(IFERROR(VLOOKUP(D5,Кат!$I:$J,2,0),VLOOKUP(A5,Кат!$I:$J,2,0)),"")</f>
        <v/>
      </c>
      <c r="G5" s="105" t="str">
        <f>IFERROR(IFERROR(INDEX(Кат!$A:$A,MATCH(Прайс!D5,Кат!$I:$I,0)),INDEX(Кат!$A:$A,MATCH(A5,Кат!$I:$I,0))),"")</f>
        <v/>
      </c>
      <c r="H5" s="105" t="str">
        <f>IFERROR(IFERROR(INDEX(Кат!$B:$B,MATCH(Прайс!D5,Кат!$I:$I,0)),INDEX(Кат!$B:$B,MATCH(A5,Кат!$I:$I,0))),"")</f>
        <v/>
      </c>
      <c r="I5" s="2" t="str">
        <f t="shared" si="1"/>
        <v>ПРОВОД 1,5</v>
      </c>
    </row>
    <row r="6" spans="1:9" s="2" customFormat="1" ht="12.75" x14ac:dyDescent="0.2">
      <c r="A6" s="40" t="str">
        <f t="shared" si="0"/>
        <v>ПРОВОД 2,5</v>
      </c>
      <c r="B6" s="14"/>
      <c r="C6" s="15" t="s">
        <v>189</v>
      </c>
      <c r="D6" s="16"/>
      <c r="E6" s="17">
        <v>40</v>
      </c>
      <c r="F6" s="105" t="str">
        <f>IFERROR(IFERROR(VLOOKUP(D6,Кат!$I:$J,2,0),VLOOKUP(A6,Кат!$I:$J,2,0)),"")</f>
        <v/>
      </c>
      <c r="G6" s="105" t="str">
        <f>IFERROR(IFERROR(INDEX(Кат!$A:$A,MATCH(Прайс!D6,Кат!$I:$I,0)),INDEX(Кат!$A:$A,MATCH(A6,Кат!$I:$I,0))),"")</f>
        <v/>
      </c>
      <c r="H6" s="105" t="str">
        <f>IFERROR(IFERROR(INDEX(Кат!$B:$B,MATCH(Прайс!D6,Кат!$I:$I,0)),INDEX(Кат!$B:$B,MATCH(A6,Кат!$I:$I,0))),"")</f>
        <v/>
      </c>
      <c r="I6" s="2" t="str">
        <f t="shared" si="1"/>
        <v>ПРОВОД 2,5</v>
      </c>
    </row>
    <row r="7" spans="1:9" s="2" customFormat="1" ht="12.75" x14ac:dyDescent="0.2">
      <c r="A7" s="40" t="str">
        <f t="shared" si="0"/>
        <v>ПРОВОД 4,0</v>
      </c>
      <c r="B7" s="14"/>
      <c r="C7" s="15" t="s">
        <v>190</v>
      </c>
      <c r="D7" s="16"/>
      <c r="E7" s="17">
        <v>70</v>
      </c>
      <c r="F7" s="105" t="str">
        <f>IFERROR(IFERROR(VLOOKUP(D7,Кат!$I:$J,2,0),VLOOKUP(A7,Кат!$I:$J,2,0)),"")</f>
        <v/>
      </c>
      <c r="G7" s="105" t="str">
        <f>IFERROR(IFERROR(INDEX(Кат!$A:$A,MATCH(Прайс!D7,Кат!$I:$I,0)),INDEX(Кат!$A:$A,MATCH(A7,Кат!$I:$I,0))),"")</f>
        <v/>
      </c>
      <c r="H7" s="105" t="str">
        <f>IFERROR(IFERROR(INDEX(Кат!$B:$B,MATCH(Прайс!D7,Кат!$I:$I,0)),INDEX(Кат!$B:$B,MATCH(A7,Кат!$I:$I,0))),"")</f>
        <v/>
      </c>
      <c r="I7" s="2" t="str">
        <f t="shared" si="1"/>
        <v>ПРОВОД 4,0</v>
      </c>
    </row>
    <row r="8" spans="1:9" s="2" customFormat="1" ht="12.75" x14ac:dyDescent="0.2">
      <c r="A8" s="40" t="str">
        <f t="shared" si="0"/>
        <v>ПРОВОД 6,0</v>
      </c>
      <c r="B8" s="14"/>
      <c r="C8" s="15" t="s">
        <v>191</v>
      </c>
      <c r="D8" s="16"/>
      <c r="E8" s="17">
        <v>95</v>
      </c>
      <c r="F8" s="105" t="str">
        <f>IFERROR(IFERROR(VLOOKUP(D8,Кат!$I:$J,2,0),VLOOKUP(A8,Кат!$I:$J,2,0)),"")</f>
        <v/>
      </c>
      <c r="G8" s="105" t="str">
        <f>IFERROR(IFERROR(INDEX(Кат!$A:$A,MATCH(Прайс!D8,Кат!$I:$I,0)),INDEX(Кат!$A:$A,MATCH(A8,Кат!$I:$I,0))),"")</f>
        <v/>
      </c>
      <c r="H8" s="105" t="str">
        <f>IFERROR(IFERROR(INDEX(Кат!$B:$B,MATCH(Прайс!D8,Кат!$I:$I,0)),INDEX(Кат!$B:$B,MATCH(A8,Кат!$I:$I,0))),"")</f>
        <v/>
      </c>
      <c r="I8" s="2" t="str">
        <f t="shared" si="1"/>
        <v>ПРОВОД 6,0</v>
      </c>
    </row>
    <row r="9" spans="1:9" s="2" customFormat="1" ht="12.75" x14ac:dyDescent="0.2">
      <c r="A9" s="40" t="str">
        <f t="shared" si="0"/>
        <v>ПРОВОД 10,0</v>
      </c>
      <c r="B9" s="14"/>
      <c r="C9" s="15" t="s">
        <v>192</v>
      </c>
      <c r="D9" s="16"/>
      <c r="E9" s="17">
        <v>160</v>
      </c>
      <c r="F9" s="105" t="str">
        <f>IFERROR(IFERROR(VLOOKUP(D9,Кат!$I:$J,2,0),VLOOKUP(A9,Кат!$I:$J,2,0)),"")</f>
        <v/>
      </c>
      <c r="G9" s="105" t="str">
        <f>IFERROR(IFERROR(INDEX(Кат!$A:$A,MATCH(Прайс!D9,Кат!$I:$I,0)),INDEX(Кат!$A:$A,MATCH(A9,Кат!$I:$I,0))),"")</f>
        <v/>
      </c>
      <c r="H9" s="105" t="str">
        <f>IFERROR(IFERROR(INDEX(Кат!$B:$B,MATCH(Прайс!D9,Кат!$I:$I,0)),INDEX(Кат!$B:$B,MATCH(A9,Кат!$I:$I,0))),"")</f>
        <v/>
      </c>
      <c r="I9" s="2" t="str">
        <f t="shared" si="1"/>
        <v>ПРОВОД 10,0</v>
      </c>
    </row>
    <row r="10" spans="1:9" s="2" customFormat="1" ht="12.75" x14ac:dyDescent="0.2">
      <c r="A10" s="40" t="str">
        <f t="shared" si="0"/>
        <v>ПРОВОД 16,0</v>
      </c>
      <c r="B10" s="14"/>
      <c r="C10" s="15" t="s">
        <v>193</v>
      </c>
      <c r="D10" s="16"/>
      <c r="E10" s="17">
        <v>260</v>
      </c>
      <c r="F10" s="105" t="str">
        <f>IFERROR(IFERROR(VLOOKUP(D10,Кат!$I:$J,2,0),VLOOKUP(A10,Кат!$I:$J,2,0)),"")</f>
        <v/>
      </c>
      <c r="G10" s="105" t="str">
        <f>IFERROR(IFERROR(INDEX(Кат!$A:$A,MATCH(Прайс!D10,Кат!$I:$I,0)),INDEX(Кат!$A:$A,MATCH(A10,Кат!$I:$I,0))),"")</f>
        <v/>
      </c>
      <c r="H10" s="105" t="str">
        <f>IFERROR(IFERROR(INDEX(Кат!$B:$B,MATCH(Прайс!D10,Кат!$I:$I,0)),INDEX(Кат!$B:$B,MATCH(A10,Кат!$I:$I,0))),"")</f>
        <v/>
      </c>
      <c r="I10" s="2" t="str">
        <f t="shared" si="1"/>
        <v>ПРОВОД 16,0</v>
      </c>
    </row>
    <row r="11" spans="1:9" s="2" customFormat="1" ht="12.75" x14ac:dyDescent="0.2">
      <c r="A11" s="40" t="str">
        <f t="shared" si="0"/>
        <v>ПРОВОД 25,0</v>
      </c>
      <c r="B11" s="14"/>
      <c r="C11" s="15" t="s">
        <v>194</v>
      </c>
      <c r="D11" s="16"/>
      <c r="E11" s="17">
        <v>380</v>
      </c>
      <c r="F11" s="105" t="str">
        <f>IFERROR(IFERROR(VLOOKUP(D11,Кат!$I:$J,2,0),VLOOKUP(A11,Кат!$I:$J,2,0)),"")</f>
        <v/>
      </c>
      <c r="G11" s="105" t="str">
        <f>IFERROR(IFERROR(INDEX(Кат!$A:$A,MATCH(Прайс!D11,Кат!$I:$I,0)),INDEX(Кат!$A:$A,MATCH(A11,Кат!$I:$I,0))),"")</f>
        <v/>
      </c>
      <c r="H11" s="105" t="str">
        <f>IFERROR(IFERROR(INDEX(Кат!$B:$B,MATCH(Прайс!D11,Кат!$I:$I,0)),INDEX(Кат!$B:$B,MATCH(A11,Кат!$I:$I,0))),"")</f>
        <v/>
      </c>
      <c r="I11" s="2" t="str">
        <f t="shared" si="1"/>
        <v>ПРОВОД 25,0</v>
      </c>
    </row>
    <row r="12" spans="1:9" s="2" customFormat="1" ht="12.75" x14ac:dyDescent="0.2">
      <c r="A12" s="40" t="str">
        <f t="shared" si="0"/>
        <v>ПРОВОД 35,0</v>
      </c>
      <c r="B12" s="14"/>
      <c r="C12" s="15" t="s">
        <v>195</v>
      </c>
      <c r="D12" s="16"/>
      <c r="E12" s="17">
        <v>550</v>
      </c>
      <c r="F12" s="105" t="str">
        <f>IFERROR(IFERROR(VLOOKUP(D12,Кат!$I:$J,2,0),VLOOKUP(A12,Кат!$I:$J,2,0)),"")</f>
        <v/>
      </c>
      <c r="G12" s="105" t="str">
        <f>IFERROR(IFERROR(INDEX(Кат!$A:$A,MATCH(Прайс!D12,Кат!$I:$I,0)),INDEX(Кат!$A:$A,MATCH(A12,Кат!$I:$I,0))),"")</f>
        <v/>
      </c>
      <c r="H12" s="105" t="str">
        <f>IFERROR(IFERROR(INDEX(Кат!$B:$B,MATCH(Прайс!D12,Кат!$I:$I,0)),INDEX(Кат!$B:$B,MATCH(A12,Кат!$I:$I,0))),"")</f>
        <v/>
      </c>
      <c r="I12" s="2" t="str">
        <f t="shared" si="1"/>
        <v>ПРОВОД 35,0</v>
      </c>
    </row>
    <row r="13" spans="1:9" s="2" customFormat="1" ht="12.75" x14ac:dyDescent="0.2">
      <c r="A13" s="40" t="str">
        <f t="shared" si="0"/>
        <v>ПРОВОД 50,0</v>
      </c>
      <c r="B13" s="14"/>
      <c r="C13" s="15" t="s">
        <v>196</v>
      </c>
      <c r="D13" s="16"/>
      <c r="E13" s="17">
        <v>900</v>
      </c>
      <c r="F13" s="105" t="str">
        <f>IFERROR(IFERROR(VLOOKUP(D13,Кат!$I:$J,2,0),VLOOKUP(A13,Кат!$I:$J,2,0)),"")</f>
        <v/>
      </c>
      <c r="G13" s="105" t="str">
        <f>IFERROR(IFERROR(INDEX(Кат!$A:$A,MATCH(Прайс!D13,Кат!$I:$I,0)),INDEX(Кат!$A:$A,MATCH(A13,Кат!$I:$I,0))),"")</f>
        <v/>
      </c>
      <c r="H13" s="105" t="str">
        <f>IFERROR(IFERROR(INDEX(Кат!$B:$B,MATCH(Прайс!D13,Кат!$I:$I,0)),INDEX(Кат!$B:$B,MATCH(A13,Кат!$I:$I,0))),"")</f>
        <v/>
      </c>
      <c r="I13" s="2" t="str">
        <f t="shared" si="1"/>
        <v>ПРОВОД 50,0</v>
      </c>
    </row>
    <row r="14" spans="1:9" s="2" customFormat="1" ht="12.75" x14ac:dyDescent="0.2">
      <c r="A14" s="40" t="str">
        <f t="shared" si="0"/>
        <v>ПРОВОД 70,0</v>
      </c>
      <c r="B14" s="14"/>
      <c r="C14" s="15" t="s">
        <v>197</v>
      </c>
      <c r="D14" s="16"/>
      <c r="E14" s="17">
        <v>1100</v>
      </c>
      <c r="F14" s="105" t="str">
        <f>IFERROR(IFERROR(VLOOKUP(D14,Кат!$I:$J,2,0),VLOOKUP(A14,Кат!$I:$J,2,0)),"")</f>
        <v/>
      </c>
      <c r="G14" s="105" t="str">
        <f>IFERROR(IFERROR(INDEX(Кат!$A:$A,MATCH(Прайс!D14,Кат!$I:$I,0)),INDEX(Кат!$A:$A,MATCH(A14,Кат!$I:$I,0))),"")</f>
        <v/>
      </c>
      <c r="H14" s="105" t="str">
        <f>IFERROR(IFERROR(INDEX(Кат!$B:$B,MATCH(Прайс!D14,Кат!$I:$I,0)),INDEX(Кат!$B:$B,MATCH(A14,Кат!$I:$I,0))),"")</f>
        <v/>
      </c>
      <c r="I14" s="2" t="str">
        <f t="shared" si="1"/>
        <v>ПРОВОД 70,0</v>
      </c>
    </row>
    <row r="15" spans="1:9" s="2" customFormat="1" ht="12.75" x14ac:dyDescent="0.2">
      <c r="A15" s="40" t="str">
        <f t="shared" si="0"/>
        <v>ВАЗ 2101Плетёнка "-" (кольцо/кольцо), 70 смВАЗ 2101</v>
      </c>
      <c r="B15" s="18" t="s">
        <v>90</v>
      </c>
      <c r="C15" s="19" t="s">
        <v>835</v>
      </c>
      <c r="D15" s="19" t="s">
        <v>90</v>
      </c>
      <c r="E15" s="20">
        <v>100</v>
      </c>
      <c r="F15" s="105" t="str">
        <f>IFERROR(IFERROR(VLOOKUP(D15,Кат!$I:$J,2,0),VLOOKUP(A15,Кат!$I:$J,2,0)),"")</f>
        <v>сергей проводка</v>
      </c>
      <c r="G15" s="105">
        <f>IFERROR(IFERROR(INDEX(Кат!$A:$A,MATCH(Прайс!D15,Кат!$I:$I,0)),INDEX(Кат!$A:$A,MATCH(A15,Кат!$I:$I,0))),"")</f>
        <v>201254</v>
      </c>
      <c r="H15" s="105">
        <f>IFERROR(IFERROR(INDEX(Кат!$B:$B,MATCH(Прайс!D15,Кат!$I:$I,0)),INDEX(Кат!$B:$B,MATCH(A15,Кат!$I:$I,0))),"")</f>
        <v>13228</v>
      </c>
      <c r="I15" s="2" t="str">
        <f t="shared" si="1"/>
        <v>ВАЗ 2101Плетёнка "-" (кольцо/кольцо), 70 смВАЗ 2101</v>
      </c>
    </row>
    <row r="16" spans="1:9" s="2" customFormat="1" ht="12.75" x14ac:dyDescent="0.2">
      <c r="A16" s="40" t="str">
        <f t="shared" si="0"/>
        <v>ВАЗ 2101Жгут проводов соединительный (КЛЕММА "+"  евро)ВАЗ 2101,05,07-3724070</v>
      </c>
      <c r="B16" s="21" t="s">
        <v>90</v>
      </c>
      <c r="C16" s="22" t="s">
        <v>836</v>
      </c>
      <c r="D16" s="22" t="s">
        <v>71</v>
      </c>
      <c r="E16" s="23">
        <v>500</v>
      </c>
      <c r="F16" s="105" t="str">
        <f>IFERROR(IFERROR(VLOOKUP(D16,Кат!$I:$J,2,0),VLOOKUP(A16,Кат!$I:$J,2,0)),"")</f>
        <v>сергей проводка</v>
      </c>
      <c r="G16" s="105">
        <f>IFERROR(IFERROR(INDEX(Кат!$A:$A,MATCH(Прайс!D16,Кат!$I:$I,0)),INDEX(Кат!$A:$A,MATCH(A16,Кат!$I:$I,0))),"")</f>
        <v>144976</v>
      </c>
      <c r="H16" s="105">
        <f>IFERROR(IFERROR(INDEX(Кат!$B:$B,MATCH(Прайс!D16,Кат!$I:$I,0)),INDEX(Кат!$B:$B,MATCH(A16,Кат!$I:$I,0))),"")</f>
        <v>13229</v>
      </c>
      <c r="I16" s="2" t="str">
        <f t="shared" si="1"/>
        <v>ВАЗ 2101Жгут проводов соединительный (КЛЕММА "+"  евро)ВАЗ 2101,05,07-3724070</v>
      </c>
    </row>
    <row r="17" spans="1:9" s="2" customFormat="1" ht="12.75" x14ac:dyDescent="0.2">
      <c r="A17" s="40" t="str">
        <f t="shared" si="0"/>
        <v>ВАЗ 2101Жгут проводов соединительный (КЛЕММА " - " евро)ВАЗ 2101,2110,1118</v>
      </c>
      <c r="B17" s="21" t="s">
        <v>90</v>
      </c>
      <c r="C17" s="22" t="s">
        <v>837</v>
      </c>
      <c r="D17" s="22" t="s">
        <v>198</v>
      </c>
      <c r="E17" s="23">
        <v>400</v>
      </c>
      <c r="F17" s="105" t="str">
        <f>IFERROR(IFERROR(VLOOKUP(D17,Кат!$I:$J,2,0),VLOOKUP(A17,Кат!$I:$J,2,0)),"")</f>
        <v>сергей проводка</v>
      </c>
      <c r="G17" s="105">
        <f>IFERROR(IFERROR(INDEX(Кат!$A:$A,MATCH(Прайс!D17,Кат!$I:$I,0)),INDEX(Кат!$A:$A,MATCH(A17,Кат!$I:$I,0))),"")</f>
        <v>163978</v>
      </c>
      <c r="H17" s="105">
        <f>IFERROR(IFERROR(INDEX(Кат!$B:$B,MATCH(Прайс!D17,Кат!$I:$I,0)),INDEX(Кат!$B:$B,MATCH(A17,Кат!$I:$I,0))),"")</f>
        <v>14185</v>
      </c>
      <c r="I17" s="2" t="str">
        <f t="shared" si="1"/>
        <v>ВАЗ 2101Жгут проводов соединительный (КЛЕММА " - " евро)ВАЗ 2101,2110,1118</v>
      </c>
    </row>
    <row r="18" spans="1:9" s="2" customFormat="1" ht="12.75" x14ac:dyDescent="0.2">
      <c r="A18" s="40" t="str">
        <f t="shared" si="0"/>
        <v>ВАЗ 2101Жгут проводов под капот (передняя часть)ВАЗ 21011-3724008</v>
      </c>
      <c r="B18" s="21" t="s">
        <v>90</v>
      </c>
      <c r="C18" s="22" t="s">
        <v>199</v>
      </c>
      <c r="D18" s="22" t="s">
        <v>28</v>
      </c>
      <c r="E18" s="23">
        <v>3000</v>
      </c>
      <c r="F18" s="105" t="str">
        <f>IFERROR(IFERROR(VLOOKUP(D18,Кат!$I:$J,2,0),VLOOKUP(A18,Кат!$I:$J,2,0)),"")</f>
        <v>сергей проводка</v>
      </c>
      <c r="G18" s="105">
        <f>IFERROR(IFERROR(INDEX(Кат!$A:$A,MATCH(Прайс!D18,Кат!$I:$I,0)),INDEX(Кат!$A:$A,MATCH(A18,Кат!$I:$I,0))),"")</f>
        <v>144942</v>
      </c>
      <c r="H18" s="105">
        <f>IFERROR(IFERROR(INDEX(Кат!$B:$B,MATCH(Прайс!D18,Кат!$I:$I,0)),INDEX(Кат!$B:$B,MATCH(A18,Кат!$I:$I,0))),"")</f>
        <v>13230</v>
      </c>
      <c r="I18" s="2" t="str">
        <f t="shared" si="1"/>
        <v>ВАЗ 2101Жгут проводов под капот (передняя часть)ВАЗ 21011-3724008</v>
      </c>
    </row>
    <row r="19" spans="1:9" s="2" customFormat="1" ht="12.75" x14ac:dyDescent="0.2">
      <c r="A19" s="40" t="str">
        <f t="shared" si="0"/>
        <v>ВАЗ 2101Жгут проводов заднийВАЗ 21011-3724210</v>
      </c>
      <c r="B19" s="21" t="s">
        <v>90</v>
      </c>
      <c r="C19" s="22" t="s">
        <v>200</v>
      </c>
      <c r="D19" s="22" t="s">
        <v>65</v>
      </c>
      <c r="E19" s="23">
        <v>1000</v>
      </c>
      <c r="F19" s="105" t="str">
        <f>IFERROR(IFERROR(VLOOKUP(D19,Кат!$I:$J,2,0),VLOOKUP(A19,Кат!$I:$J,2,0)),"")</f>
        <v>сергей проводка</v>
      </c>
      <c r="G19" s="105">
        <f>IFERROR(IFERROR(INDEX(Кат!$A:$A,MATCH(Прайс!D19,Кат!$I:$I,0)),INDEX(Кат!$A:$A,MATCH(A19,Кат!$I:$I,0))),"")</f>
        <v>144840</v>
      </c>
      <c r="H19" s="105">
        <f>IFERROR(IFERROR(INDEX(Кат!$B:$B,MATCH(Прайс!D19,Кат!$I:$I,0)),INDEX(Кат!$B:$B,MATCH(A19,Кат!$I:$I,0))),"")</f>
        <v>13231</v>
      </c>
      <c r="I19" s="2" t="str">
        <f t="shared" si="1"/>
        <v>ВАЗ 2101Жгут проводов заднийВАЗ 21011-3724210</v>
      </c>
    </row>
    <row r="20" spans="1:9" s="2" customFormat="1" ht="12.75" x14ac:dyDescent="0.2">
      <c r="A20" s="40" t="str">
        <f t="shared" si="0"/>
        <v>ВАЗ 2101Жгут проводов соединительный (КЛЕММА "-" евро 26 см)ВАЗ 2101-3724080</v>
      </c>
      <c r="B20" s="21" t="s">
        <v>90</v>
      </c>
      <c r="C20" s="22" t="s">
        <v>838</v>
      </c>
      <c r="D20" s="22" t="s">
        <v>84</v>
      </c>
      <c r="E20" s="23">
        <v>300</v>
      </c>
      <c r="F20" s="105" t="str">
        <f>IFERROR(IFERROR(VLOOKUP(D20,Кат!$I:$J,2,0),VLOOKUP(A20,Кат!$I:$J,2,0)),"")</f>
        <v>сергей проводка</v>
      </c>
      <c r="G20" s="105">
        <f>IFERROR(IFERROR(INDEX(Кат!$A:$A,MATCH(Прайс!D20,Кат!$I:$I,0)),INDEX(Кат!$A:$A,MATCH(A20,Кат!$I:$I,0))),"")</f>
        <v>201255</v>
      </c>
      <c r="H20" s="105">
        <f>IFERROR(IFERROR(INDEX(Кат!$B:$B,MATCH(Прайс!D20,Кат!$I:$I,0)),INDEX(Кат!$B:$B,MATCH(A20,Кат!$I:$I,0))),"")</f>
        <v>18666</v>
      </c>
      <c r="I20" s="2" t="str">
        <f t="shared" si="1"/>
        <v>ВАЗ 2101Жгут проводов соединительный (КЛЕММА "-" евро 26 см)ВАЗ 2101-3724080</v>
      </c>
    </row>
    <row r="21" spans="1:9" s="2" customFormat="1" ht="12.75" x14ac:dyDescent="0.2">
      <c r="A21" s="40" t="str">
        <f t="shared" si="0"/>
        <v>ВАЗ 2104Жгут системы зажигания (от контроллера)ВАЗ 21043-3724026-10</v>
      </c>
      <c r="B21" s="83" t="s">
        <v>201</v>
      </c>
      <c r="C21" s="22" t="s">
        <v>202</v>
      </c>
      <c r="D21" s="22" t="s">
        <v>20</v>
      </c>
      <c r="E21" s="23">
        <v>8000</v>
      </c>
      <c r="F21" s="105" t="str">
        <f>IFERROR(IFERROR(VLOOKUP(D21,Кат!$I:$J,2,0),VLOOKUP(A21,Кат!$I:$J,2,0)),"")</f>
        <v>сергей проводка</v>
      </c>
      <c r="G21" s="105">
        <f>IFERROR(IFERROR(INDEX(Кат!$A:$A,MATCH(Прайс!D21,Кат!$I:$I,0)),INDEX(Кат!$A:$A,MATCH(A21,Кат!$I:$I,0))),"")</f>
        <v>145009</v>
      </c>
      <c r="H21" s="105">
        <f>IFERROR(IFERROR(INDEX(Кат!$B:$B,MATCH(Прайс!D21,Кат!$I:$I,0)),INDEX(Кат!$B:$B,MATCH(A21,Кат!$I:$I,0))),"")</f>
        <v>13233</v>
      </c>
      <c r="I21" s="2" t="str">
        <f t="shared" si="1"/>
        <v>ВАЗ 2104Жгут системы зажигания (от контроллера)ВАЗ 21043-3724026-10</v>
      </c>
    </row>
    <row r="22" spans="1:9" s="2" customFormat="1" ht="12.75" x14ac:dyDescent="0.2">
      <c r="A22" s="40" t="str">
        <f t="shared" si="0"/>
        <v>ВАЗ 21043Жгут панели приборов (автомобиль 2104, панель 2107)ВАЗ 21043-3724030</v>
      </c>
      <c r="B22" s="83" t="s">
        <v>203</v>
      </c>
      <c r="C22" s="22" t="s">
        <v>204</v>
      </c>
      <c r="D22" s="22" t="s">
        <v>34</v>
      </c>
      <c r="E22" s="23">
        <v>4500</v>
      </c>
      <c r="F22" s="105" t="str">
        <f>IFERROR(IFERROR(VLOOKUP(D22,Кат!$I:$J,2,0),VLOOKUP(A22,Кат!$I:$J,2,0)),"")</f>
        <v>сергей проводка</v>
      </c>
      <c r="G22" s="105">
        <f>IFERROR(IFERROR(INDEX(Кат!$A:$A,MATCH(Прайс!D22,Кат!$I:$I,0)),INDEX(Кат!$A:$A,MATCH(A22,Кат!$I:$I,0))),"")</f>
        <v>144818</v>
      </c>
      <c r="H22" s="105">
        <f>IFERROR(IFERROR(INDEX(Кат!$B:$B,MATCH(Прайс!D22,Кат!$I:$I,0)),INDEX(Кат!$B:$B,MATCH(A22,Кат!$I:$I,0))),"")</f>
        <v>13234</v>
      </c>
      <c r="I22" s="2" t="str">
        <f t="shared" si="1"/>
        <v>ВАЗ 21043Жгут панели приборов (автомобиль 2104, панель 2107)ВАЗ 21043-3724030</v>
      </c>
    </row>
    <row r="23" spans="1:9" s="2" customFormat="1" ht="12.75" x14ac:dyDescent="0.2">
      <c r="A23" s="40" t="str">
        <f t="shared" si="0"/>
        <v>ВАЗ 2104Жгут панели приборовВАЗ 2104-3724030</v>
      </c>
      <c r="B23" s="83" t="s">
        <v>201</v>
      </c>
      <c r="C23" s="22" t="s">
        <v>205</v>
      </c>
      <c r="D23" s="22" t="s">
        <v>47</v>
      </c>
      <c r="E23" s="23">
        <v>4500</v>
      </c>
      <c r="F23" s="105" t="str">
        <f>IFERROR(IFERROR(VLOOKUP(D23,Кат!$I:$J,2,0),VLOOKUP(A23,Кат!$I:$J,2,0)),"")</f>
        <v>сергей проводка</v>
      </c>
      <c r="G23" s="105">
        <f>IFERROR(IFERROR(INDEX(Кат!$A:$A,MATCH(Прайс!D23,Кат!$I:$I,0)),INDEX(Кат!$A:$A,MATCH(A23,Кат!$I:$I,0))),"")</f>
        <v>144817</v>
      </c>
      <c r="H23" s="105">
        <f>IFERROR(IFERROR(INDEX(Кат!$B:$B,MATCH(Прайс!D23,Кат!$I:$I,0)),INDEX(Кат!$B:$B,MATCH(A23,Кат!$I:$I,0))),"")</f>
        <v>46484</v>
      </c>
      <c r="I23" s="2" t="str">
        <f t="shared" si="1"/>
        <v>ВАЗ 2104Жгут панели приборовВАЗ 2104-3724030</v>
      </c>
    </row>
    <row r="24" spans="1:9" s="2" customFormat="1" ht="12.75" x14ac:dyDescent="0.2">
      <c r="A24" s="40" t="str">
        <f t="shared" si="0"/>
        <v>ВАЗ 2104Жгут проводов заднийВАЗ 2104-3724210</v>
      </c>
      <c r="B24" s="83" t="s">
        <v>201</v>
      </c>
      <c r="C24" s="22" t="s">
        <v>200</v>
      </c>
      <c r="D24" s="22" t="s">
        <v>38</v>
      </c>
      <c r="E24" s="23">
        <v>3000</v>
      </c>
      <c r="F24" s="105" t="str">
        <f>IFERROR(IFERROR(VLOOKUP(D24,Кат!$I:$J,2,0),VLOOKUP(A24,Кат!$I:$J,2,0)),"")</f>
        <v>сергей проводка</v>
      </c>
      <c r="G24" s="105">
        <f>IFERROR(IFERROR(INDEX(Кат!$A:$A,MATCH(Прайс!D24,Кат!$I:$I,0)),INDEX(Кат!$A:$A,MATCH(A24,Кат!$I:$I,0))),"")</f>
        <v>144957</v>
      </c>
      <c r="H24" s="105">
        <f>IFERROR(IFERROR(INDEX(Кат!$B:$B,MATCH(Прайс!D24,Кат!$I:$I,0)),INDEX(Кат!$B:$B,MATCH(A24,Кат!$I:$I,0))),"")</f>
        <v>13262</v>
      </c>
      <c r="I24" s="2" t="str">
        <f t="shared" si="1"/>
        <v>ВАЗ 2104Жгут проводов заднийВАЗ 2104-3724210</v>
      </c>
    </row>
    <row r="25" spans="1:9" s="2" customFormat="1" ht="12.75" x14ac:dyDescent="0.2">
      <c r="A25" s="40" t="str">
        <f t="shared" si="0"/>
        <v>ВАЗ 21044Жгут панели приборовВАЗ 21044-3724030-70</v>
      </c>
      <c r="B25" s="83" t="s">
        <v>206</v>
      </c>
      <c r="C25" s="22" t="s">
        <v>205</v>
      </c>
      <c r="D25" s="22" t="s">
        <v>207</v>
      </c>
      <c r="E25" s="23">
        <v>4500</v>
      </c>
      <c r="F25" s="105" t="str">
        <f>IFERROR(IFERROR(VLOOKUP(D25,Кат!$I:$J,2,0),VLOOKUP(A25,Кат!$I:$J,2,0)),"")</f>
        <v>сергей проводка</v>
      </c>
      <c r="G25" s="105">
        <f>IFERROR(IFERROR(INDEX(Кат!$A:$A,MATCH(Прайс!D25,Кат!$I:$I,0)),INDEX(Кат!$A:$A,MATCH(A25,Кат!$I:$I,0))),"")</f>
        <v>144816</v>
      </c>
      <c r="H25" s="105">
        <f>IFERROR(IFERROR(INDEX(Кат!$B:$B,MATCH(Прайс!D25,Кат!$I:$I,0)),INDEX(Кат!$B:$B,MATCH(A25,Кат!$I:$I,0))),"")</f>
        <v>13235</v>
      </c>
      <c r="I25" s="2" t="str">
        <f t="shared" si="1"/>
        <v>ВАЗ 21044Жгут панели приборовВАЗ 21044-3724030-70</v>
      </c>
    </row>
    <row r="26" spans="1:9" s="2" customFormat="1" ht="12.75" x14ac:dyDescent="0.2">
      <c r="A26" s="40" t="str">
        <f t="shared" si="0"/>
        <v>ВАЗ 2105Жгут панели приборовВАЗ 2105-3724030</v>
      </c>
      <c r="B26" s="83" t="s">
        <v>208</v>
      </c>
      <c r="C26" s="22" t="s">
        <v>205</v>
      </c>
      <c r="D26" s="22" t="s">
        <v>53</v>
      </c>
      <c r="E26" s="23">
        <v>4000</v>
      </c>
      <c r="F26" s="105" t="str">
        <f>IFERROR(IFERROR(VLOOKUP(D26,Кат!$I:$J,2,0),VLOOKUP(A26,Кат!$I:$J,2,0)),"")</f>
        <v>сергей проводка</v>
      </c>
      <c r="G26" s="105">
        <f>IFERROR(IFERROR(INDEX(Кат!$A:$A,MATCH(Прайс!D26,Кат!$I:$I,0)),INDEX(Кат!$A:$A,MATCH(A26,Кат!$I:$I,0))),"")</f>
        <v>144804</v>
      </c>
      <c r="H26" s="105">
        <f>IFERROR(IFERROR(INDEX(Кат!$B:$B,MATCH(Прайс!D26,Кат!$I:$I,0)),INDEX(Кат!$B:$B,MATCH(A26,Кат!$I:$I,0))),"")</f>
        <v>13236</v>
      </c>
      <c r="I26" s="2" t="str">
        <f t="shared" si="1"/>
        <v>ВАЗ 2105Жгут панели приборовВАЗ 2105-3724030</v>
      </c>
    </row>
    <row r="27" spans="1:9" s="2" customFormat="1" ht="12.75" x14ac:dyDescent="0.2">
      <c r="A27" s="40" t="str">
        <f t="shared" si="0"/>
        <v>ВАЗ 2105Жгут проводов под капот в сбореВАЗ 2105,07,04 (карбюратор)</v>
      </c>
      <c r="B27" s="83" t="s">
        <v>208</v>
      </c>
      <c r="C27" s="22" t="s">
        <v>209</v>
      </c>
      <c r="D27" s="22" t="s">
        <v>54</v>
      </c>
      <c r="E27" s="23">
        <v>2500</v>
      </c>
      <c r="F27" s="105" t="str">
        <f>IFERROR(IFERROR(VLOOKUP(D27,Кат!$I:$J,2,0),VLOOKUP(A27,Кат!$I:$J,2,0)),"")</f>
        <v>сергей проводка</v>
      </c>
      <c r="G27" s="105">
        <f>IFERROR(IFERROR(INDEX(Кат!$A:$A,MATCH(Прайс!D27,Кат!$I:$I,0)),INDEX(Кат!$A:$A,MATCH(A27,Кат!$I:$I,0))),"")</f>
        <v>144897</v>
      </c>
      <c r="H27" s="105">
        <f>IFERROR(IFERROR(INDEX(Кат!$B:$B,MATCH(Прайс!D27,Кат!$I:$I,0)),INDEX(Кат!$B:$B,MATCH(A27,Кат!$I:$I,0))),"")</f>
        <v>13258</v>
      </c>
      <c r="I27" s="2" t="str">
        <f t="shared" si="1"/>
        <v>ВАЗ 2105Жгут проводов под капот в сбореВАЗ 2105,07,04 (карбюратор)</v>
      </c>
    </row>
    <row r="28" spans="1:9" s="2" customFormat="1" ht="12.75" x14ac:dyDescent="0.2">
      <c r="A28" s="40" t="str">
        <f t="shared" si="0"/>
        <v>ВАЗ 2105Жгут системы зажигания(коммутаторный пучок )ВАЗ 2105-3724026</v>
      </c>
      <c r="B28" s="83" t="s">
        <v>208</v>
      </c>
      <c r="C28" s="22" t="s">
        <v>210</v>
      </c>
      <c r="D28" s="22" t="s">
        <v>91</v>
      </c>
      <c r="E28" s="23">
        <v>250</v>
      </c>
      <c r="F28" s="105" t="str">
        <f>IFERROR(IFERROR(VLOOKUP(D28,Кат!$I:$J,2,0),VLOOKUP(A28,Кат!$I:$J,2,0)),"")</f>
        <v>сергей проводка</v>
      </c>
      <c r="G28" s="105">
        <f>IFERROR(IFERROR(INDEX(Кат!$A:$A,MATCH(Прайс!D28,Кат!$I:$I,0)),INDEX(Кат!$A:$A,MATCH(A28,Кат!$I:$I,0))),"")</f>
        <v>144866</v>
      </c>
      <c r="H28" s="105">
        <f>IFERROR(IFERROR(INDEX(Кат!$B:$B,MATCH(Прайс!D28,Кат!$I:$I,0)),INDEX(Кат!$B:$B,MATCH(A28,Кат!$I:$I,0))),"")</f>
        <v>13257</v>
      </c>
      <c r="I28" s="2" t="str">
        <f t="shared" si="1"/>
        <v>ВАЗ 2105Жгут системы зажигания(коммутаторный пучок )ВАЗ 2105-3724026</v>
      </c>
    </row>
    <row r="29" spans="1:9" s="2" customFormat="1" ht="12.75" x14ac:dyDescent="0.2">
      <c r="A29" s="40" t="str">
        <f t="shared" si="0"/>
        <v>ВАЗ 2105Жгут проводов соединительный АКБ (КЛЕММА "+"евро)ВАЗ 2101,05,07-3724070</v>
      </c>
      <c r="B29" s="83" t="s">
        <v>208</v>
      </c>
      <c r="C29" s="22" t="s">
        <v>839</v>
      </c>
      <c r="D29" s="22" t="s">
        <v>71</v>
      </c>
      <c r="E29" s="23">
        <v>500</v>
      </c>
      <c r="F29" s="105" t="str">
        <f>IFERROR(IFERROR(VLOOKUP(D29,Кат!$I:$J,2,0),VLOOKUP(A29,Кат!$I:$J,2,0)),"")</f>
        <v/>
      </c>
      <c r="G29" s="105" t="str">
        <f>IFERROR(IFERROR(INDEX(Кат!$A:$A,MATCH(Прайс!D29,Кат!$I:$I,0)),INDEX(Кат!$A:$A,MATCH(A29,Кат!$I:$I,0))),"")</f>
        <v/>
      </c>
      <c r="H29" s="105" t="str">
        <f>IFERROR(IFERROR(INDEX(Кат!$B:$B,MATCH(Прайс!D29,Кат!$I:$I,0)),INDEX(Кат!$B:$B,MATCH(A29,Кат!$I:$I,0))),"")</f>
        <v/>
      </c>
      <c r="I29" s="2" t="str">
        <f t="shared" si="1"/>
        <v>ВАЗ 2105Жгут проводов соединительный АКБ (КЛЕММА "+"евро)ВАЗ 2101,05,07-3724070</v>
      </c>
    </row>
    <row r="30" spans="1:9" s="2" customFormat="1" ht="12.75" x14ac:dyDescent="0.2">
      <c r="A30" s="40" t="str">
        <f t="shared" si="0"/>
        <v>ВАЗ 2105Коса панели приборовВАЗ 2105-3724035</v>
      </c>
      <c r="B30" s="83" t="s">
        <v>208</v>
      </c>
      <c r="C30" s="22" t="s">
        <v>211</v>
      </c>
      <c r="D30" s="22" t="s">
        <v>68</v>
      </c>
      <c r="E30" s="23">
        <v>750</v>
      </c>
      <c r="F30" s="105" t="str">
        <f>IFERROR(IFERROR(VLOOKUP(D30,Кат!$I:$J,2,0),VLOOKUP(A30,Кат!$I:$J,2,0)),"")</f>
        <v>сергей проводка</v>
      </c>
      <c r="G30" s="105">
        <f>IFERROR(IFERROR(INDEX(Кат!$A:$A,MATCH(Прайс!D30,Кат!$I:$I,0)),INDEX(Кат!$A:$A,MATCH(A30,Кат!$I:$I,0))),"")</f>
        <v>160435</v>
      </c>
      <c r="H30" s="105">
        <f>IFERROR(IFERROR(INDEX(Кат!$B:$B,MATCH(Прайс!D30,Кат!$I:$I,0)),INDEX(Кат!$B:$B,MATCH(A30,Кат!$I:$I,0))),"")</f>
        <v>13250</v>
      </c>
      <c r="I30" s="2" t="str">
        <f t="shared" si="1"/>
        <v>ВАЗ 2105Коса панели приборовВАЗ 2105-3724035</v>
      </c>
    </row>
    <row r="31" spans="1:9" s="2" customFormat="1" ht="12.75" x14ac:dyDescent="0.2">
      <c r="A31" s="40" t="str">
        <f t="shared" si="0"/>
        <v>ВАЗ 21053Жгут панели приборов(05 инжектор)ВАЗ 21053-3724030</v>
      </c>
      <c r="B31" s="83" t="s">
        <v>212</v>
      </c>
      <c r="C31" s="22" t="s">
        <v>213</v>
      </c>
      <c r="D31" s="22" t="s">
        <v>102</v>
      </c>
      <c r="E31" s="23">
        <v>4500</v>
      </c>
      <c r="F31" s="105" t="str">
        <f>IFERROR(IFERROR(VLOOKUP(D31,Кат!$I:$J,2,0),VLOOKUP(A31,Кат!$I:$J,2,0)),"")</f>
        <v>сергей проводка</v>
      </c>
      <c r="G31" s="105">
        <f>IFERROR(IFERROR(INDEX(Кат!$A:$A,MATCH(Прайс!D31,Кат!$I:$I,0)),INDEX(Кат!$A:$A,MATCH(A31,Кат!$I:$I,0))),"")</f>
        <v>144805</v>
      </c>
      <c r="H31" s="105">
        <f>IFERROR(IFERROR(INDEX(Кат!$B:$B,MATCH(Прайс!D31,Кат!$I:$I,0)),INDEX(Кат!$B:$B,MATCH(A31,Кат!$I:$I,0))),"")</f>
        <v>13251</v>
      </c>
      <c r="I31" s="2" t="str">
        <f t="shared" si="1"/>
        <v>ВАЗ 21053Жгут панели приборов(05 инжектор)ВАЗ 21053-3724030</v>
      </c>
    </row>
    <row r="32" spans="1:9" s="2" customFormat="1" ht="12.75" x14ac:dyDescent="0.2">
      <c r="A32" s="40" t="str">
        <f t="shared" si="0"/>
        <v>ВАЗ 2105Разъём в фару Н-4(в сборе)ВАЗ 2105-07-08</v>
      </c>
      <c r="B32" s="83" t="s">
        <v>208</v>
      </c>
      <c r="C32" s="24" t="s">
        <v>214</v>
      </c>
      <c r="D32" s="22" t="s">
        <v>215</v>
      </c>
      <c r="E32" s="23">
        <v>100</v>
      </c>
      <c r="F32" s="105" t="str">
        <f>IFERROR(IFERROR(VLOOKUP(D32,Кат!$I:$J,2,0),VLOOKUP(A32,Кат!$I:$J,2,0)),"")</f>
        <v/>
      </c>
      <c r="G32" s="105" t="str">
        <f>IFERROR(IFERROR(INDEX(Кат!$A:$A,MATCH(Прайс!D32,Кат!$I:$I,0)),INDEX(Кат!$A:$A,MATCH(A32,Кат!$I:$I,0))),"")</f>
        <v/>
      </c>
      <c r="H32" s="105" t="str">
        <f>IFERROR(IFERROR(INDEX(Кат!$B:$B,MATCH(Прайс!D32,Кат!$I:$I,0)),INDEX(Кат!$B:$B,MATCH(A32,Кат!$I:$I,0))),"")</f>
        <v/>
      </c>
      <c r="I32" s="2" t="str">
        <f t="shared" si="1"/>
        <v>ВАЗ 2105Разъём в фару Н-4(в сборе)ВАЗ 2105-07-08</v>
      </c>
    </row>
    <row r="33" spans="1:9" s="2" customFormat="1" ht="12.75" x14ac:dyDescent="0.2">
      <c r="A33" s="40" t="str">
        <f t="shared" si="0"/>
        <v>ВАЗ 2105Разъём в фару Н-4(голый)ВАЗ 2105-07-08</v>
      </c>
      <c r="B33" s="83" t="s">
        <v>208</v>
      </c>
      <c r="C33" s="24" t="s">
        <v>216</v>
      </c>
      <c r="D33" s="22" t="s">
        <v>215</v>
      </c>
      <c r="E33" s="23">
        <v>60</v>
      </c>
      <c r="F33" s="105" t="str">
        <f>IFERROR(IFERROR(VLOOKUP(D33,Кат!$I:$J,2,0),VLOOKUP(A33,Кат!$I:$J,2,0)),"")</f>
        <v/>
      </c>
      <c r="G33" s="105" t="str">
        <f>IFERROR(IFERROR(INDEX(Кат!$A:$A,MATCH(Прайс!D33,Кат!$I:$I,0)),INDEX(Кат!$A:$A,MATCH(A33,Кат!$I:$I,0))),"")</f>
        <v/>
      </c>
      <c r="H33" s="105" t="str">
        <f>IFERROR(IFERROR(INDEX(Кат!$B:$B,MATCH(Прайс!D33,Кат!$I:$I,0)),INDEX(Кат!$B:$B,MATCH(A33,Кат!$I:$I,0))),"")</f>
        <v/>
      </c>
      <c r="I33" s="2" t="str">
        <f t="shared" si="1"/>
        <v>ВАЗ 2105Разъём в фару Н-4(голый)ВАЗ 2105-07-08</v>
      </c>
    </row>
    <row r="34" spans="1:9" s="2" customFormat="1" ht="12.75" x14ac:dyDescent="0.2">
      <c r="A34" s="40" t="str">
        <f t="shared" si="0"/>
        <v>ВАЗ 2105Разъём задних фонарейВАЗ 2105,08</v>
      </c>
      <c r="B34" s="83" t="s">
        <v>208</v>
      </c>
      <c r="C34" s="24" t="s">
        <v>217</v>
      </c>
      <c r="D34" s="22" t="s">
        <v>218</v>
      </c>
      <c r="E34" s="23">
        <v>70</v>
      </c>
      <c r="F34" s="105" t="str">
        <f>IFERROR(IFERROR(VLOOKUP(D34,Кат!$I:$J,2,0),VLOOKUP(A34,Кат!$I:$J,2,0)),"")</f>
        <v/>
      </c>
      <c r="G34" s="105" t="str">
        <f>IFERROR(IFERROR(INDEX(Кат!$A:$A,MATCH(Прайс!D34,Кат!$I:$I,0)),INDEX(Кат!$A:$A,MATCH(A34,Кат!$I:$I,0))),"")</f>
        <v/>
      </c>
      <c r="H34" s="105" t="str">
        <f>IFERROR(IFERROR(INDEX(Кат!$B:$B,MATCH(Прайс!D34,Кат!$I:$I,0)),INDEX(Кат!$B:$B,MATCH(A34,Кат!$I:$I,0))),"")</f>
        <v/>
      </c>
      <c r="I34" s="2" t="str">
        <f t="shared" si="1"/>
        <v>ВАЗ 2105Разъём задних фонарейВАЗ 2105,08</v>
      </c>
    </row>
    <row r="35" spans="1:9" s="2" customFormat="1" ht="12.75" x14ac:dyDescent="0.2">
      <c r="A35" s="40" t="str">
        <f t="shared" si="0"/>
        <v>ВАЗ 2105Жгут проводов заднийВАЗ 2105-3724210</v>
      </c>
      <c r="B35" s="83" t="s">
        <v>208</v>
      </c>
      <c r="C35" s="22" t="s">
        <v>200</v>
      </c>
      <c r="D35" s="22" t="s">
        <v>59</v>
      </c>
      <c r="E35" s="23">
        <v>2500</v>
      </c>
      <c r="F35" s="105" t="str">
        <f>IFERROR(IFERROR(VLOOKUP(D35,Кат!$I:$J,2,0),VLOOKUP(A35,Кат!$I:$J,2,0)),"")</f>
        <v>сергей проводка</v>
      </c>
      <c r="G35" s="105">
        <f>IFERROR(IFERROR(INDEX(Кат!$A:$A,MATCH(Прайс!D35,Кат!$I:$I,0)),INDEX(Кат!$A:$A,MATCH(A35,Кат!$I:$I,0))),"")</f>
        <v>144841</v>
      </c>
      <c r="H35" s="105">
        <f>IFERROR(IFERROR(INDEX(Кат!$B:$B,MATCH(Прайс!D35,Кат!$I:$I,0)),INDEX(Кат!$B:$B,MATCH(A35,Кат!$I:$I,0))),"")</f>
        <v>13252</v>
      </c>
      <c r="I35" s="2" t="str">
        <f t="shared" si="1"/>
        <v>ВАЗ 2105Жгут проводов заднийВАЗ 2105-3724210</v>
      </c>
    </row>
    <row r="36" spans="1:9" s="2" customFormat="1" ht="12.75" x14ac:dyDescent="0.2">
      <c r="A36" s="40" t="str">
        <f t="shared" si="0"/>
        <v>ВАЗ 2105Жгут проводов задний(инжектор)ВАЗ 2107-3724210-20</v>
      </c>
      <c r="B36" s="83" t="s">
        <v>208</v>
      </c>
      <c r="C36" s="82" t="s">
        <v>219</v>
      </c>
      <c r="D36" s="82" t="s">
        <v>48</v>
      </c>
      <c r="E36" s="23">
        <v>2500</v>
      </c>
      <c r="F36" s="105" t="str">
        <f>IFERROR(IFERROR(VLOOKUP(D36,Кат!$I:$J,2,0),VLOOKUP(A36,Кат!$I:$J,2,0)),"")</f>
        <v>сергей проводка</v>
      </c>
      <c r="G36" s="105">
        <f>IFERROR(IFERROR(INDEX(Кат!$A:$A,MATCH(Прайс!D36,Кат!$I:$I,0)),INDEX(Кат!$A:$A,MATCH(A36,Кат!$I:$I,0))),"")</f>
        <v>144843</v>
      </c>
      <c r="H36" s="105">
        <f>IFERROR(IFERROR(INDEX(Кат!$B:$B,MATCH(Прайс!D36,Кат!$I:$I,0)),INDEX(Кат!$B:$B,MATCH(A36,Кат!$I:$I,0))),"")</f>
        <v>13263</v>
      </c>
      <c r="I36" s="2" t="str">
        <f t="shared" si="1"/>
        <v>ВАЗ 2105Жгут проводов задний(инжектор)ВАЗ 2107-3724210-20</v>
      </c>
    </row>
    <row r="37" spans="1:9" s="2" customFormat="1" ht="12.75" x14ac:dyDescent="0.2">
      <c r="A37" s="40" t="str">
        <f t="shared" si="0"/>
        <v>ВАЗ 2106Провод втягивающего релеВАЗ 2106</v>
      </c>
      <c r="B37" s="83" t="s">
        <v>220</v>
      </c>
      <c r="C37" s="22" t="s">
        <v>221</v>
      </c>
      <c r="D37" s="22" t="s">
        <v>220</v>
      </c>
      <c r="E37" s="25">
        <v>100</v>
      </c>
      <c r="F37" s="105" t="str">
        <f>IFERROR(IFERROR(VLOOKUP(D37,Кат!$I:$J,2,0),VLOOKUP(A37,Кат!$I:$J,2,0)),"")</f>
        <v/>
      </c>
      <c r="G37" s="105" t="str">
        <f>IFERROR(IFERROR(INDEX(Кат!$A:$A,MATCH(Прайс!D37,Кат!$I:$I,0)),INDEX(Кат!$A:$A,MATCH(A37,Кат!$I:$I,0))),"")</f>
        <v/>
      </c>
      <c r="H37" s="105" t="str">
        <f>IFERROR(IFERROR(INDEX(Кат!$B:$B,MATCH(Прайс!D37,Кат!$I:$I,0)),INDEX(Кат!$B:$B,MATCH(A37,Кат!$I:$I,0))),"")</f>
        <v/>
      </c>
      <c r="I37" s="2" t="str">
        <f t="shared" si="1"/>
        <v>ВАЗ 2106Провод втягивающего релеВАЗ 2106</v>
      </c>
    </row>
    <row r="38" spans="1:9" s="2" customFormat="1" ht="12.75" x14ac:dyDescent="0.2">
      <c r="A38" s="40" t="str">
        <f t="shared" si="0"/>
        <v>ВАЗ 2106Проводка под капот (передняя часть)ВАЗ 2106-3724008-80</v>
      </c>
      <c r="B38" s="83" t="s">
        <v>220</v>
      </c>
      <c r="C38" s="22" t="s">
        <v>222</v>
      </c>
      <c r="D38" s="22" t="s">
        <v>25</v>
      </c>
      <c r="E38" s="25">
        <v>6500</v>
      </c>
      <c r="F38" s="105" t="str">
        <f>IFERROR(IFERROR(VLOOKUP(D38,Кат!$I:$J,2,0),VLOOKUP(A38,Кат!$I:$J,2,0)),"")</f>
        <v>сергей проводка</v>
      </c>
      <c r="G38" s="105">
        <f>IFERROR(IFERROR(INDEX(Кат!$A:$A,MATCH(Прайс!D38,Кат!$I:$I,0)),INDEX(Кат!$A:$A,MATCH(A38,Кат!$I:$I,0))),"")</f>
        <v>201274</v>
      </c>
      <c r="H38" s="105">
        <f>IFERROR(IFERROR(INDEX(Кат!$B:$B,MATCH(Прайс!D38,Кат!$I:$I,0)),INDEX(Кат!$B:$B,MATCH(A38,Кат!$I:$I,0))),"")</f>
        <v>13259</v>
      </c>
      <c r="I38" s="2" t="str">
        <f t="shared" si="1"/>
        <v>ВАЗ 2106Проводка под капот (передняя часть)ВАЗ 2106-3724008-80</v>
      </c>
    </row>
    <row r="39" spans="1:9" s="2" customFormat="1" ht="12.75" x14ac:dyDescent="0.2">
      <c r="A39" s="40" t="str">
        <f t="shared" si="0"/>
        <v>ВАЗ 2106Коса панели приборовВАЗ 2106-3724030</v>
      </c>
      <c r="B39" s="83" t="s">
        <v>220</v>
      </c>
      <c r="C39" s="22" t="s">
        <v>211</v>
      </c>
      <c r="D39" s="22" t="s">
        <v>76</v>
      </c>
      <c r="E39" s="25">
        <v>650</v>
      </c>
      <c r="F39" s="105" t="str">
        <f>IFERROR(IFERROR(VLOOKUP(D39,Кат!$I:$J,2,0),VLOOKUP(A39,Кат!$I:$J,2,0)),"")</f>
        <v>сергей проводка</v>
      </c>
      <c r="G39" s="105">
        <f>IFERROR(IFERROR(INDEX(Кат!$A:$A,MATCH(Прайс!D39,Кат!$I:$I,0)),INDEX(Кат!$A:$A,MATCH(A39,Кат!$I:$I,0))),"")</f>
        <v>160436</v>
      </c>
      <c r="H39" s="105">
        <f>IFERROR(IFERROR(INDEX(Кат!$B:$B,MATCH(Прайс!D39,Кат!$I:$I,0)),INDEX(Кат!$B:$B,MATCH(A39,Кат!$I:$I,0))),"")</f>
        <v>13253</v>
      </c>
      <c r="I39" s="2" t="str">
        <f t="shared" si="1"/>
        <v>ВАЗ 2106Коса панели приборовВАЗ 2106-3724030</v>
      </c>
    </row>
    <row r="40" spans="1:9" s="2" customFormat="1" ht="12.75" x14ac:dyDescent="0.2">
      <c r="A40" s="40" t="str">
        <f t="shared" si="0"/>
        <v>ВАЗ 2106Жгут проводов соединительный (КЛЕММА "+"евро)ВАЗ 2106-3724070</v>
      </c>
      <c r="B40" s="83" t="s">
        <v>220</v>
      </c>
      <c r="C40" s="22" t="s">
        <v>840</v>
      </c>
      <c r="D40" s="22" t="s">
        <v>72</v>
      </c>
      <c r="E40" s="25">
        <v>500</v>
      </c>
      <c r="F40" s="105" t="str">
        <f>IFERROR(IFERROR(VLOOKUP(D40,Кат!$I:$J,2,0),VLOOKUP(A40,Кат!$I:$J,2,0)),"")</f>
        <v>сергей проводка</v>
      </c>
      <c r="G40" s="105">
        <f>IFERROR(IFERROR(INDEX(Кат!$A:$A,MATCH(Прайс!D40,Кат!$I:$I,0)),INDEX(Кат!$A:$A,MATCH(A40,Кат!$I:$I,0))),"")</f>
        <v>144977</v>
      </c>
      <c r="H40" s="105">
        <f>IFERROR(IFERROR(INDEX(Кат!$B:$B,MATCH(Прайс!D40,Кат!$I:$I,0)),INDEX(Кат!$B:$B,MATCH(A40,Кат!$I:$I,0))),"")</f>
        <v>13254</v>
      </c>
      <c r="I40" s="2" t="str">
        <f t="shared" si="1"/>
        <v>ВАЗ 2106Жгут проводов соединительный (КЛЕММА "+"евро)ВАЗ 2106-3724070</v>
      </c>
    </row>
    <row r="41" spans="1:9" s="2" customFormat="1" ht="12.75" x14ac:dyDescent="0.2">
      <c r="A41" s="40" t="str">
        <f t="shared" si="0"/>
        <v>ВАЗ 2106Жгут проводов заднийВАЗ 2106-3724210</v>
      </c>
      <c r="B41" s="83" t="s">
        <v>220</v>
      </c>
      <c r="C41" s="22" t="s">
        <v>200</v>
      </c>
      <c r="D41" s="22" t="s">
        <v>60</v>
      </c>
      <c r="E41" s="25">
        <v>2500</v>
      </c>
      <c r="F41" s="105" t="str">
        <f>IFERROR(IFERROR(VLOOKUP(D41,Кат!$I:$J,2,0),VLOOKUP(A41,Кат!$I:$J,2,0)),"")</f>
        <v>сергей проводка</v>
      </c>
      <c r="G41" s="105">
        <f>IFERROR(IFERROR(INDEX(Кат!$A:$A,MATCH(Прайс!D41,Кат!$I:$I,0)),INDEX(Кат!$A:$A,MATCH(A41,Кат!$I:$I,0))),"")</f>
        <v>144842</v>
      </c>
      <c r="H41" s="105">
        <f>IFERROR(IFERROR(INDEX(Кат!$B:$B,MATCH(Прайс!D41,Кат!$I:$I,0)),INDEX(Кат!$B:$B,MATCH(A41,Кат!$I:$I,0))),"")</f>
        <v>13264</v>
      </c>
      <c r="I41" s="2" t="str">
        <f t="shared" si="1"/>
        <v>ВАЗ 2106Жгут проводов заднийВАЗ 2106-3724210</v>
      </c>
    </row>
    <row r="42" spans="1:9" s="2" customFormat="1" ht="12.75" x14ac:dyDescent="0.2">
      <c r="A42" s="40" t="str">
        <f t="shared" si="0"/>
        <v>ВАЗ 2106Жгут подфарников(галоши компл.) 2103-3724020/021(за пару)</v>
      </c>
      <c r="B42" s="83" t="s">
        <v>220</v>
      </c>
      <c r="C42" s="22" t="s">
        <v>223</v>
      </c>
      <c r="D42" s="82" t="s">
        <v>224</v>
      </c>
      <c r="E42" s="23">
        <v>1000</v>
      </c>
      <c r="F42" s="105" t="str">
        <f>IFERROR(IFERROR(VLOOKUP(D42,Кат!$I:$J,2,0),VLOOKUP(A42,Кат!$I:$J,2,0)),"")</f>
        <v>сергей проводка</v>
      </c>
      <c r="G42" s="105">
        <f>IFERROR(IFERROR(INDEX(Кат!$A:$A,MATCH(Прайс!D42,Кат!$I:$I,0)),INDEX(Кат!$A:$A,MATCH(A42,Кат!$I:$I,0))),"")</f>
        <v>144819</v>
      </c>
      <c r="H42" s="105">
        <f>IFERROR(IFERROR(INDEX(Кат!$B:$B,MATCH(Прайс!D42,Кат!$I:$I,0)),INDEX(Кат!$B:$B,MATCH(A42,Кат!$I:$I,0))),"")</f>
        <v>13255</v>
      </c>
      <c r="I42" s="2" t="str">
        <f t="shared" si="1"/>
        <v>ВАЗ 2106Жгут подфарников(галоши компл.) 2103-3724020/021(за пару)</v>
      </c>
    </row>
    <row r="43" spans="1:9" s="2" customFormat="1" ht="12.75" x14ac:dyDescent="0.2">
      <c r="A43" s="40" t="str">
        <f t="shared" si="0"/>
        <v>ВАЗ 2107Жгут системы зажигания (от контроллера к двигателю)ВАЗ 21073-3724026-10</v>
      </c>
      <c r="B43" s="83" t="s">
        <v>225</v>
      </c>
      <c r="C43" s="26" t="s">
        <v>226</v>
      </c>
      <c r="D43" s="26" t="s">
        <v>18</v>
      </c>
      <c r="E43" s="27">
        <v>8000</v>
      </c>
      <c r="F43" s="105" t="str">
        <f>IFERROR(IFERROR(VLOOKUP(D43,Кат!$I:$J,2,0),VLOOKUP(A43,Кат!$I:$J,2,0)),"")</f>
        <v>сергей проводка</v>
      </c>
      <c r="G43" s="105">
        <f>IFERROR(IFERROR(INDEX(Кат!$A:$A,MATCH(Прайс!D43,Кат!$I:$I,0)),INDEX(Кат!$A:$A,MATCH(A43,Кат!$I:$I,0))),"")</f>
        <v>144871</v>
      </c>
      <c r="H43" s="105">
        <f>IFERROR(IFERROR(INDEX(Кат!$B:$B,MATCH(Прайс!D43,Кат!$I:$I,0)),INDEX(Кат!$B:$B,MATCH(A43,Кат!$I:$I,0))),"")</f>
        <v>3985</v>
      </c>
      <c r="I43" s="2" t="str">
        <f t="shared" si="1"/>
        <v>ВАЗ 2107Жгут системы зажигания (от контроллера к двигателю)ВАЗ 21073-3724026-10</v>
      </c>
    </row>
    <row r="44" spans="1:9" s="2" customFormat="1" ht="12.75" x14ac:dyDescent="0.2">
      <c r="A44" s="40" t="str">
        <f t="shared" si="0"/>
        <v>ВАЗ 2107Жгут проводов соединительный (КЛЕММА "+"евро)ВАЗ 2101,05,07-3724070</v>
      </c>
      <c r="B44" s="83" t="s">
        <v>225</v>
      </c>
      <c r="C44" s="26" t="s">
        <v>840</v>
      </c>
      <c r="D44" s="26" t="s">
        <v>71</v>
      </c>
      <c r="E44" s="27">
        <v>500</v>
      </c>
      <c r="F44" s="105" t="str">
        <f>IFERROR(IFERROR(VLOOKUP(D44,Кат!$I:$J,2,0),VLOOKUP(A44,Кат!$I:$J,2,0)),"")</f>
        <v/>
      </c>
      <c r="G44" s="105" t="str">
        <f>IFERROR(IFERROR(INDEX(Кат!$A:$A,MATCH(Прайс!D44,Кат!$I:$I,0)),INDEX(Кат!$A:$A,MATCH(A44,Кат!$I:$I,0))),"")</f>
        <v/>
      </c>
      <c r="H44" s="105" t="str">
        <f>IFERROR(IFERROR(INDEX(Кат!$B:$B,MATCH(Прайс!D44,Кат!$I:$I,0)),INDEX(Кат!$B:$B,MATCH(A44,Кат!$I:$I,0))),"")</f>
        <v/>
      </c>
      <c r="I44" s="2" t="str">
        <f t="shared" si="1"/>
        <v>ВАЗ 2107Жгут проводов соединительный (КЛЕММА "+"евро)ВАЗ 2101,05,07-3724070</v>
      </c>
    </row>
    <row r="45" spans="1:9" s="2" customFormat="1" ht="12.75" x14ac:dyDescent="0.2">
      <c r="A45" s="40" t="str">
        <f t="shared" si="0"/>
        <v>ВАЗ 2107Жгут панели приборов 07 инжекторнаяВАЗ 21073-3724030-30</v>
      </c>
      <c r="B45" s="83" t="s">
        <v>225</v>
      </c>
      <c r="C45" s="26" t="s">
        <v>227</v>
      </c>
      <c r="D45" s="26" t="s">
        <v>30</v>
      </c>
      <c r="E45" s="27">
        <v>4500</v>
      </c>
      <c r="F45" s="105" t="str">
        <f>IFERROR(IFERROR(VLOOKUP(D45,Кат!$I:$J,2,0),VLOOKUP(A45,Кат!$I:$J,2,0)),"")</f>
        <v>сергей проводка</v>
      </c>
      <c r="G45" s="105">
        <f>IFERROR(IFERROR(INDEX(Кат!$A:$A,MATCH(Прайс!D45,Кат!$I:$I,0)),INDEX(Кат!$A:$A,MATCH(A45,Кат!$I:$I,0))),"")</f>
        <v>144807</v>
      </c>
      <c r="H45" s="105">
        <f>IFERROR(IFERROR(INDEX(Кат!$B:$B,MATCH(Прайс!D45,Кат!$I:$I,0)),INDEX(Кат!$B:$B,MATCH(A45,Кат!$I:$I,0))),"")</f>
        <v>13261</v>
      </c>
      <c r="I45" s="2" t="str">
        <f t="shared" si="1"/>
        <v>ВАЗ 2107Жгут панели приборов 07 инжекторнаяВАЗ 21073-3724030-30</v>
      </c>
    </row>
    <row r="46" spans="1:9" s="2" customFormat="1" ht="12.75" x14ac:dyDescent="0.2">
      <c r="A46" s="40" t="str">
        <f t="shared" si="0"/>
        <v>ВАЗ 2107Жгут панели приборов карбюраторнаяВАЗ 2107-3724030</v>
      </c>
      <c r="B46" s="83" t="s">
        <v>225</v>
      </c>
      <c r="C46" s="26" t="s">
        <v>228</v>
      </c>
      <c r="D46" s="26" t="s">
        <v>35</v>
      </c>
      <c r="E46" s="27">
        <v>4500</v>
      </c>
      <c r="F46" s="105" t="str">
        <f>IFERROR(IFERROR(VLOOKUP(D46,Кат!$I:$J,2,0),VLOOKUP(A46,Кат!$I:$J,2,0)),"")</f>
        <v>сергей проводка</v>
      </c>
      <c r="G46" s="105">
        <f>IFERROR(IFERROR(INDEX(Кат!$A:$A,MATCH(Прайс!D46,Кат!$I:$I,0)),INDEX(Кат!$A:$A,MATCH(A46,Кат!$I:$I,0))),"")</f>
        <v>144806</v>
      </c>
      <c r="H46" s="105">
        <f>IFERROR(IFERROR(INDEX(Кат!$B:$B,MATCH(Прайс!D46,Кат!$I:$I,0)),INDEX(Кат!$B:$B,MATCH(A46,Кат!$I:$I,0))),"")</f>
        <v>13260</v>
      </c>
      <c r="I46" s="2" t="str">
        <f t="shared" si="1"/>
        <v>ВАЗ 2107Жгут панели приборов карбюраторнаяВАЗ 2107-3724030</v>
      </c>
    </row>
    <row r="47" spans="1:9" s="2" customFormat="1" ht="12.75" x14ac:dyDescent="0.2">
      <c r="A47" s="40" t="str">
        <f t="shared" si="0"/>
        <v>ВАЗ 2107Жгут системы зажигания ВАЗ 21074-3724026</v>
      </c>
      <c r="B47" s="83" t="s">
        <v>225</v>
      </c>
      <c r="C47" s="26" t="s">
        <v>229</v>
      </c>
      <c r="D47" s="26" t="s">
        <v>19</v>
      </c>
      <c r="E47" s="27">
        <v>8000</v>
      </c>
      <c r="F47" s="105" t="str">
        <f>IFERROR(IFERROR(VLOOKUP(D47,Кат!$I:$J,2,0),VLOOKUP(A47,Кат!$I:$J,2,0)),"")</f>
        <v>сергей проводка</v>
      </c>
      <c r="G47" s="105">
        <f>IFERROR(IFERROR(INDEX(Кат!$A:$A,MATCH(Прайс!D47,Кат!$I:$I,0)),INDEX(Кат!$A:$A,MATCH(A47,Кат!$I:$I,0))),"")</f>
        <v>144872</v>
      </c>
      <c r="H47" s="105">
        <f>IFERROR(IFERROR(INDEX(Кат!$B:$B,MATCH(Прайс!D47,Кат!$I:$I,0)),INDEX(Кат!$B:$B,MATCH(A47,Кат!$I:$I,0))),"")</f>
        <v>3988</v>
      </c>
      <c r="I47" s="2" t="str">
        <f t="shared" si="1"/>
        <v>ВАЗ 2107Жгут системы зажигания ВАЗ 21074-3724026</v>
      </c>
    </row>
    <row r="48" spans="1:9" s="2" customFormat="1" ht="12.75" x14ac:dyDescent="0.2">
      <c r="A48" s="40" t="str">
        <f t="shared" si="0"/>
        <v>ВАЗ 2107Жгут проводов под капот в сбореВАЗ 2105,07,04 (карбюратор)</v>
      </c>
      <c r="B48" s="83" t="s">
        <v>225</v>
      </c>
      <c r="C48" s="26" t="s">
        <v>209</v>
      </c>
      <c r="D48" s="26" t="s">
        <v>54</v>
      </c>
      <c r="E48" s="27">
        <v>2500</v>
      </c>
      <c r="F48" s="105" t="str">
        <f>IFERROR(IFERROR(VLOOKUP(D48,Кат!$I:$J,2,0),VLOOKUP(A48,Кат!$I:$J,2,0)),"")</f>
        <v>сергей проводка</v>
      </c>
      <c r="G48" s="105">
        <f>IFERROR(IFERROR(INDEX(Кат!$A:$A,MATCH(Прайс!D48,Кат!$I:$I,0)),INDEX(Кат!$A:$A,MATCH(A48,Кат!$I:$I,0))),"")</f>
        <v>144946</v>
      </c>
      <c r="H48" s="105">
        <f>IFERROR(IFERROR(INDEX(Кат!$B:$B,MATCH(Прайс!D48,Кат!$I:$I,0)),INDEX(Кат!$B:$B,MATCH(A48,Кат!$I:$I,0))),"")</f>
        <v>13256</v>
      </c>
      <c r="I48" s="2" t="str">
        <f t="shared" si="1"/>
        <v>ВАЗ 2107Жгут проводов под капот в сбореВАЗ 2105,07,04 (карбюратор)</v>
      </c>
    </row>
    <row r="49" spans="1:9" s="2" customFormat="1" ht="12.75" x14ac:dyDescent="0.2">
      <c r="A49" s="40" t="str">
        <f t="shared" si="0"/>
        <v>ВАЗ 2107Жгут проводов системы зажигания(Е-газ) от контроллераВАЗ 21074-3724026-20</v>
      </c>
      <c r="B49" s="83" t="s">
        <v>225</v>
      </c>
      <c r="C49" s="26" t="s">
        <v>230</v>
      </c>
      <c r="D49" s="26" t="s">
        <v>92</v>
      </c>
      <c r="E49" s="27">
        <v>8000</v>
      </c>
      <c r="F49" s="105" t="str">
        <f>IFERROR(IFERROR(VLOOKUP(D49,Кат!$I:$J,2,0),VLOOKUP(A49,Кат!$I:$J,2,0)),"")</f>
        <v>сергей проводка</v>
      </c>
      <c r="G49" s="105">
        <f>IFERROR(IFERROR(INDEX(Кат!$A:$A,MATCH(Прайс!D49,Кат!$I:$I,0)),INDEX(Кат!$A:$A,MATCH(A49,Кат!$I:$I,0))),"")</f>
        <v>144892</v>
      </c>
      <c r="H49" s="105">
        <f>IFERROR(IFERROR(INDEX(Кат!$B:$B,MATCH(Прайс!D49,Кат!$I:$I,0)),INDEX(Кат!$B:$B,MATCH(A49,Кат!$I:$I,0))),"")</f>
        <v>3984</v>
      </c>
      <c r="I49" s="2" t="str">
        <f t="shared" si="1"/>
        <v>ВАЗ 2107Жгут проводов системы зажигания(Е-газ) от контроллераВАЗ 21074-3724026-20</v>
      </c>
    </row>
    <row r="50" spans="1:9" s="2" customFormat="1" ht="12.75" x14ac:dyDescent="0.2">
      <c r="A50" s="40" t="str">
        <f t="shared" si="0"/>
        <v>ВАЗ 2108Проводка противотуманных фар (монтажный набор) кнопка+релеВАЗ 2108</v>
      </c>
      <c r="B50" s="83" t="s">
        <v>231</v>
      </c>
      <c r="C50" s="26" t="s">
        <v>232</v>
      </c>
      <c r="D50" s="26" t="s">
        <v>231</v>
      </c>
      <c r="E50" s="27">
        <v>650</v>
      </c>
      <c r="F50" s="105" t="str">
        <f>IFERROR(IFERROR(VLOOKUP(D50,Кат!$I:$J,2,0),VLOOKUP(A50,Кат!$I:$J,2,0)),"")</f>
        <v/>
      </c>
      <c r="G50" s="105" t="str">
        <f>IFERROR(IFERROR(INDEX(Кат!$A:$A,MATCH(Прайс!D50,Кат!$I:$I,0)),INDEX(Кат!$A:$A,MATCH(A50,Кат!$I:$I,0))),"")</f>
        <v/>
      </c>
      <c r="H50" s="105" t="str">
        <f>IFERROR(IFERROR(INDEX(Кат!$B:$B,MATCH(Прайс!D50,Кат!$I:$I,0)),INDEX(Кат!$B:$B,MATCH(A50,Кат!$I:$I,0))),"")</f>
        <v/>
      </c>
      <c r="I50" s="2" t="str">
        <f t="shared" si="1"/>
        <v>ВАЗ 2108Проводка противотуманных фар (монтажный набор) кнопка+релеВАЗ 2108</v>
      </c>
    </row>
    <row r="51" spans="1:9" s="2" customFormat="1" ht="12.75" x14ac:dyDescent="0.2">
      <c r="A51" s="40" t="str">
        <f t="shared" si="0"/>
        <v>ВАЗ 2108Жгут проводов под капот в сборе завод, из 4-х частейВАЗ 2108,09,99(карбюратор)</v>
      </c>
      <c r="B51" s="83" t="s">
        <v>231</v>
      </c>
      <c r="C51" s="26" t="s">
        <v>841</v>
      </c>
      <c r="D51" s="26" t="s">
        <v>233</v>
      </c>
      <c r="E51" s="27">
        <v>5000</v>
      </c>
      <c r="F51" s="105" t="str">
        <f>IFERROR(IFERROR(VLOOKUP(D51,Кат!$I:$J,2,0),VLOOKUP(A51,Кат!$I:$J,2,0)),"")</f>
        <v>сергей проводка</v>
      </c>
      <c r="G51" s="105">
        <f>IFERROR(IFERROR(INDEX(Кат!$A:$A,MATCH(Прайс!D51,Кат!$I:$I,0)),INDEX(Кат!$A:$A,MATCH(A51,Кат!$I:$I,0))),"")</f>
        <v>426424</v>
      </c>
      <c r="H51" s="105">
        <f>IFERROR(IFERROR(INDEX(Кат!$B:$B,MATCH(Прайс!D51,Кат!$I:$I,0)),INDEX(Кат!$B:$B,MATCH(A51,Кат!$I:$I,0))),"")</f>
        <v>426424</v>
      </c>
      <c r="I51" s="2" t="str">
        <f t="shared" si="1"/>
        <v>ВАЗ 2108Жгут проводов под капот в сборе завод, из 4-х частейВАЗ 2108,09,99(карбюратор)</v>
      </c>
    </row>
    <row r="52" spans="1:9" s="2" customFormat="1" ht="12.75" x14ac:dyDescent="0.2">
      <c r="A52" s="40" t="str">
        <f t="shared" si="0"/>
        <v>ВАЗ 2108КЛЕММА – (евро)ВАЗ 2108,2115-3724080</v>
      </c>
      <c r="B52" s="83" t="s">
        <v>231</v>
      </c>
      <c r="C52" s="26" t="s">
        <v>842</v>
      </c>
      <c r="D52" s="26" t="s">
        <v>74</v>
      </c>
      <c r="E52" s="27">
        <v>450</v>
      </c>
      <c r="F52" s="105" t="str">
        <f>IFERROR(IFERROR(VLOOKUP(D52,Кат!$I:$J,2,0),VLOOKUP(A52,Кат!$I:$J,2,0)),"")</f>
        <v>сергей проводка</v>
      </c>
      <c r="G52" s="105">
        <f>IFERROR(IFERROR(INDEX(Кат!$A:$A,MATCH(Прайс!D52,Кат!$I:$I,0)),INDEX(Кат!$A:$A,MATCH(A52,Кат!$I:$I,0))),"")</f>
        <v>163979</v>
      </c>
      <c r="H52" s="105">
        <f>IFERROR(IFERROR(INDEX(Кат!$B:$B,MATCH(Прайс!D52,Кат!$I:$I,0)),INDEX(Кат!$B:$B,MATCH(A52,Кат!$I:$I,0))),"")</f>
        <v>13268</v>
      </c>
      <c r="I52" s="2" t="str">
        <f t="shared" si="1"/>
        <v>ВАЗ 2108КЛЕММА – (евро)ВАЗ 2108,2115-3724080</v>
      </c>
    </row>
    <row r="53" spans="1:9" s="2" customFormat="1" ht="12.75" x14ac:dyDescent="0.2">
      <c r="A53" s="40" t="str">
        <f t="shared" si="0"/>
        <v>ВАЗ 2108Жгут панели приборов(высокая панель инжектор)ВАЗ 21082-3724030</v>
      </c>
      <c r="B53" s="83" t="s">
        <v>231</v>
      </c>
      <c r="C53" s="26" t="s">
        <v>234</v>
      </c>
      <c r="D53" s="26" t="s">
        <v>55</v>
      </c>
      <c r="E53" s="27">
        <v>4000</v>
      </c>
      <c r="F53" s="105" t="str">
        <f>IFERROR(IFERROR(VLOOKUP(D53,Кат!$I:$J,2,0),VLOOKUP(A53,Кат!$I:$J,2,0)),"")</f>
        <v>сергей проводка</v>
      </c>
      <c r="G53" s="105">
        <f>IFERROR(IFERROR(INDEX(Кат!$A:$A,MATCH(Прайс!D53,Кат!$I:$I,0)),INDEX(Кат!$A:$A,MATCH(A53,Кат!$I:$I,0))),"")</f>
        <v>144904</v>
      </c>
      <c r="H53" s="105">
        <f>IFERROR(IFERROR(INDEX(Кат!$B:$B,MATCH(Прайс!D53,Кат!$I:$I,0)),INDEX(Кат!$B:$B,MATCH(A53,Кат!$I:$I,0))),"")</f>
        <v>13279</v>
      </c>
      <c r="I53" s="2" t="str">
        <f t="shared" si="1"/>
        <v>ВАЗ 2108Жгут панели приборов(высокая панель инжектор)ВАЗ 21082-3724030</v>
      </c>
    </row>
    <row r="54" spans="1:9" s="2" customFormat="1" ht="12.75" x14ac:dyDescent="0.2">
      <c r="A54" s="40" t="str">
        <f t="shared" si="0"/>
        <v>ВАЗ 2108Жгут соединения бензонасоса со жгутом ЭБУВАЗ 21082-3724037</v>
      </c>
      <c r="B54" s="83" t="s">
        <v>231</v>
      </c>
      <c r="C54" s="26" t="s">
        <v>235</v>
      </c>
      <c r="D54" s="26" t="s">
        <v>236</v>
      </c>
      <c r="E54" s="27">
        <v>500</v>
      </c>
      <c r="F54" s="105" t="str">
        <f>IFERROR(IFERROR(VLOOKUP(D54,Кат!$I:$J,2,0),VLOOKUP(A54,Кат!$I:$J,2,0)),"")</f>
        <v>сергей проводка</v>
      </c>
      <c r="G54" s="105">
        <f>IFERROR(IFERROR(INDEX(Кат!$A:$A,MATCH(Прайс!D54,Кат!$I:$I,0)),INDEX(Кат!$A:$A,MATCH(A54,Кат!$I:$I,0))),"")</f>
        <v>426426</v>
      </c>
      <c r="H54" s="105">
        <f>IFERROR(IFERROR(INDEX(Кат!$B:$B,MATCH(Прайс!D54,Кат!$I:$I,0)),INDEX(Кат!$B:$B,MATCH(A54,Кат!$I:$I,0))),"")</f>
        <v>426426</v>
      </c>
      <c r="I54" s="2" t="str">
        <f t="shared" si="1"/>
        <v>ВАЗ 2108Жгут соединения бензонасоса со жгутом ЭБУВАЗ 21082-3724037</v>
      </c>
    </row>
    <row r="55" spans="1:9" s="2" customFormat="1" ht="12.75" x14ac:dyDescent="0.2">
      <c r="A55" s="40" t="str">
        <f t="shared" si="0"/>
        <v>ВАЗ 2108Жгут системы зажигания(старого образца)ВАЗ 21083-3724026(янв. 61)</v>
      </c>
      <c r="B55" s="83" t="s">
        <v>231</v>
      </c>
      <c r="C55" s="26" t="s">
        <v>237</v>
      </c>
      <c r="D55" s="26" t="s">
        <v>238</v>
      </c>
      <c r="E55" s="27"/>
      <c r="F55" s="105" t="str">
        <f>IFERROR(IFERROR(VLOOKUP(D55,Кат!$I:$J,2,0),VLOOKUP(A55,Кат!$I:$J,2,0)),"")</f>
        <v/>
      </c>
      <c r="G55" s="105" t="str">
        <f>IFERROR(IFERROR(INDEX(Кат!$A:$A,MATCH(Прайс!D55,Кат!$I:$I,0)),INDEX(Кат!$A:$A,MATCH(A55,Кат!$I:$I,0))),"")</f>
        <v/>
      </c>
      <c r="H55" s="105" t="str">
        <f>IFERROR(IFERROR(INDEX(Кат!$B:$B,MATCH(Прайс!D55,Кат!$I:$I,0)),INDEX(Кат!$B:$B,MATCH(A55,Кат!$I:$I,0))),"")</f>
        <v/>
      </c>
      <c r="I55" s="2" t="str">
        <f t="shared" si="1"/>
        <v>ВАЗ 2108Жгут системы зажигания(старого образца)ВАЗ 21083-3724026(янв. 61)</v>
      </c>
    </row>
    <row r="56" spans="1:9" s="2" customFormat="1" ht="12.75" x14ac:dyDescent="0.2">
      <c r="A56" s="40" t="str">
        <f t="shared" si="0"/>
        <v>ВАЗ 2108Жгут панели приборов карбюратор высокая панельВАЗ 21083-3724030</v>
      </c>
      <c r="B56" s="83" t="s">
        <v>231</v>
      </c>
      <c r="C56" s="26" t="s">
        <v>239</v>
      </c>
      <c r="D56" s="26" t="s">
        <v>51</v>
      </c>
      <c r="E56" s="27">
        <v>4000</v>
      </c>
      <c r="F56" s="105" t="str">
        <f>IFERROR(IFERROR(VLOOKUP(D56,Кат!$I:$J,2,0),VLOOKUP(A56,Кат!$I:$J,2,0)),"")</f>
        <v>сергей проводка</v>
      </c>
      <c r="G56" s="105">
        <f>IFERROR(IFERROR(INDEX(Кат!$A:$A,MATCH(Прайс!D56,Кат!$I:$I,0)),INDEX(Кат!$A:$A,MATCH(A56,Кат!$I:$I,0))),"")</f>
        <v>144905</v>
      </c>
      <c r="H56" s="105">
        <f>IFERROR(IFERROR(INDEX(Кат!$B:$B,MATCH(Прайс!D56,Кат!$I:$I,0)),INDEX(Кат!$B:$B,MATCH(A56,Кат!$I:$I,0))),"")</f>
        <v>13280</v>
      </c>
      <c r="I56" s="2" t="str">
        <f t="shared" si="1"/>
        <v>ВАЗ 2108Жгут панели приборов карбюратор высокая панельВАЗ 21083-3724030</v>
      </c>
    </row>
    <row r="57" spans="1:9" s="2" customFormat="1" ht="12.75" x14ac:dyDescent="0.2">
      <c r="A57" s="40" t="str">
        <f t="shared" si="0"/>
        <v>ВАЗ 2108Жгут проводов фар ВАЗ 2108-3724010-01</v>
      </c>
      <c r="B57" s="83" t="s">
        <v>231</v>
      </c>
      <c r="C57" s="26" t="s">
        <v>1853</v>
      </c>
      <c r="D57" s="26" t="s">
        <v>240</v>
      </c>
      <c r="E57" s="27">
        <v>1800</v>
      </c>
      <c r="F57" s="105" t="str">
        <f>IFERROR(IFERROR(VLOOKUP(D57,Кат!$I:$J,2,0),VLOOKUP(A57,Кат!$I:$J,2,0)),"")</f>
        <v>сергей проводка</v>
      </c>
      <c r="G57" s="105">
        <f>IFERROR(IFERROR(INDEX(Кат!$A:$A,MATCH(Прайс!D57,Кат!$I:$I,0)),INDEX(Кат!$A:$A,MATCH(A57,Кат!$I:$I,0))),"")</f>
        <v>426428</v>
      </c>
      <c r="H57" s="105">
        <f>IFERROR(IFERROR(INDEX(Кат!$B:$B,MATCH(Прайс!D57,Кат!$I:$I,0)),INDEX(Кат!$B:$B,MATCH(A57,Кат!$I:$I,0))),"")</f>
        <v>426428</v>
      </c>
      <c r="I57" s="2" t="str">
        <f t="shared" si="1"/>
        <v>ВАЗ 2108Жгут проводов фар ВАЗ 2108-3724010-01</v>
      </c>
    </row>
    <row r="58" spans="1:9" s="2" customFormat="1" ht="12.75" x14ac:dyDescent="0.2">
      <c r="A58" s="40" t="str">
        <f t="shared" si="0"/>
        <v>ВАЗ 2108Жгут проводов генератораВАЗ 21083-3724017-10</v>
      </c>
      <c r="B58" s="83" t="s">
        <v>231</v>
      </c>
      <c r="C58" s="26" t="s">
        <v>1854</v>
      </c>
      <c r="D58" s="26" t="s">
        <v>241</v>
      </c>
      <c r="E58" s="27">
        <v>1800</v>
      </c>
      <c r="F58" s="105" t="str">
        <f>IFERROR(IFERROR(VLOOKUP(D58,Кат!$I:$J,2,0),VLOOKUP(A58,Кат!$I:$J,2,0)),"")</f>
        <v>сергей проводка</v>
      </c>
      <c r="G58" s="105">
        <f>IFERROR(IFERROR(INDEX(Кат!$A:$A,MATCH(Прайс!D58,Кат!$I:$I,0)),INDEX(Кат!$A:$A,MATCH(A58,Кат!$I:$I,0))),"")</f>
        <v>426432</v>
      </c>
      <c r="H58" s="105">
        <f>IFERROR(IFERROR(INDEX(Кат!$B:$B,MATCH(Прайс!D58,Кат!$I:$I,0)),INDEX(Кат!$B:$B,MATCH(A58,Кат!$I:$I,0))),"")</f>
        <v>426432</v>
      </c>
      <c r="I58" s="2" t="str">
        <f t="shared" si="1"/>
        <v>ВАЗ 2108Жгут проводов генератораВАЗ 21083-3724017-10</v>
      </c>
    </row>
    <row r="59" spans="1:9" s="2" customFormat="1" ht="12.75" x14ac:dyDescent="0.2">
      <c r="A59" s="40" t="str">
        <f t="shared" si="0"/>
        <v>ВАЗ 2108Жгут системы зажигания(комутаторный)ВАЗ 2108-3724026</v>
      </c>
      <c r="B59" s="83" t="s">
        <v>231</v>
      </c>
      <c r="C59" s="26" t="s">
        <v>242</v>
      </c>
      <c r="D59" s="26" t="s">
        <v>85</v>
      </c>
      <c r="E59" s="27">
        <v>350</v>
      </c>
      <c r="F59" s="105" t="str">
        <f>IFERROR(IFERROR(VLOOKUP(D59,Кат!$I:$J,2,0),VLOOKUP(A59,Кат!$I:$J,2,0)),"")</f>
        <v>сергей проводка</v>
      </c>
      <c r="G59" s="105">
        <f>IFERROR(IFERROR(INDEX(Кат!$A:$A,MATCH(Прайс!D59,Кат!$I:$I,0)),INDEX(Кат!$A:$A,MATCH(A59,Кат!$I:$I,0))),"")</f>
        <v>144867</v>
      </c>
      <c r="H59" s="105">
        <f>IFERROR(IFERROR(INDEX(Кат!$B:$B,MATCH(Прайс!D59,Кат!$I:$I,0)),INDEX(Кат!$B:$B,MATCH(A59,Кат!$I:$I,0))),"")</f>
        <v>13266</v>
      </c>
      <c r="I59" s="2" t="str">
        <f t="shared" si="1"/>
        <v>ВАЗ 2108Жгут системы зажигания(комутаторный)ВАЗ 2108-3724026</v>
      </c>
    </row>
    <row r="60" spans="1:9" s="2" customFormat="1" ht="12.75" x14ac:dyDescent="0.2">
      <c r="A60" s="40" t="str">
        <f t="shared" si="0"/>
        <v>ВАЗ 2108Жгут проводов панели приборов(низкая)ВАЗ 2108-3724030</v>
      </c>
      <c r="B60" s="83" t="s">
        <v>231</v>
      </c>
      <c r="C60" s="26" t="s">
        <v>243</v>
      </c>
      <c r="D60" s="26" t="s">
        <v>760</v>
      </c>
      <c r="E60" s="27">
        <v>3500</v>
      </c>
      <c r="F60" s="105" t="str">
        <f>IFERROR(IFERROR(VLOOKUP(D60,Кат!$I:$J,2,0),VLOOKUP(A60,Кат!$I:$J,2,0)),"")</f>
        <v>сергей проводка</v>
      </c>
      <c r="G60" s="105">
        <f>IFERROR(IFERROR(INDEX(Кат!$A:$A,MATCH(Прайс!D60,Кат!$I:$I,0)),INDEX(Кат!$A:$A,MATCH(A60,Кат!$I:$I,0))),"")</f>
        <v>144903</v>
      </c>
      <c r="H60" s="105">
        <f>IFERROR(IFERROR(INDEX(Кат!$B:$B,MATCH(Прайс!D60,Кат!$I:$I,0)),INDEX(Кат!$B:$B,MATCH(A60,Кат!$I:$I,0))),"")</f>
        <v>13278</v>
      </c>
      <c r="I60" s="2" t="str">
        <f t="shared" si="1"/>
        <v>ВАЗ 2108Жгут проводов панели приборов(низкая)ВАЗ 2108-3724030</v>
      </c>
    </row>
    <row r="61" spans="1:9" s="2" customFormat="1" ht="12.75" x14ac:dyDescent="0.2">
      <c r="A61" s="40" t="str">
        <f t="shared" si="0"/>
        <v>ВАЗ 2108КЛЕММА +(евро)ВАЗ 2108-3724070</v>
      </c>
      <c r="B61" s="83" t="s">
        <v>231</v>
      </c>
      <c r="C61" s="26" t="s">
        <v>843</v>
      </c>
      <c r="D61" s="26" t="s">
        <v>244</v>
      </c>
      <c r="E61" s="27">
        <v>500</v>
      </c>
      <c r="F61" s="105" t="str">
        <f>IFERROR(IFERROR(VLOOKUP(D61,Кат!$I:$J,2,0),VLOOKUP(A61,Кат!$I:$J,2,0)),"")</f>
        <v/>
      </c>
      <c r="G61" s="105" t="str">
        <f>IFERROR(IFERROR(INDEX(Кат!$A:$A,MATCH(Прайс!D61,Кат!$I:$I,0)),INDEX(Кат!$A:$A,MATCH(A61,Кат!$I:$I,0))),"")</f>
        <v/>
      </c>
      <c r="H61" s="105" t="str">
        <f>IFERROR(IFERROR(INDEX(Кат!$B:$B,MATCH(Прайс!D61,Кат!$I:$I,0)),INDEX(Кат!$B:$B,MATCH(A61,Кат!$I:$I,0))),"")</f>
        <v/>
      </c>
      <c r="I61" s="2" t="str">
        <f t="shared" si="1"/>
        <v>ВАЗ 2108КЛЕММА +(евро)ВАЗ 2108-3724070</v>
      </c>
    </row>
    <row r="62" spans="1:9" s="2" customFormat="1" ht="12.75" x14ac:dyDescent="0.2">
      <c r="A62" s="40" t="str">
        <f t="shared" si="0"/>
        <v>ВАЗ 2108Жгут стеклоподъёмника универсальный на 2 кнопкиВАЗ 2108-3724226</v>
      </c>
      <c r="B62" s="83" t="s">
        <v>231</v>
      </c>
      <c r="C62" s="26" t="s">
        <v>245</v>
      </c>
      <c r="D62" s="26" t="s">
        <v>246</v>
      </c>
      <c r="E62" s="27">
        <v>250</v>
      </c>
      <c r="F62" s="105" t="str">
        <f>IFERROR(IFERROR(VLOOKUP(D62,Кат!$I:$J,2,0),VLOOKUP(A62,Кат!$I:$J,2,0)),"")</f>
        <v>сергей проводка</v>
      </c>
      <c r="G62" s="105">
        <f>IFERROR(IFERROR(INDEX(Кат!$A:$A,MATCH(Прайс!D62,Кат!$I:$I,0)),INDEX(Кат!$A:$A,MATCH(A62,Кат!$I:$I,0))),"")</f>
        <v>426435</v>
      </c>
      <c r="H62" s="105">
        <f>IFERROR(IFERROR(INDEX(Кат!$B:$B,MATCH(Прайс!D62,Кат!$I:$I,0)),INDEX(Кат!$B:$B,MATCH(A62,Кат!$I:$I,0))),"")</f>
        <v>426435</v>
      </c>
      <c r="I62" s="2" t="str">
        <f t="shared" si="1"/>
        <v>ВАЗ 2108Жгут стеклоподъёмника универсальный на 2 кнопкиВАЗ 2108-3724226</v>
      </c>
    </row>
    <row r="63" spans="1:9" s="2" customFormat="1" ht="12.75" x14ac:dyDescent="0.2">
      <c r="A63" s="40" t="str">
        <f t="shared" si="0"/>
        <v>ВАЗ 2109Жгут проводов омывателя и стеклоочистителяВАЗ 21093-3724019</v>
      </c>
      <c r="B63" s="83" t="s">
        <v>247</v>
      </c>
      <c r="C63" s="26" t="s">
        <v>248</v>
      </c>
      <c r="D63" s="26" t="s">
        <v>77</v>
      </c>
      <c r="E63" s="27">
        <v>700</v>
      </c>
      <c r="F63" s="105" t="str">
        <f>IFERROR(IFERROR(VLOOKUP(D63,Кат!$I:$J,2,0),VLOOKUP(A63,Кат!$I:$J,2,0)),"")</f>
        <v>сергей проводка</v>
      </c>
      <c r="G63" s="105">
        <f>IFERROR(IFERROR(INDEX(Кат!$A:$A,MATCH(Прайс!D63,Кат!$I:$I,0)),INDEX(Кат!$A:$A,MATCH(A63,Кат!$I:$I,0))),"")</f>
        <v>144979</v>
      </c>
      <c r="H63" s="105">
        <f>IFERROR(IFERROR(INDEX(Кат!$B:$B,MATCH(Прайс!D63,Кат!$I:$I,0)),INDEX(Кат!$B:$B,MATCH(A63,Кат!$I:$I,0))),"")</f>
        <v>13269</v>
      </c>
      <c r="I63" s="2" t="str">
        <f t="shared" si="1"/>
        <v>ВАЗ 2109Жгут проводов омывателя и стеклоочистителяВАЗ 21093-3724019</v>
      </c>
    </row>
    <row r="64" spans="1:9" s="2" customFormat="1" ht="12.75" x14ac:dyDescent="0.2">
      <c r="A64" s="40" t="str">
        <f t="shared" si="0"/>
        <v>ВАЗ 2109Жгут проводов под капот в сборе, из 4-х частейВАЗ 2108,09,99(карбюратор)</v>
      </c>
      <c r="B64" s="83" t="s">
        <v>247</v>
      </c>
      <c r="C64" s="26" t="s">
        <v>844</v>
      </c>
      <c r="D64" s="26" t="s">
        <v>233</v>
      </c>
      <c r="E64" s="27">
        <v>5000</v>
      </c>
      <c r="F64" s="105" t="str">
        <f>IFERROR(IFERROR(VLOOKUP(D64,Кат!$I:$J,2,0),VLOOKUP(A64,Кат!$I:$J,2,0)),"")</f>
        <v>сергей проводка</v>
      </c>
      <c r="G64" s="105">
        <f>IFERROR(IFERROR(INDEX(Кат!$A:$A,MATCH(Прайс!D64,Кат!$I:$I,0)),INDEX(Кат!$A:$A,MATCH(A64,Кат!$I:$I,0))),"")</f>
        <v>144901</v>
      </c>
      <c r="H64" s="105">
        <f>IFERROR(IFERROR(INDEX(Кат!$B:$B,MATCH(Прайс!D64,Кат!$I:$I,0)),INDEX(Кат!$B:$B,MATCH(A64,Кат!$I:$I,0))),"")</f>
        <v>13277</v>
      </c>
      <c r="I64" s="2" t="str">
        <f t="shared" si="1"/>
        <v>ВАЗ 2109Жгут проводов под капот в сборе, из 4-х частейВАЗ 2108,09,99(карбюратор)</v>
      </c>
    </row>
    <row r="65" spans="1:9" s="2" customFormat="1" ht="12.75" x14ac:dyDescent="0.2">
      <c r="A65" s="40" t="str">
        <f t="shared" si="0"/>
        <v>ВАЗ 2109Жгут системы зажиганияВАЗ 21093-3724026-60</v>
      </c>
      <c r="B65" s="83" t="s">
        <v>247</v>
      </c>
      <c r="C65" s="26" t="s">
        <v>249</v>
      </c>
      <c r="D65" s="26" t="s">
        <v>103</v>
      </c>
      <c r="E65" s="27">
        <v>9000</v>
      </c>
      <c r="F65" s="105" t="str">
        <f>IFERROR(IFERROR(VLOOKUP(D65,Кат!$I:$J,2,0),VLOOKUP(A65,Кат!$I:$J,2,0)),"")</f>
        <v>сергей проводка</v>
      </c>
      <c r="G65" s="105">
        <f>IFERROR(IFERROR(INDEX(Кат!$A:$A,MATCH(Прайс!D65,Кат!$I:$I,0)),INDEX(Кат!$A:$A,MATCH(A65,Кат!$I:$I,0))),"")</f>
        <v>144964</v>
      </c>
      <c r="H65" s="105">
        <f>IFERROR(IFERROR(INDEX(Кат!$B:$B,MATCH(Прайс!D65,Кат!$I:$I,0)),INDEX(Кат!$B:$B,MATCH(A65,Кат!$I:$I,0))),"")</f>
        <v>13265</v>
      </c>
      <c r="I65" s="2" t="str">
        <f t="shared" si="1"/>
        <v>ВАЗ 2109Жгут системы зажиганияВАЗ 21093-3724026-60</v>
      </c>
    </row>
    <row r="66" spans="1:9" s="2" customFormat="1" ht="12.75" x14ac:dyDescent="0.2">
      <c r="A66" s="40" t="str">
        <f t="shared" si="0"/>
        <v>ВАЗ 2109Жгут системы зажиганияВАЗ 21093-3724026-80</v>
      </c>
      <c r="B66" s="83" t="s">
        <v>247</v>
      </c>
      <c r="C66" s="26" t="s">
        <v>249</v>
      </c>
      <c r="D66" s="26" t="s">
        <v>250</v>
      </c>
      <c r="E66" s="27">
        <v>8000</v>
      </c>
      <c r="F66" s="105" t="str">
        <f>IFERROR(IFERROR(VLOOKUP(D66,Кат!$I:$J,2,0),VLOOKUP(A66,Кат!$I:$J,2,0)),"")</f>
        <v>сергей проводка</v>
      </c>
      <c r="G66" s="105">
        <f>IFERROR(IFERROR(INDEX(Кат!$A:$A,MATCH(Прайс!D66,Кат!$I:$I,0)),INDEX(Кат!$A:$A,MATCH(A66,Кат!$I:$I,0))),"")</f>
        <v>426616</v>
      </c>
      <c r="H66" s="105">
        <f>IFERROR(IFERROR(INDEX(Кат!$B:$B,MATCH(Прайс!D66,Кат!$I:$I,0)),INDEX(Кат!$B:$B,MATCH(A66,Кат!$I:$I,0))),"")</f>
        <v>426616</v>
      </c>
      <c r="I66" s="2" t="str">
        <f t="shared" si="1"/>
        <v>ВАЗ 2109Жгут системы зажиганияВАЗ 21093-3724026-80</v>
      </c>
    </row>
    <row r="67" spans="1:9" s="2" customFormat="1" ht="12.75" x14ac:dyDescent="0.2">
      <c r="A67" s="40" t="str">
        <f t="shared" ref="A67:A130" si="2">_xlfn.CONCAT(B67:D67)</f>
        <v>ВАЗ 2109Жгут проводов заднийВАЗ 2109-3724210</v>
      </c>
      <c r="B67" s="83" t="s">
        <v>247</v>
      </c>
      <c r="C67" s="22" t="s">
        <v>200</v>
      </c>
      <c r="D67" s="26" t="s">
        <v>56</v>
      </c>
      <c r="E67" s="27">
        <v>2500</v>
      </c>
      <c r="F67" s="105" t="str">
        <f>IFERROR(IFERROR(VLOOKUP(D67,Кат!$I:$J,2,0),VLOOKUP(A67,Кат!$I:$J,2,0)),"")</f>
        <v>сергей проводка</v>
      </c>
      <c r="G67" s="105">
        <f>IFERROR(IFERROR(INDEX(Кат!$A:$A,MATCH(Прайс!D67,Кат!$I:$I,0)),INDEX(Кат!$A:$A,MATCH(A67,Кат!$I:$I,0))),"")</f>
        <v>144955</v>
      </c>
      <c r="H67" s="105">
        <f>IFERROR(IFERROR(INDEX(Кат!$B:$B,MATCH(Прайс!D67,Кат!$I:$I,0)),INDEX(Кат!$B:$B,MATCH(A67,Кат!$I:$I,0))),"")</f>
        <v>13282</v>
      </c>
      <c r="I67" s="2" t="str">
        <f t="shared" ref="I67:I130" si="3">_xlfn.CONCAT(B67:D67)</f>
        <v>ВАЗ 2109Жгут проводов заднийВАЗ 2109-3724210</v>
      </c>
    </row>
    <row r="68" spans="1:9" s="2" customFormat="1" ht="12.75" x14ac:dyDescent="0.2">
      <c r="A68" s="40" t="str">
        <f t="shared" si="2"/>
        <v>ВАЗ 2109Жгут проводов заднийВАЗ 21099-3724210</v>
      </c>
      <c r="B68" s="83" t="s">
        <v>247</v>
      </c>
      <c r="C68" s="22" t="s">
        <v>200</v>
      </c>
      <c r="D68" s="26" t="s">
        <v>39</v>
      </c>
      <c r="E68" s="27">
        <v>3000</v>
      </c>
      <c r="F68" s="105" t="str">
        <f>IFERROR(IFERROR(VLOOKUP(D68,Кат!$I:$J,2,0),VLOOKUP(A68,Кат!$I:$J,2,0)),"")</f>
        <v>сергей проводка</v>
      </c>
      <c r="G68" s="105">
        <f>IFERROR(IFERROR(INDEX(Кат!$A:$A,MATCH(Прайс!D68,Кат!$I:$I,0)),INDEX(Кат!$A:$A,MATCH(A68,Кат!$I:$I,0))),"")</f>
        <v>144956</v>
      </c>
      <c r="H68" s="105">
        <f>IFERROR(IFERROR(INDEX(Кат!$B:$B,MATCH(Прайс!D68,Кат!$I:$I,0)),INDEX(Кат!$B:$B,MATCH(A68,Кат!$I:$I,0))),"")</f>
        <v>13283</v>
      </c>
      <c r="I68" s="2" t="str">
        <f t="shared" si="3"/>
        <v>ВАЗ 2109Жгут проводов заднийВАЗ 21099-3724210</v>
      </c>
    </row>
    <row r="69" spans="1:9" s="2" customFormat="1" ht="12.75" x14ac:dyDescent="0.2">
      <c r="A69" s="40" t="str">
        <f t="shared" si="2"/>
        <v>ВАЗ 2110Жгут высоковольтных проводов (Милена)ВАЗ 2111(8 клапанная)</v>
      </c>
      <c r="B69" s="83" t="s">
        <v>251</v>
      </c>
      <c r="C69" s="26" t="s">
        <v>252</v>
      </c>
      <c r="D69" s="26" t="s">
        <v>253</v>
      </c>
      <c r="E69" s="27">
        <v>700</v>
      </c>
      <c r="F69" s="105" t="str">
        <f>IFERROR(IFERROR(VLOOKUP(D69,Кат!$I:$J,2,0),VLOOKUP(A69,Кат!$I:$J,2,0)),"")</f>
        <v/>
      </c>
      <c r="G69" s="105" t="str">
        <f>IFERROR(IFERROR(INDEX(Кат!$A:$A,MATCH(Прайс!D69,Кат!$I:$I,0)),INDEX(Кат!$A:$A,MATCH(A69,Кат!$I:$I,0))),"")</f>
        <v/>
      </c>
      <c r="H69" s="105" t="str">
        <f>IFERROR(IFERROR(INDEX(Кат!$B:$B,MATCH(Прайс!D69,Кат!$I:$I,0)),INDEX(Кат!$B:$B,MATCH(A69,Кат!$I:$I,0))),"")</f>
        <v/>
      </c>
      <c r="I69" s="2" t="str">
        <f t="shared" si="3"/>
        <v>ВАЗ 2110Жгут высоковольтных проводов (Милена)ВАЗ 2111(8 клапанная)</v>
      </c>
    </row>
    <row r="70" spans="1:9" s="2" customFormat="1" ht="12.75" x14ac:dyDescent="0.2">
      <c r="A70" s="40" t="str">
        <f t="shared" si="2"/>
        <v>ВАЗ 2110Жгут высоковольтных проводов(Слон)ВАЗ 2112(16 клапанная)</v>
      </c>
      <c r="B70" s="83" t="s">
        <v>251</v>
      </c>
      <c r="C70" s="26" t="s">
        <v>254</v>
      </c>
      <c r="D70" s="26" t="s">
        <v>255</v>
      </c>
      <c r="E70" s="27">
        <v>2000</v>
      </c>
      <c r="F70" s="105" t="str">
        <f>IFERROR(IFERROR(VLOOKUP(D70,Кат!$I:$J,2,0),VLOOKUP(A70,Кат!$I:$J,2,0)),"")</f>
        <v/>
      </c>
      <c r="G70" s="105" t="str">
        <f>IFERROR(IFERROR(INDEX(Кат!$A:$A,MATCH(Прайс!D70,Кат!$I:$I,0)),INDEX(Кат!$A:$A,MATCH(A70,Кат!$I:$I,0))),"")</f>
        <v/>
      </c>
      <c r="H70" s="105" t="str">
        <f>IFERROR(IFERROR(INDEX(Кат!$B:$B,MATCH(Прайс!D70,Кат!$I:$I,0)),INDEX(Кат!$B:$B,MATCH(A70,Кат!$I:$I,0))),"")</f>
        <v/>
      </c>
      <c r="I70" s="2" t="str">
        <f t="shared" si="3"/>
        <v>ВАЗ 2110Жгут высоковольтных проводов(Слон)ВАЗ 2112(16 клапанная)</v>
      </c>
    </row>
    <row r="71" spans="1:9" s="2" customFormat="1" ht="12.75" x14ac:dyDescent="0.2">
      <c r="A71" s="40" t="str">
        <f t="shared" si="2"/>
        <v>ВАЗ 2110Жгут панели приборовВАЗ 2112-3724030</v>
      </c>
      <c r="B71" s="83" t="s">
        <v>251</v>
      </c>
      <c r="C71" s="26" t="s">
        <v>205</v>
      </c>
      <c r="D71" s="26" t="s">
        <v>104</v>
      </c>
      <c r="E71" s="27">
        <v>7500</v>
      </c>
      <c r="F71" s="105" t="str">
        <f>IFERROR(IFERROR(VLOOKUP(D71,Кат!$I:$J,2,0),VLOOKUP(A71,Кат!$I:$J,2,0)),"")</f>
        <v>сергей проводка</v>
      </c>
      <c r="G71" s="105">
        <f>IFERROR(IFERROR(INDEX(Кат!$A:$A,MATCH(Прайс!D71,Кат!$I:$I,0)),INDEX(Кат!$A:$A,MATCH(A71,Кат!$I:$I,0))),"")</f>
        <v>144808</v>
      </c>
      <c r="H71" s="105">
        <f>IFERROR(IFERROR(INDEX(Кат!$B:$B,MATCH(Прайс!D71,Кат!$I:$I,0)),INDEX(Кат!$B:$B,MATCH(A71,Кат!$I:$I,0))),"")</f>
        <v>13287</v>
      </c>
      <c r="I71" s="2" t="str">
        <f t="shared" si="3"/>
        <v>ВАЗ 2110Жгут панели приборовВАЗ 2112-3724030</v>
      </c>
    </row>
    <row r="72" spans="1:9" s="2" customFormat="1" ht="12.75" x14ac:dyDescent="0.2">
      <c r="A72" s="40" t="str">
        <f t="shared" si="2"/>
        <v>ВАЗ 2110Жгут панели приборовВАЗ 2112-3724030-20</v>
      </c>
      <c r="B72" s="83" t="s">
        <v>251</v>
      </c>
      <c r="C72" s="26" t="s">
        <v>205</v>
      </c>
      <c r="D72" s="26" t="s">
        <v>24</v>
      </c>
      <c r="E72" s="27">
        <v>7500</v>
      </c>
      <c r="F72" s="105" t="str">
        <f>IFERROR(IFERROR(VLOOKUP(D72,Кат!$I:$J,2,0),VLOOKUP(A72,Кат!$I:$J,2,0)),"")</f>
        <v>сергей проводка</v>
      </c>
      <c r="G72" s="105">
        <f>IFERROR(IFERROR(INDEX(Кат!$A:$A,MATCH(Прайс!D72,Кат!$I:$I,0)),INDEX(Кат!$A:$A,MATCH(A72,Кат!$I:$I,0))),"")</f>
        <v>144809</v>
      </c>
      <c r="H72" s="105">
        <f>IFERROR(IFERROR(INDEX(Кат!$B:$B,MATCH(Прайс!D72,Кат!$I:$I,0)),INDEX(Кат!$B:$B,MATCH(A72,Кат!$I:$I,0))),"")</f>
        <v>13305</v>
      </c>
      <c r="I72" s="2" t="str">
        <f t="shared" si="3"/>
        <v>ВАЗ 2110Жгут панели приборовВАЗ 2112-3724030-20</v>
      </c>
    </row>
    <row r="73" spans="1:9" s="2" customFormat="1" ht="12.75" x14ac:dyDescent="0.2">
      <c r="A73" s="40" t="str">
        <f t="shared" si="2"/>
        <v>ВАЗ 2110Жгут панели приборов (v-1500)ВАЗ 2111-01 3724030-01</v>
      </c>
      <c r="B73" s="83" t="s">
        <v>251</v>
      </c>
      <c r="C73" s="26" t="s">
        <v>256</v>
      </c>
      <c r="D73" s="26" t="s">
        <v>23</v>
      </c>
      <c r="E73" s="27">
        <v>5000</v>
      </c>
      <c r="F73" s="105" t="str">
        <f>IFERROR(IFERROR(VLOOKUP(D73,Кат!$I:$J,2,0),VLOOKUP(A73,Кат!$I:$J,2,0)),"")</f>
        <v>сергей проводка</v>
      </c>
      <c r="G73" s="105">
        <f>IFERROR(IFERROR(INDEX(Кат!$A:$A,MATCH(Прайс!D73,Кат!$I:$I,0)),INDEX(Кат!$A:$A,MATCH(A73,Кат!$I:$I,0))),"")</f>
        <v>144906</v>
      </c>
      <c r="H73" s="105">
        <f>IFERROR(IFERROR(INDEX(Кат!$B:$B,MATCH(Прайс!D73,Кат!$I:$I,0)),INDEX(Кат!$B:$B,MATCH(A73,Кат!$I:$I,0))),"")</f>
        <v>13304</v>
      </c>
      <c r="I73" s="2" t="str">
        <f t="shared" si="3"/>
        <v>ВАЗ 2110Жгут панели приборов (v-1500)ВАЗ 2111-01 3724030-01</v>
      </c>
    </row>
    <row r="74" spans="1:9" s="2" customFormat="1" ht="12.75" x14ac:dyDescent="0.2">
      <c r="A74" s="40" t="str">
        <f t="shared" si="2"/>
        <v>ВАЗ 2110Жгут панели приборов (v-1600)ВАЗ 2111-03 3724030-03</v>
      </c>
      <c r="B74" s="83" t="s">
        <v>251</v>
      </c>
      <c r="C74" s="26" t="s">
        <v>257</v>
      </c>
      <c r="D74" s="26" t="s">
        <v>258</v>
      </c>
      <c r="E74" s="27">
        <v>4500</v>
      </c>
      <c r="F74" s="105" t="str">
        <f>IFERROR(IFERROR(VLOOKUP(D74,Кат!$I:$J,2,0),VLOOKUP(A74,Кат!$I:$J,2,0)),"")</f>
        <v>сергей проводка</v>
      </c>
      <c r="G74" s="105">
        <f>IFERROR(IFERROR(INDEX(Кат!$A:$A,MATCH(Прайс!D74,Кат!$I:$I,0)),INDEX(Кат!$A:$A,MATCH(A74,Кат!$I:$I,0))),"")</f>
        <v>426618</v>
      </c>
      <c r="H74" s="105">
        <f>IFERROR(IFERROR(INDEX(Кат!$B:$B,MATCH(Прайс!D74,Кат!$I:$I,0)),INDEX(Кат!$B:$B,MATCH(A74,Кат!$I:$I,0))),"")</f>
        <v>426618</v>
      </c>
      <c r="I74" s="2" t="str">
        <f t="shared" si="3"/>
        <v>ВАЗ 2110Жгут панели приборов (v-1600)ВАЗ 2111-03 3724030-03</v>
      </c>
    </row>
    <row r="75" spans="1:9" s="2" customFormat="1" ht="12.75" x14ac:dyDescent="0.2">
      <c r="A75" s="40" t="str">
        <f t="shared" si="2"/>
        <v>ВАЗ 2110Жгут проводов багажникаВАЗ 2110-3724558</v>
      </c>
      <c r="B75" s="83" t="s">
        <v>251</v>
      </c>
      <c r="C75" s="26" t="s">
        <v>259</v>
      </c>
      <c r="D75" s="26" t="s">
        <v>260</v>
      </c>
      <c r="E75" s="27">
        <v>1800</v>
      </c>
      <c r="F75" s="105" t="str">
        <f>IFERROR(IFERROR(VLOOKUP(D75,Кат!$I:$J,2,0),VLOOKUP(A75,Кат!$I:$J,2,0)),"")</f>
        <v>сергей проводка</v>
      </c>
      <c r="G75" s="105">
        <f>IFERROR(IFERROR(INDEX(Кат!$A:$A,MATCH(Прайс!D75,Кат!$I:$I,0)),INDEX(Кат!$A:$A,MATCH(A75,Кат!$I:$I,0))),"")</f>
        <v>144822</v>
      </c>
      <c r="H75" s="105">
        <f>IFERROR(IFERROR(INDEX(Кат!$B:$B,MATCH(Прайс!D75,Кат!$I:$I,0)),INDEX(Кат!$B:$B,MATCH(A75,Кат!$I:$I,0))),"")</f>
        <v>13288</v>
      </c>
      <c r="I75" s="2" t="str">
        <f t="shared" si="3"/>
        <v>ВАЗ 2110Жгут проводов багажникаВАЗ 2110-3724558</v>
      </c>
    </row>
    <row r="76" spans="1:9" s="2" customFormat="1" ht="12.75" x14ac:dyDescent="0.2">
      <c r="A76" s="40" t="str">
        <f t="shared" si="2"/>
        <v>ВАЗ 2110Жгут проводов багажникаВАЗ 2111-3724558</v>
      </c>
      <c r="B76" s="83" t="s">
        <v>251</v>
      </c>
      <c r="C76" s="26" t="s">
        <v>259</v>
      </c>
      <c r="D76" s="26" t="s">
        <v>62</v>
      </c>
      <c r="E76" s="27">
        <v>2000</v>
      </c>
      <c r="F76" s="105" t="str">
        <f>IFERROR(IFERROR(VLOOKUP(D76,Кат!$I:$J,2,0),VLOOKUP(A76,Кат!$I:$J,2,0)),"")</f>
        <v>сергей проводка</v>
      </c>
      <c r="G76" s="105">
        <f>IFERROR(IFERROR(INDEX(Кат!$A:$A,MATCH(Прайс!D76,Кат!$I:$I,0)),INDEX(Кат!$A:$A,MATCH(A76,Кат!$I:$I,0))),"")</f>
        <v>144823</v>
      </c>
      <c r="H76" s="105">
        <f>IFERROR(IFERROR(INDEX(Кат!$B:$B,MATCH(Прайс!D76,Кат!$I:$I,0)),INDEX(Кат!$B:$B,MATCH(A76,Кат!$I:$I,0))),"")</f>
        <v>13289</v>
      </c>
      <c r="I76" s="2" t="str">
        <f t="shared" si="3"/>
        <v>ВАЗ 2110Жгут проводов багажникаВАЗ 2111-3724558</v>
      </c>
    </row>
    <row r="77" spans="1:9" s="2" customFormat="1" ht="12.75" x14ac:dyDescent="0.2">
      <c r="A77" s="40" t="str">
        <f t="shared" si="2"/>
        <v>ВАЗ 2110Жгут проводов багажникаВАЗ 2112-3724558</v>
      </c>
      <c r="B77" s="83" t="s">
        <v>251</v>
      </c>
      <c r="C77" s="26" t="s">
        <v>259</v>
      </c>
      <c r="D77" s="26" t="s">
        <v>66</v>
      </c>
      <c r="E77" s="27">
        <v>2000</v>
      </c>
      <c r="F77" s="105" t="str">
        <f>IFERROR(IFERROR(VLOOKUP(D77,Кат!$I:$J,2,0),VLOOKUP(A77,Кат!$I:$J,2,0)),"")</f>
        <v>сергей проводка</v>
      </c>
      <c r="G77" s="105">
        <f>IFERROR(IFERROR(INDEX(Кат!$A:$A,MATCH(Прайс!D77,Кат!$I:$I,0)),INDEX(Кат!$A:$A,MATCH(A77,Кат!$I:$I,0))),"")</f>
        <v>144824</v>
      </c>
      <c r="H77" s="105">
        <f>IFERROR(IFERROR(INDEX(Кат!$B:$B,MATCH(Прайс!D77,Кат!$I:$I,0)),INDEX(Кат!$B:$B,MATCH(A77,Кат!$I:$I,0))),"")</f>
        <v>13290</v>
      </c>
      <c r="I77" s="2" t="str">
        <f t="shared" si="3"/>
        <v>ВАЗ 2110Жгут проводов багажникаВАЗ 2112-3724558</v>
      </c>
    </row>
    <row r="78" spans="1:9" s="2" customFormat="1" ht="12.75" x14ac:dyDescent="0.2">
      <c r="A78" s="40" t="str">
        <f t="shared" si="2"/>
        <v>ВАЗ 2110Жгут проводов бензобакаВАЗ 2112-3724037</v>
      </c>
      <c r="B78" s="83" t="s">
        <v>251</v>
      </c>
      <c r="C78" s="26" t="s">
        <v>261</v>
      </c>
      <c r="D78" s="26" t="s">
        <v>79</v>
      </c>
      <c r="E78" s="27">
        <v>500</v>
      </c>
      <c r="F78" s="105" t="str">
        <f>IFERROR(IFERROR(VLOOKUP(D78,Кат!$I:$J,2,0),VLOOKUP(A78,Кат!$I:$J,2,0)),"")</f>
        <v>сергей проводка</v>
      </c>
      <c r="G78" s="105">
        <f>IFERROR(IFERROR(INDEX(Кат!$A:$A,MATCH(Прайс!D78,Кат!$I:$I,0)),INDEX(Кат!$A:$A,MATCH(A78,Кат!$I:$I,0))),"")</f>
        <v>144825</v>
      </c>
      <c r="H78" s="105">
        <f>IFERROR(IFERROR(INDEX(Кат!$B:$B,MATCH(Прайс!D78,Кат!$I:$I,0)),INDEX(Кат!$B:$B,MATCH(A78,Кат!$I:$I,0))),"")</f>
        <v>13291</v>
      </c>
      <c r="I78" s="2" t="str">
        <f t="shared" si="3"/>
        <v>ВАЗ 2110Жгут проводов бензобакаВАЗ 2112-3724037</v>
      </c>
    </row>
    <row r="79" spans="1:9" s="2" customFormat="1" ht="12.75" x14ac:dyDescent="0.2">
      <c r="A79" s="40" t="str">
        <f t="shared" si="2"/>
        <v>ВАЗ 2110Жгут проводов бензобака н.о.ВАЗ 2112-3724037-40</v>
      </c>
      <c r="B79" s="83" t="s">
        <v>251</v>
      </c>
      <c r="C79" s="26" t="s">
        <v>262</v>
      </c>
      <c r="D79" s="26" t="s">
        <v>263</v>
      </c>
      <c r="E79" s="27">
        <v>500</v>
      </c>
      <c r="F79" s="105" t="str">
        <f>IFERROR(IFERROR(VLOOKUP(D79,Кат!$I:$J,2,0),VLOOKUP(A79,Кат!$I:$J,2,0)),"")</f>
        <v>сергей проводка</v>
      </c>
      <c r="G79" s="105">
        <f>IFERROR(IFERROR(INDEX(Кат!$A:$A,MATCH(Прайс!D79,Кат!$I:$I,0)),INDEX(Кат!$A:$A,MATCH(A79,Кат!$I:$I,0))),"")</f>
        <v>144826</v>
      </c>
      <c r="H79" s="105">
        <f>IFERROR(IFERROR(INDEX(Кат!$B:$B,MATCH(Прайс!D79,Кат!$I:$I,0)),INDEX(Кат!$B:$B,MATCH(A79,Кат!$I:$I,0))),"")</f>
        <v>13292</v>
      </c>
      <c r="I79" s="2" t="str">
        <f t="shared" si="3"/>
        <v>ВАЗ 2110Жгут проводов бензобака н.о.ВАЗ 2112-3724037-40</v>
      </c>
    </row>
    <row r="80" spans="1:9" s="2" customFormat="1" ht="12.75" x14ac:dyDescent="0.2">
      <c r="A80" s="40" t="str">
        <f t="shared" si="2"/>
        <v>ВАЗ 2110Жгут проводов заднийВАЗ 2111-3724210-03</v>
      </c>
      <c r="B80" s="83" t="s">
        <v>251</v>
      </c>
      <c r="C80" s="26" t="s">
        <v>200</v>
      </c>
      <c r="D80" s="26" t="s">
        <v>40</v>
      </c>
      <c r="E80" s="27">
        <v>3000</v>
      </c>
      <c r="F80" s="105" t="str">
        <f>IFERROR(IFERROR(VLOOKUP(D80,Кат!$I:$J,2,0),VLOOKUP(A80,Кат!$I:$J,2,0)),"")</f>
        <v>сергей проводка</v>
      </c>
      <c r="G80" s="105">
        <f>IFERROR(IFERROR(INDEX(Кат!$A:$A,MATCH(Прайс!D80,Кат!$I:$I,0)),INDEX(Кат!$A:$A,MATCH(A80,Кат!$I:$I,0))),"")</f>
        <v>144845</v>
      </c>
      <c r="H80" s="105">
        <f>IFERROR(IFERROR(INDEX(Кат!$B:$B,MATCH(Прайс!D80,Кат!$I:$I,0)),INDEX(Кат!$B:$B,MATCH(A80,Кат!$I:$I,0))),"")</f>
        <v>13293</v>
      </c>
      <c r="I80" s="2" t="str">
        <f t="shared" si="3"/>
        <v>ВАЗ 2110Жгут проводов заднийВАЗ 2111-3724210-03</v>
      </c>
    </row>
    <row r="81" spans="1:9" s="2" customFormat="1" ht="12.75" x14ac:dyDescent="0.2">
      <c r="A81" s="40" t="str">
        <f t="shared" si="2"/>
        <v>ВАЗ 2110Жгут проводов заднийВАЗ 2112-3724210-03</v>
      </c>
      <c r="B81" s="83" t="s">
        <v>251</v>
      </c>
      <c r="C81" s="26" t="s">
        <v>200</v>
      </c>
      <c r="D81" s="26" t="s">
        <v>41</v>
      </c>
      <c r="E81" s="27">
        <v>3000</v>
      </c>
      <c r="F81" s="105" t="str">
        <f>IFERROR(IFERROR(VLOOKUP(D81,Кат!$I:$J,2,0),VLOOKUP(A81,Кат!$I:$J,2,0)),"")</f>
        <v>сергей проводка</v>
      </c>
      <c r="G81" s="105">
        <f>IFERROR(IFERROR(INDEX(Кат!$A:$A,MATCH(Прайс!D81,Кат!$I:$I,0)),INDEX(Кат!$A:$A,MATCH(A81,Кат!$I:$I,0))),"")</f>
        <v>144846</v>
      </c>
      <c r="H81" s="105">
        <f>IFERROR(IFERROR(INDEX(Кат!$B:$B,MATCH(Прайс!D81,Кат!$I:$I,0)),INDEX(Кат!$B:$B,MATCH(A81,Кат!$I:$I,0))),"")</f>
        <v>13294</v>
      </c>
      <c r="I81" s="2" t="str">
        <f t="shared" si="3"/>
        <v>ВАЗ 2110Жгут проводов заднийВАЗ 2112-3724210-03</v>
      </c>
    </row>
    <row r="82" spans="1:9" s="2" customFormat="1" ht="12.75" x14ac:dyDescent="0.2">
      <c r="A82" s="40" t="str">
        <f t="shared" si="2"/>
        <v>ВАЗ 2110Жгут проводов заднийВАЗ 2110-3724210-03</v>
      </c>
      <c r="B82" s="83" t="s">
        <v>251</v>
      </c>
      <c r="C82" s="26" t="s">
        <v>200</v>
      </c>
      <c r="D82" s="26" t="s">
        <v>52</v>
      </c>
      <c r="E82" s="27">
        <v>3000</v>
      </c>
      <c r="F82" s="105" t="str">
        <f>IFERROR(IFERROR(VLOOKUP(D82,Кат!$I:$J,2,0),VLOOKUP(A82,Кат!$I:$J,2,0)),"")</f>
        <v>сергей проводка</v>
      </c>
      <c r="G82" s="105">
        <f>IFERROR(IFERROR(INDEX(Кат!$A:$A,MATCH(Прайс!D82,Кат!$I:$I,0)),INDEX(Кат!$A:$A,MATCH(A82,Кат!$I:$I,0))),"")</f>
        <v>144844</v>
      </c>
      <c r="H82" s="105">
        <f>IFERROR(IFERROR(INDEX(Кат!$B:$B,MATCH(Прайс!D82,Кат!$I:$I,0)),INDEX(Кат!$B:$B,MATCH(A82,Кат!$I:$I,0))),"")</f>
        <v>13295</v>
      </c>
      <c r="I82" s="2" t="str">
        <f t="shared" si="3"/>
        <v>ВАЗ 2110Жгут проводов заднийВАЗ 2110-3724210-03</v>
      </c>
    </row>
    <row r="83" spans="1:9" s="2" customFormat="1" ht="12.75" x14ac:dyDescent="0.2">
      <c r="A83" s="40" t="str">
        <f t="shared" si="2"/>
        <v>ВАЗ 2110Жгут проводов модулейВАЗ 21104-3724148</v>
      </c>
      <c r="B83" s="83" t="s">
        <v>251</v>
      </c>
      <c r="C83" s="26" t="s">
        <v>264</v>
      </c>
      <c r="D83" s="26" t="s">
        <v>75</v>
      </c>
      <c r="E83" s="27">
        <v>550</v>
      </c>
      <c r="F83" s="105" t="str">
        <f>IFERROR(IFERROR(VLOOKUP(D83,Кат!$I:$J,2,0),VLOOKUP(A83,Кат!$I:$J,2,0)),"")</f>
        <v>сергей проводка</v>
      </c>
      <c r="G83" s="105">
        <f>IFERROR(IFERROR(INDEX(Кат!$A:$A,MATCH(Прайс!D83,Кат!$I:$I,0)),INDEX(Кат!$A:$A,MATCH(A83,Кат!$I:$I,0))),"")</f>
        <v>144864</v>
      </c>
      <c r="H83" s="105">
        <f>IFERROR(IFERROR(INDEX(Кат!$B:$B,MATCH(Прайс!D83,Кат!$I:$I,0)),INDEX(Кат!$B:$B,MATCH(A83,Кат!$I:$I,0))),"")</f>
        <v>13286</v>
      </c>
      <c r="I83" s="2" t="str">
        <f t="shared" si="3"/>
        <v>ВАЗ 2110Жгут проводов модулейВАЗ 21104-3724148</v>
      </c>
    </row>
    <row r="84" spans="1:9" s="2" customFormat="1" ht="12.75" x14ac:dyDescent="0.2">
      <c r="A84" s="40" t="str">
        <f t="shared" si="2"/>
        <v>ВАЗ 2110Жгут проводов печки-стеклоочистителяВАЗ 2110-3724019</v>
      </c>
      <c r="B84" s="83" t="s">
        <v>251</v>
      </c>
      <c r="C84" s="26" t="s">
        <v>265</v>
      </c>
      <c r="D84" s="26" t="s">
        <v>63</v>
      </c>
      <c r="E84" s="27">
        <v>1500</v>
      </c>
      <c r="F84" s="105" t="str">
        <f>IFERROR(IFERROR(VLOOKUP(D84,Кат!$I:$J,2,0),VLOOKUP(A84,Кат!$I:$J,2,0)),"")</f>
        <v>сергей проводка</v>
      </c>
      <c r="G84" s="105">
        <f>IFERROR(IFERROR(INDEX(Кат!$A:$A,MATCH(Прайс!D84,Кат!$I:$I,0)),INDEX(Кат!$A:$A,MATCH(A84,Кат!$I:$I,0))),"")</f>
        <v>144940</v>
      </c>
      <c r="H84" s="105">
        <f>IFERROR(IFERROR(INDEX(Кат!$B:$B,MATCH(Прайс!D84,Кат!$I:$I,0)),INDEX(Кат!$B:$B,MATCH(A84,Кат!$I:$I,0))),"")</f>
        <v>13296</v>
      </c>
      <c r="I84" s="2" t="str">
        <f t="shared" si="3"/>
        <v>ВАЗ 2110Жгут проводов печки-стеклоочистителяВАЗ 2110-3724019</v>
      </c>
    </row>
    <row r="85" spans="1:9" s="2" customFormat="1" ht="12.75" x14ac:dyDescent="0.2">
      <c r="A85" s="40" t="str">
        <f t="shared" si="2"/>
        <v>ВАЗ 2110Жгут проводов печки-стеклоочистителяВАЗ 2112-3724019</v>
      </c>
      <c r="B85" s="83" t="s">
        <v>251</v>
      </c>
      <c r="C85" s="26" t="s">
        <v>265</v>
      </c>
      <c r="D85" s="26" t="s">
        <v>266</v>
      </c>
      <c r="E85" s="27">
        <v>1500</v>
      </c>
      <c r="F85" s="105" t="str">
        <f>IFERROR(IFERROR(VLOOKUP(D85,Кат!$I:$J,2,0),VLOOKUP(A85,Кат!$I:$J,2,0)),"")</f>
        <v>сергей проводка</v>
      </c>
      <c r="G85" s="105">
        <f>IFERROR(IFERROR(INDEX(Кат!$A:$A,MATCH(Прайс!D85,Кат!$I:$I,0)),INDEX(Кат!$A:$A,MATCH(A85,Кат!$I:$I,0))),"")</f>
        <v>144941</v>
      </c>
      <c r="H85" s="105">
        <f>IFERROR(IFERROR(INDEX(Кат!$B:$B,MATCH(Прайс!D85,Кат!$I:$I,0)),INDEX(Кат!$B:$B,MATCH(A85,Кат!$I:$I,0))),"")</f>
        <v>13298</v>
      </c>
      <c r="I85" s="2" t="str">
        <f t="shared" si="3"/>
        <v>ВАЗ 2110Жгут проводов печки-стеклоочистителяВАЗ 2112-3724019</v>
      </c>
    </row>
    <row r="86" spans="1:9" s="2" customFormat="1" ht="12.75" x14ac:dyDescent="0.2">
      <c r="A86" s="40" t="str">
        <f t="shared" si="2"/>
        <v>ВАЗ 2110Жгут проводов противотуманных фар (монтажный набор)ВАЗ 2110</v>
      </c>
      <c r="B86" s="83" t="s">
        <v>251</v>
      </c>
      <c r="C86" s="26" t="s">
        <v>267</v>
      </c>
      <c r="D86" s="26" t="s">
        <v>251</v>
      </c>
      <c r="E86" s="27">
        <v>750</v>
      </c>
      <c r="F86" s="105" t="str">
        <f>IFERROR(IFERROR(VLOOKUP(D86,Кат!$I:$J,2,0),VLOOKUP(A86,Кат!$I:$J,2,0)),"")</f>
        <v/>
      </c>
      <c r="G86" s="105" t="str">
        <f>IFERROR(IFERROR(INDEX(Кат!$A:$A,MATCH(Прайс!D86,Кат!$I:$I,0)),INDEX(Кат!$A:$A,MATCH(A86,Кат!$I:$I,0))),"")</f>
        <v/>
      </c>
      <c r="H86" s="105" t="str">
        <f>IFERROR(IFERROR(INDEX(Кат!$B:$B,MATCH(Прайс!D86,Кат!$I:$I,0)),INDEX(Кат!$B:$B,MATCH(A86,Кат!$I:$I,0))),"")</f>
        <v/>
      </c>
      <c r="I86" s="2" t="str">
        <f t="shared" si="3"/>
        <v>ВАЗ 2110Жгут проводов противотуманных фар (монтажный набор)ВАЗ 2110</v>
      </c>
    </row>
    <row r="87" spans="1:9" s="2" customFormat="1" ht="12.75" x14ac:dyDescent="0.2">
      <c r="A87" s="40" t="str">
        <f t="shared" si="2"/>
        <v>ВАЗ 2110Жгут проводов противотуманных фар (монтажный набор)ВАЗ 2110-евро панель</v>
      </c>
      <c r="B87" s="83" t="s">
        <v>251</v>
      </c>
      <c r="C87" s="26" t="s">
        <v>267</v>
      </c>
      <c r="D87" s="26" t="s">
        <v>268</v>
      </c>
      <c r="E87" s="27">
        <v>750</v>
      </c>
      <c r="F87" s="105" t="str">
        <f>IFERROR(IFERROR(VLOOKUP(D87,Кат!$I:$J,2,0),VLOOKUP(A87,Кат!$I:$J,2,0)),"")</f>
        <v/>
      </c>
      <c r="G87" s="105" t="str">
        <f>IFERROR(IFERROR(INDEX(Кат!$A:$A,MATCH(Прайс!D87,Кат!$I:$I,0)),INDEX(Кат!$A:$A,MATCH(A87,Кат!$I:$I,0))),"")</f>
        <v/>
      </c>
      <c r="H87" s="105" t="str">
        <f>IFERROR(IFERROR(INDEX(Кат!$B:$B,MATCH(Прайс!D87,Кат!$I:$I,0)),INDEX(Кат!$B:$B,MATCH(A87,Кат!$I:$I,0))),"")</f>
        <v/>
      </c>
      <c r="I87" s="2" t="str">
        <f t="shared" si="3"/>
        <v>ВАЗ 2110Жгут проводов противотуманных фар (монтажный набор)ВАЗ 2110-евро панель</v>
      </c>
    </row>
    <row r="88" spans="1:9" s="2" customFormat="1" ht="12.75" x14ac:dyDescent="0.2">
      <c r="A88" s="40" t="str">
        <f t="shared" si="2"/>
        <v>ВАЗ 2110Жгут проводов салона и подсветкиВАЗ 2110-3724551</v>
      </c>
      <c r="B88" s="83" t="s">
        <v>251</v>
      </c>
      <c r="C88" s="26" t="s">
        <v>269</v>
      </c>
      <c r="D88" s="26" t="s">
        <v>80</v>
      </c>
      <c r="E88" s="27">
        <v>550</v>
      </c>
      <c r="F88" s="105" t="str">
        <f>IFERROR(IFERROR(VLOOKUP(D88,Кат!$I:$J,2,0),VLOOKUP(A88,Кат!$I:$J,2,0)),"")</f>
        <v>сергей проводка</v>
      </c>
      <c r="G88" s="105">
        <f>IFERROR(IFERROR(INDEX(Кат!$A:$A,MATCH(Прайс!D88,Кат!$I:$I,0)),INDEX(Кат!$A:$A,MATCH(A88,Кат!$I:$I,0))),"")</f>
        <v>144958</v>
      </c>
      <c r="H88" s="105">
        <f>IFERROR(IFERROR(INDEX(Кат!$B:$B,MATCH(Прайс!D88,Кат!$I:$I,0)),INDEX(Кат!$B:$B,MATCH(A88,Кат!$I:$I,0))),"")</f>
        <v>13297</v>
      </c>
      <c r="I88" s="2" t="str">
        <f t="shared" si="3"/>
        <v>ВАЗ 2110Жгут проводов салона и подсветкиВАЗ 2110-3724551</v>
      </c>
    </row>
    <row r="89" spans="1:9" s="2" customFormat="1" ht="12.75" x14ac:dyDescent="0.2">
      <c r="A89" s="40" t="str">
        <f t="shared" si="2"/>
        <v>ВАЗ 2110Жгут проводов салона и ручникаВАЗ 2110-3724550</v>
      </c>
      <c r="B89" s="83" t="s">
        <v>251</v>
      </c>
      <c r="C89" s="26" t="s">
        <v>270</v>
      </c>
      <c r="D89" s="26" t="s">
        <v>81</v>
      </c>
      <c r="E89" s="27">
        <v>500</v>
      </c>
      <c r="F89" s="105" t="str">
        <f>IFERROR(IFERROR(VLOOKUP(D89,Кат!$I:$J,2,0),VLOOKUP(A89,Кат!$I:$J,2,0)),"")</f>
        <v>сергей проводка</v>
      </c>
      <c r="G89" s="105">
        <f>IFERROR(IFERROR(INDEX(Кат!$A:$A,MATCH(Прайс!D89,Кат!$I:$I,0)),INDEX(Кат!$A:$A,MATCH(A89,Кат!$I:$I,0))),"")</f>
        <v>144959</v>
      </c>
      <c r="H89" s="105">
        <f>IFERROR(IFERROR(INDEX(Кат!$B:$B,MATCH(Прайс!D89,Кат!$I:$I,0)),INDEX(Кат!$B:$B,MATCH(A89,Кат!$I:$I,0))),"")</f>
        <v>13299</v>
      </c>
      <c r="I89" s="2" t="str">
        <f t="shared" si="3"/>
        <v>ВАЗ 2110Жгут проводов салона и ручникаВАЗ 2110-3724550</v>
      </c>
    </row>
    <row r="90" spans="1:9" s="2" customFormat="1" ht="12.75" x14ac:dyDescent="0.2">
      <c r="A90" s="40" t="str">
        <f t="shared" si="2"/>
        <v>ВАЗ 2110Жгут проводов системы зажиганияВАЗ 21102-3724026-01</v>
      </c>
      <c r="B90" s="83" t="s">
        <v>251</v>
      </c>
      <c r="C90" s="26" t="s">
        <v>271</v>
      </c>
      <c r="D90" s="26" t="s">
        <v>272</v>
      </c>
      <c r="E90" s="27"/>
      <c r="F90" s="105" t="str">
        <f>IFERROR(IFERROR(VLOOKUP(D90,Кат!$I:$J,2,0),VLOOKUP(A90,Кат!$I:$J,2,0)),"")</f>
        <v/>
      </c>
      <c r="G90" s="105" t="str">
        <f>IFERROR(IFERROR(INDEX(Кат!$A:$A,MATCH(Прайс!D90,Кат!$I:$I,0)),INDEX(Кат!$A:$A,MATCH(A90,Кат!$I:$I,0))),"")</f>
        <v/>
      </c>
      <c r="H90" s="105" t="str">
        <f>IFERROR(IFERROR(INDEX(Кат!$B:$B,MATCH(Прайс!D90,Кат!$I:$I,0)),INDEX(Кат!$B:$B,MATCH(A90,Кат!$I:$I,0))),"")</f>
        <v/>
      </c>
      <c r="I90" s="2" t="str">
        <f t="shared" si="3"/>
        <v>ВАЗ 2110Жгут проводов системы зажиганияВАЗ 21102-3724026-01</v>
      </c>
    </row>
    <row r="91" spans="1:9" s="2" customFormat="1" ht="12.75" x14ac:dyDescent="0.2">
      <c r="A91" s="40" t="str">
        <f t="shared" si="2"/>
        <v>ВАЗ 2110Жгут проводов системы зажиганияВАЗ 21102-3724026-05</v>
      </c>
      <c r="B91" s="83" t="s">
        <v>251</v>
      </c>
      <c r="C91" s="26" t="s">
        <v>271</v>
      </c>
      <c r="D91" s="26" t="s">
        <v>15</v>
      </c>
      <c r="E91" s="27">
        <v>9000</v>
      </c>
      <c r="F91" s="105" t="str">
        <f>IFERROR(IFERROR(VLOOKUP(D91,Кат!$I:$J,2,0),VLOOKUP(A91,Кат!$I:$J,2,0)),"")</f>
        <v>сергей проводка</v>
      </c>
      <c r="G91" s="105">
        <f>IFERROR(IFERROR(INDEX(Кат!$A:$A,MATCH(Прайс!D91,Кат!$I:$I,0)),INDEX(Кат!$A:$A,MATCH(A91,Кат!$I:$I,0))),"")</f>
        <v>144873</v>
      </c>
      <c r="H91" s="105">
        <f>IFERROR(IFERROR(INDEX(Кат!$B:$B,MATCH(Прайс!D91,Кат!$I:$I,0)),INDEX(Кат!$B:$B,MATCH(A91,Кат!$I:$I,0))),"")</f>
        <v>3990</v>
      </c>
      <c r="I91" s="2" t="str">
        <f t="shared" si="3"/>
        <v>ВАЗ 2110Жгут проводов системы зажиганияВАЗ 21102-3724026-05</v>
      </c>
    </row>
    <row r="92" spans="1:9" s="2" customFormat="1" ht="12.75" x14ac:dyDescent="0.2">
      <c r="A92" s="40" t="str">
        <f t="shared" si="2"/>
        <v>ВАЗ 2110Жгут проводов системы зажиганияВАЗ 21102-3724026-51</v>
      </c>
      <c r="B92" s="83" t="s">
        <v>251</v>
      </c>
      <c r="C92" s="26" t="s">
        <v>271</v>
      </c>
      <c r="D92" s="26" t="s">
        <v>21</v>
      </c>
      <c r="E92" s="27">
        <v>8500</v>
      </c>
      <c r="F92" s="105" t="str">
        <f>IFERROR(IFERROR(VLOOKUP(D92,Кат!$I:$J,2,0),VLOOKUP(A92,Кат!$I:$J,2,0)),"")</f>
        <v>сергей проводка</v>
      </c>
      <c r="G92" s="105">
        <f>IFERROR(IFERROR(INDEX(Кат!$A:$A,MATCH(Прайс!D92,Кат!$I:$I,0)),INDEX(Кат!$A:$A,MATCH(A92,Кат!$I:$I,0))),"")</f>
        <v>144874</v>
      </c>
      <c r="H92" s="105">
        <f>IFERROR(IFERROR(INDEX(Кат!$B:$B,MATCH(Прайс!D92,Кат!$I:$I,0)),INDEX(Кат!$B:$B,MATCH(A92,Кат!$I:$I,0))),"")</f>
        <v>3991</v>
      </c>
      <c r="I92" s="2" t="str">
        <f t="shared" si="3"/>
        <v>ВАЗ 2110Жгут проводов системы зажиганияВАЗ 21102-3724026-51</v>
      </c>
    </row>
    <row r="93" spans="1:9" s="2" customFormat="1" ht="12.75" x14ac:dyDescent="0.2">
      <c r="A93" s="40" t="str">
        <f t="shared" si="2"/>
        <v>ВАЗ 2110Жгут проводов системы зажиганияВАЗ 21103-3724026-01</v>
      </c>
      <c r="B93" s="83" t="s">
        <v>251</v>
      </c>
      <c r="C93" s="26" t="s">
        <v>271</v>
      </c>
      <c r="D93" s="26" t="s">
        <v>273</v>
      </c>
      <c r="E93" s="27"/>
      <c r="F93" s="105" t="str">
        <f>IFERROR(IFERROR(VLOOKUP(D93,Кат!$I:$J,2,0),VLOOKUP(A93,Кат!$I:$J,2,0)),"")</f>
        <v/>
      </c>
      <c r="G93" s="105" t="str">
        <f>IFERROR(IFERROR(INDEX(Кат!$A:$A,MATCH(Прайс!D93,Кат!$I:$I,0)),INDEX(Кат!$A:$A,MATCH(A93,Кат!$I:$I,0))),"")</f>
        <v/>
      </c>
      <c r="H93" s="105" t="str">
        <f>IFERROR(IFERROR(INDEX(Кат!$B:$B,MATCH(Прайс!D93,Кат!$I:$I,0)),INDEX(Кат!$B:$B,MATCH(A93,Кат!$I:$I,0))),"")</f>
        <v/>
      </c>
      <c r="I93" s="2" t="str">
        <f t="shared" si="3"/>
        <v>ВАЗ 2110Жгут проводов системы зажиганияВАЗ 21103-3724026-01</v>
      </c>
    </row>
    <row r="94" spans="1:9" s="2" customFormat="1" ht="12.75" x14ac:dyDescent="0.2">
      <c r="A94" s="40" t="str">
        <f t="shared" si="2"/>
        <v>ВАЗ 2110Жгут проводов системы зажиганияВАЗ 21103-3724026-11</v>
      </c>
      <c r="B94" s="83" t="s">
        <v>251</v>
      </c>
      <c r="C94" s="26" t="s">
        <v>271</v>
      </c>
      <c r="D94" s="26" t="s">
        <v>16</v>
      </c>
      <c r="E94" s="27">
        <v>9000</v>
      </c>
      <c r="F94" s="105" t="str">
        <f>IFERROR(IFERROR(VLOOKUP(D94,Кат!$I:$J,2,0),VLOOKUP(A94,Кат!$I:$J,2,0)),"")</f>
        <v>сергей проводка</v>
      </c>
      <c r="G94" s="105">
        <f>IFERROR(IFERROR(INDEX(Кат!$A:$A,MATCH(Прайс!D94,Кат!$I:$I,0)),INDEX(Кат!$A:$A,MATCH(A94,Кат!$I:$I,0))),"")</f>
        <v>144876</v>
      </c>
      <c r="H94" s="105">
        <f>IFERROR(IFERROR(INDEX(Кат!$B:$B,MATCH(Прайс!D94,Кат!$I:$I,0)),INDEX(Кат!$B:$B,MATCH(A94,Кат!$I:$I,0))),"")</f>
        <v>3993</v>
      </c>
      <c r="I94" s="2" t="str">
        <f t="shared" si="3"/>
        <v>ВАЗ 2110Жгут проводов системы зажиганияВАЗ 21103-3724026-11</v>
      </c>
    </row>
    <row r="95" spans="1:9" s="2" customFormat="1" ht="12.75" x14ac:dyDescent="0.2">
      <c r="A95" s="40" t="str">
        <f t="shared" si="2"/>
        <v>ВАЗ 2110Жгут проводов системы зажиганияВАЗ 21104 -3724026-10</v>
      </c>
      <c r="B95" s="83" t="s">
        <v>251</v>
      </c>
      <c r="C95" s="26" t="s">
        <v>271</v>
      </c>
      <c r="D95" s="26" t="s">
        <v>17</v>
      </c>
      <c r="E95" s="27">
        <v>11000</v>
      </c>
      <c r="F95" s="105" t="str">
        <f>IFERROR(IFERROR(VLOOKUP(D95,Кат!$I:$J,2,0),VLOOKUP(A95,Кат!$I:$J,2,0)),"")</f>
        <v>сергей проводка</v>
      </c>
      <c r="G95" s="105">
        <f>IFERROR(IFERROR(INDEX(Кат!$A:$A,MATCH(Прайс!D95,Кат!$I:$I,0)),INDEX(Кат!$A:$A,MATCH(A95,Кат!$I:$I,0))),"")</f>
        <v>144877</v>
      </c>
      <c r="H95" s="105">
        <f>IFERROR(IFERROR(INDEX(Кат!$B:$B,MATCH(Прайс!D95,Кат!$I:$I,0)),INDEX(Кат!$B:$B,MATCH(A95,Кат!$I:$I,0))),"")</f>
        <v>3994</v>
      </c>
      <c r="I95" s="2" t="str">
        <f t="shared" si="3"/>
        <v>ВАЗ 2110Жгут проводов системы зажиганияВАЗ 21104 -3724026-10</v>
      </c>
    </row>
    <row r="96" spans="1:9" s="2" customFormat="1" ht="12.75" x14ac:dyDescent="0.2">
      <c r="A96" s="40" t="str">
        <f t="shared" si="2"/>
        <v>ВАЗ 2110Жгут проводов системы зажиганияВАЗ 21104-3724026</v>
      </c>
      <c r="B96" s="83" t="s">
        <v>251</v>
      </c>
      <c r="C96" s="26" t="s">
        <v>271</v>
      </c>
      <c r="D96" s="26" t="s">
        <v>274</v>
      </c>
      <c r="E96" s="27">
        <v>10000</v>
      </c>
      <c r="F96" s="105" t="str">
        <f>IFERROR(IFERROR(VLOOKUP(D96,Кат!$I:$J,2,0),VLOOKUP(A96,Кат!$I:$J,2,0)),"")</f>
        <v>сергей проводка</v>
      </c>
      <c r="G96" s="105">
        <f>IFERROR(IFERROR(INDEX(Кат!$A:$A,MATCH(Прайс!D96,Кат!$I:$I,0)),INDEX(Кат!$A:$A,MATCH(A96,Кат!$I:$I,0))),"")</f>
        <v>426628</v>
      </c>
      <c r="H96" s="105">
        <f>IFERROR(IFERROR(INDEX(Кат!$B:$B,MATCH(Прайс!D96,Кат!$I:$I,0)),INDEX(Кат!$B:$B,MATCH(A96,Кат!$I:$I,0))),"")</f>
        <v>426628</v>
      </c>
      <c r="I96" s="2" t="str">
        <f t="shared" si="3"/>
        <v>ВАЗ 2110Жгут проводов системы зажиганияВАЗ 21104-3724026</v>
      </c>
    </row>
    <row r="97" spans="1:9" s="2" customFormat="1" ht="12.75" x14ac:dyDescent="0.2">
      <c r="A97" s="40" t="str">
        <f t="shared" si="2"/>
        <v>ВАЗ 2110Жгут проводов стеклоподъёмников и центрального замкаВАЗ 2110-3724226</v>
      </c>
      <c r="B97" s="83" t="s">
        <v>251</v>
      </c>
      <c r="C97" s="26" t="s">
        <v>275</v>
      </c>
      <c r="D97" s="26" t="s">
        <v>64</v>
      </c>
      <c r="E97" s="27">
        <v>1500</v>
      </c>
      <c r="F97" s="105" t="str">
        <f>IFERROR(IFERROR(VLOOKUP(D97,Кат!$I:$J,2,0),VLOOKUP(A97,Кат!$I:$J,2,0)),"")</f>
        <v>сергей проводка</v>
      </c>
      <c r="G97" s="105">
        <f>IFERROR(IFERROR(INDEX(Кат!$A:$A,MATCH(Прайс!D97,Кат!$I:$I,0)),INDEX(Кат!$A:$A,MATCH(A97,Кат!$I:$I,0))),"")</f>
        <v>144980</v>
      </c>
      <c r="H97" s="105">
        <f>IFERROR(IFERROR(INDEX(Кат!$B:$B,MATCH(Прайс!D97,Кат!$I:$I,0)),INDEX(Кат!$B:$B,MATCH(A97,Кат!$I:$I,0))),"")</f>
        <v>13300</v>
      </c>
      <c r="I97" s="2" t="str">
        <f t="shared" si="3"/>
        <v>ВАЗ 2110Жгут проводов стеклоподъёмников и центрального замкаВАЗ 2110-3724226</v>
      </c>
    </row>
    <row r="98" spans="1:9" s="2" customFormat="1" ht="12.75" x14ac:dyDescent="0.2">
      <c r="A98" s="40" t="str">
        <f t="shared" si="2"/>
        <v>ВАЗ 2110Жгут проводов фар и генератораВАЗ 2112-3724010-10</v>
      </c>
      <c r="B98" s="83" t="s">
        <v>251</v>
      </c>
      <c r="C98" s="26" t="s">
        <v>276</v>
      </c>
      <c r="D98" s="26" t="s">
        <v>43</v>
      </c>
      <c r="E98" s="27">
        <v>4000</v>
      </c>
      <c r="F98" s="105" t="str">
        <f>IFERROR(IFERROR(VLOOKUP(D98,Кат!$I:$J,2,0),VLOOKUP(A98,Кат!$I:$J,2,0)),"")</f>
        <v>сергей проводка</v>
      </c>
      <c r="G98" s="105">
        <f>IFERROR(IFERROR(INDEX(Кат!$A:$A,MATCH(Прайс!D98,Кат!$I:$I,0)),INDEX(Кат!$A:$A,MATCH(A98,Кат!$I:$I,0))),"")</f>
        <v>144985</v>
      </c>
      <c r="H98" s="105">
        <f>IFERROR(IFERROR(INDEX(Кат!$B:$B,MATCH(Прайс!D98,Кат!$I:$I,0)),INDEX(Кат!$B:$B,MATCH(A98,Кат!$I:$I,0))),"")</f>
        <v>13309</v>
      </c>
      <c r="I98" s="2" t="str">
        <f t="shared" si="3"/>
        <v>ВАЗ 2110Жгут проводов фар и генератораВАЗ 2112-3724010-10</v>
      </c>
    </row>
    <row r="99" spans="1:9" s="2" customFormat="1" ht="12.75" x14ac:dyDescent="0.2">
      <c r="A99" s="40" t="str">
        <f t="shared" si="2"/>
        <v>ВАЗ 2110Жгут проводов фар и генератораВАЗ 2110-3724010-20</v>
      </c>
      <c r="B99" s="83" t="s">
        <v>251</v>
      </c>
      <c r="C99" s="26" t="s">
        <v>276</v>
      </c>
      <c r="D99" s="26" t="s">
        <v>42</v>
      </c>
      <c r="E99" s="27">
        <v>4000</v>
      </c>
      <c r="F99" s="105" t="str">
        <f>IFERROR(IFERROR(VLOOKUP(D99,Кат!$I:$J,2,0),VLOOKUP(A99,Кат!$I:$J,2,0)),"")</f>
        <v>сергей проводка</v>
      </c>
      <c r="G99" s="105">
        <f>IFERROR(IFERROR(INDEX(Кат!$A:$A,MATCH(Прайс!D99,Кат!$I:$I,0)),INDEX(Кат!$A:$A,MATCH(A99,Кат!$I:$I,0))),"")</f>
        <v>144984</v>
      </c>
      <c r="H99" s="105">
        <f>IFERROR(IFERROR(INDEX(Кат!$B:$B,MATCH(Прайс!D99,Кат!$I:$I,0)),INDEX(Кат!$B:$B,MATCH(A99,Кат!$I:$I,0))),"")</f>
        <v>13308</v>
      </c>
      <c r="I99" s="2" t="str">
        <f t="shared" si="3"/>
        <v>ВАЗ 2110Жгут проводов фар и генератораВАЗ 2110-3724010-20</v>
      </c>
    </row>
    <row r="100" spans="1:9" s="2" customFormat="1" ht="12.75" x14ac:dyDescent="0.2">
      <c r="A100" s="40" t="str">
        <f t="shared" si="2"/>
        <v>ВАЗ 2110Жгут проводов форсунокВАЗ 2111-3724036</v>
      </c>
      <c r="B100" s="83" t="s">
        <v>251</v>
      </c>
      <c r="C100" s="26" t="s">
        <v>277</v>
      </c>
      <c r="D100" s="26" t="s">
        <v>86</v>
      </c>
      <c r="E100" s="27">
        <v>450</v>
      </c>
      <c r="F100" s="105" t="str">
        <f>IFERROR(IFERROR(VLOOKUP(D100,Кат!$I:$J,2,0),VLOOKUP(A100,Кат!$I:$J,2,0)),"")</f>
        <v>сергей проводка</v>
      </c>
      <c r="G100" s="105">
        <f>IFERROR(IFERROR(INDEX(Кат!$A:$A,MATCH(Прайс!D100,Кат!$I:$I,0)),INDEX(Кат!$A:$A,MATCH(A100,Кат!$I:$I,0))),"")</f>
        <v>145005</v>
      </c>
      <c r="H100" s="105">
        <f>IFERROR(IFERROR(INDEX(Кат!$B:$B,MATCH(Прайс!D100,Кат!$I:$I,0)),INDEX(Кат!$B:$B,MATCH(A100,Кат!$I:$I,0))),"")</f>
        <v>13306</v>
      </c>
      <c r="I100" s="2" t="str">
        <f t="shared" si="3"/>
        <v>ВАЗ 2110Жгут проводов форсунокВАЗ 2111-3724036</v>
      </c>
    </row>
    <row r="101" spans="1:9" s="2" customFormat="1" ht="12.75" x14ac:dyDescent="0.2">
      <c r="A101" s="40" t="str">
        <f t="shared" si="2"/>
        <v>ВАЗ 2110Жгут проводов форсунокВАЗ 2112-3724036</v>
      </c>
      <c r="B101" s="83" t="s">
        <v>251</v>
      </c>
      <c r="C101" s="26" t="s">
        <v>277</v>
      </c>
      <c r="D101" s="26" t="s">
        <v>87</v>
      </c>
      <c r="E101" s="27">
        <v>450</v>
      </c>
      <c r="F101" s="105" t="str">
        <f>IFERROR(IFERROR(VLOOKUP(D101,Кат!$I:$J,2,0),VLOOKUP(A101,Кат!$I:$J,2,0)),"")</f>
        <v>сергей проводка</v>
      </c>
      <c r="G101" s="105">
        <f>IFERROR(IFERROR(INDEX(Кат!$A:$A,MATCH(Прайс!D101,Кат!$I:$I,0)),INDEX(Кат!$A:$A,MATCH(A101,Кат!$I:$I,0))),"")</f>
        <v>145006</v>
      </c>
      <c r="H101" s="105">
        <f>IFERROR(IFERROR(INDEX(Кат!$B:$B,MATCH(Прайс!D101,Кат!$I:$I,0)),INDEX(Кат!$B:$B,MATCH(A101,Кат!$I:$I,0))),"")</f>
        <v>13307</v>
      </c>
      <c r="I101" s="2" t="str">
        <f t="shared" si="3"/>
        <v>ВАЗ 2110Жгут проводов форсунокВАЗ 2112-3724036</v>
      </c>
    </row>
    <row r="102" spans="1:9" s="2" customFormat="1" ht="12.75" x14ac:dyDescent="0.2">
      <c r="A102" s="40" t="str">
        <f t="shared" si="2"/>
        <v>ВАЗ 2110Жгут проводов электроусилителя руля(производство Россия) ЭкономВАЗ 2110-372410055</v>
      </c>
      <c r="B102" s="83" t="s">
        <v>251</v>
      </c>
      <c r="C102" s="26" t="s">
        <v>278</v>
      </c>
      <c r="D102" s="26" t="s">
        <v>845</v>
      </c>
      <c r="E102" s="27">
        <v>1350</v>
      </c>
      <c r="F102" s="105" t="str">
        <f>IFERROR(IFERROR(VLOOKUP(D102,Кат!$I:$J,2,0),VLOOKUP(A102,Кат!$I:$J,2,0)),"")</f>
        <v>сергей проводка</v>
      </c>
      <c r="G102" s="105">
        <f>IFERROR(IFERROR(INDEX(Кат!$A:$A,MATCH(Прайс!D102,Кат!$I:$I,0)),INDEX(Кат!$A:$A,MATCH(A102,Кат!$I:$I,0))),"")</f>
        <v>144835</v>
      </c>
      <c r="H102" s="105">
        <f>IFERROR(IFERROR(INDEX(Кат!$B:$B,MATCH(Прайс!D102,Кат!$I:$I,0)),INDEX(Кат!$B:$B,MATCH(A102,Кат!$I:$I,0))),"")</f>
        <v>37999</v>
      </c>
      <c r="I102" s="2" t="str">
        <f t="shared" si="3"/>
        <v>ВАЗ 2110Жгут проводов электроусилителя руля(производство Россия) ЭкономВАЗ 2110-372410055</v>
      </c>
    </row>
    <row r="103" spans="1:9" s="2" customFormat="1" ht="12.75" x14ac:dyDescent="0.2">
      <c r="A103" s="40" t="str">
        <f t="shared" si="2"/>
        <v>ВАЗ 2110КЛЕММА "+" (евро)ВАЗ 2110-3724070</v>
      </c>
      <c r="B103" s="83" t="s">
        <v>251</v>
      </c>
      <c r="C103" s="26" t="s">
        <v>846</v>
      </c>
      <c r="D103" s="26" t="s">
        <v>70</v>
      </c>
      <c r="E103" s="27">
        <v>600</v>
      </c>
      <c r="F103" s="105" t="str">
        <f>IFERROR(IFERROR(VLOOKUP(D103,Кат!$I:$J,2,0),VLOOKUP(A103,Кат!$I:$J,2,0)),"")</f>
        <v>сергей проводка</v>
      </c>
      <c r="G103" s="105">
        <f>IFERROR(IFERROR(INDEX(Кат!$A:$A,MATCH(Прайс!D103,Кат!$I:$I,0)),INDEX(Кат!$A:$A,MATCH(A103,Кат!$I:$I,0))),"")</f>
        <v>155901</v>
      </c>
      <c r="H103" s="105">
        <f>IFERROR(IFERROR(INDEX(Кат!$B:$B,MATCH(Прайс!D103,Кат!$I:$I,0)),INDEX(Кат!$B:$B,MATCH(A103,Кат!$I:$I,0))),"")</f>
        <v>13301</v>
      </c>
      <c r="I103" s="2" t="str">
        <f t="shared" si="3"/>
        <v>ВАЗ 2110КЛЕММА "+" (евро)ВАЗ 2110-3724070</v>
      </c>
    </row>
    <row r="104" spans="1:9" s="2" customFormat="1" ht="12.75" x14ac:dyDescent="0.2">
      <c r="A104" s="40" t="str">
        <f t="shared" si="2"/>
        <v>ВАЗ 2110Жгут проводов системы зажигания (коммутаторный пучок)ВАЗ 2110-3724026</v>
      </c>
      <c r="B104" s="83" t="s">
        <v>251</v>
      </c>
      <c r="C104" s="26" t="s">
        <v>279</v>
      </c>
      <c r="D104" s="26" t="s">
        <v>67</v>
      </c>
      <c r="E104" s="27">
        <v>1500</v>
      </c>
      <c r="F104" s="105" t="str">
        <f>IFERROR(IFERROR(VLOOKUP(D104,Кат!$I:$J,2,0),VLOOKUP(A104,Кат!$I:$J,2,0)),"")</f>
        <v>сергей проводка</v>
      </c>
      <c r="G104" s="105">
        <f>IFERROR(IFERROR(INDEX(Кат!$A:$A,MATCH(Прайс!D104,Кат!$I:$I,0)),INDEX(Кат!$A:$A,MATCH(A104,Кат!$I:$I,0))),"")</f>
        <v>144960</v>
      </c>
      <c r="H104" s="105">
        <f>IFERROR(IFERROR(INDEX(Кат!$B:$B,MATCH(Прайс!D104,Кат!$I:$I,0)),INDEX(Кат!$B:$B,MATCH(A104,Кат!$I:$I,0))),"")</f>
        <v>13303</v>
      </c>
      <c r="I104" s="2" t="str">
        <f t="shared" si="3"/>
        <v>ВАЗ 2110Жгут проводов системы зажигания (коммутаторный пучок)ВАЗ 2110-3724026</v>
      </c>
    </row>
    <row r="105" spans="1:9" s="2" customFormat="1" ht="12.75" x14ac:dyDescent="0.2">
      <c r="A105" s="40" t="str">
        <f t="shared" si="2"/>
        <v>ВАЗ 2114Жгут проводов панели приборов (14,15 с электронной педалью газа)ВАЗ 21154-3724030-00</v>
      </c>
      <c r="B105" s="83" t="s">
        <v>280</v>
      </c>
      <c r="C105" s="26" t="s">
        <v>281</v>
      </c>
      <c r="D105" s="26" t="s">
        <v>282</v>
      </c>
      <c r="E105" s="27">
        <v>4000</v>
      </c>
      <c r="F105" s="105" t="str">
        <f>IFERROR(IFERROR(VLOOKUP(D105,Кат!$I:$J,2,0),VLOOKUP(A105,Кат!$I:$J,2,0)),"")</f>
        <v>сергей проводка</v>
      </c>
      <c r="G105" s="105">
        <f>IFERROR(IFERROR(INDEX(Кат!$A:$A,MATCH(Прайс!D105,Кат!$I:$I,0)),INDEX(Кат!$A:$A,MATCH(A105,Кат!$I:$I,0))),"")</f>
        <v>426656</v>
      </c>
      <c r="H105" s="105">
        <f>IFERROR(IFERROR(INDEX(Кат!$B:$B,MATCH(Прайс!D105,Кат!$I:$I,0)),INDEX(Кат!$B:$B,MATCH(A105,Кат!$I:$I,0))),"")</f>
        <v>426656</v>
      </c>
      <c r="I105" s="2" t="str">
        <f t="shared" si="3"/>
        <v>ВАЗ 2114Жгут проводов панели приборов (14,15 с электронной педалью газа)ВАЗ 21154-3724030-00</v>
      </c>
    </row>
    <row r="106" spans="1:9" s="2" customFormat="1" ht="12.75" x14ac:dyDescent="0.2">
      <c r="A106" s="40" t="str">
        <f t="shared" si="2"/>
        <v>ВАЗ 2114Жгут проводов панели приборов (14,15 с электронной педалью газа)ВАЗ 21154-3724030-10</v>
      </c>
      <c r="B106" s="83" t="s">
        <v>280</v>
      </c>
      <c r="C106" s="26" t="s">
        <v>281</v>
      </c>
      <c r="D106" s="26" t="s">
        <v>31</v>
      </c>
      <c r="E106" s="27">
        <v>4000</v>
      </c>
      <c r="F106" s="105" t="str">
        <f>IFERROR(IFERROR(VLOOKUP(D106,Кат!$I:$J,2,0),VLOOKUP(A106,Кат!$I:$J,2,0)),"")</f>
        <v>сергей проводка</v>
      </c>
      <c r="G106" s="105">
        <f>IFERROR(IFERROR(INDEX(Кат!$A:$A,MATCH(Прайс!D106,Кат!$I:$I,0)),INDEX(Кат!$A:$A,MATCH(A106,Кат!$I:$I,0))),"")</f>
        <v>144907</v>
      </c>
      <c r="H106" s="105">
        <f>IFERROR(IFERROR(INDEX(Кат!$B:$B,MATCH(Прайс!D106,Кат!$I:$I,0)),INDEX(Кат!$B:$B,MATCH(A106,Кат!$I:$I,0))),"")</f>
        <v>13281</v>
      </c>
      <c r="I106" s="2" t="str">
        <f t="shared" si="3"/>
        <v>ВАЗ 2114Жгут проводов панели приборов (14,15 с электронной педалью газа)ВАЗ 21154-3724030-10</v>
      </c>
    </row>
    <row r="107" spans="1:9" s="2" customFormat="1" ht="12.75" x14ac:dyDescent="0.2">
      <c r="A107" s="40" t="str">
        <f t="shared" si="2"/>
        <v>ВАЗ 2114Жгут проводов панели приборовВАЗ 21145-3724030-10</v>
      </c>
      <c r="B107" s="83" t="s">
        <v>280</v>
      </c>
      <c r="C107" s="26" t="s">
        <v>283</v>
      </c>
      <c r="D107" s="26" t="s">
        <v>29</v>
      </c>
      <c r="E107" s="27">
        <v>4000</v>
      </c>
      <c r="F107" s="105" t="str">
        <f>IFERROR(IFERROR(VLOOKUP(D107,Кат!$I:$J,2,0),VLOOKUP(A107,Кат!$I:$J,2,0)),"")</f>
        <v>сергей проводка</v>
      </c>
      <c r="G107" s="105">
        <f>IFERROR(IFERROR(INDEX(Кат!$A:$A,MATCH(Прайс!D107,Кат!$I:$I,0)),INDEX(Кат!$A:$A,MATCH(A107,Кат!$I:$I,0))),"")</f>
        <v>194471</v>
      </c>
      <c r="H107" s="105">
        <f>IFERROR(IFERROR(INDEX(Кат!$B:$B,MATCH(Прайс!D107,Кат!$I:$I,0)),INDEX(Кат!$B:$B,MATCH(A107,Кат!$I:$I,0))),"")</f>
        <v>4011</v>
      </c>
      <c r="I107" s="2" t="str">
        <f t="shared" si="3"/>
        <v>ВАЗ 2114Жгут проводов панели приборовВАЗ 21145-3724030-10</v>
      </c>
    </row>
    <row r="108" spans="1:9" s="2" customFormat="1" ht="12.75" x14ac:dyDescent="0.2">
      <c r="A108" s="40" t="str">
        <f t="shared" si="2"/>
        <v>ВАЗ 2114Жгут проводов панели приборовВАЗ 2115-3724030-50</v>
      </c>
      <c r="B108" s="83" t="s">
        <v>280</v>
      </c>
      <c r="C108" s="26" t="s">
        <v>283</v>
      </c>
      <c r="D108" s="26" t="s">
        <v>33</v>
      </c>
      <c r="E108" s="27">
        <v>4000</v>
      </c>
      <c r="F108" s="105" t="str">
        <f>IFERROR(IFERROR(VLOOKUP(D108,Кат!$I:$J,2,0),VLOOKUP(A108,Кат!$I:$J,2,0)),"")</f>
        <v>сергей проводка</v>
      </c>
      <c r="G108" s="105">
        <f>IFERROR(IFERROR(INDEX(Кат!$A:$A,MATCH(Прайс!D108,Кат!$I:$I,0)),INDEX(Кат!$A:$A,MATCH(A108,Кат!$I:$I,0))),"")</f>
        <v>202082</v>
      </c>
      <c r="H108" s="105">
        <f>IFERROR(IFERROR(INDEX(Кат!$B:$B,MATCH(Прайс!D108,Кат!$I:$I,0)),INDEX(Кат!$B:$B,MATCH(A108,Кат!$I:$I,0))),"")</f>
        <v>13544</v>
      </c>
      <c r="I108" s="2" t="str">
        <f t="shared" si="3"/>
        <v>ВАЗ 2114Жгут проводов панели приборовВАЗ 2115-3724030-50</v>
      </c>
    </row>
    <row r="109" spans="1:9" s="2" customFormat="1" ht="12.75" x14ac:dyDescent="0.2">
      <c r="A109" s="40" t="str">
        <f t="shared" si="2"/>
        <v>ВАЗ 2114Жгут  проводов панели приборовВАЗ 2115-3724030-60</v>
      </c>
      <c r="B109" s="83" t="s">
        <v>280</v>
      </c>
      <c r="C109" s="26" t="s">
        <v>284</v>
      </c>
      <c r="D109" s="26" t="s">
        <v>285</v>
      </c>
      <c r="E109" s="27">
        <v>4000</v>
      </c>
      <c r="F109" s="105" t="str">
        <f>IFERROR(IFERROR(VLOOKUP(D109,Кат!$I:$J,2,0),VLOOKUP(A109,Кат!$I:$J,2,0)),"")</f>
        <v>сергей проводка</v>
      </c>
      <c r="G109" s="105">
        <f>IFERROR(IFERROR(INDEX(Кат!$A:$A,MATCH(Прайс!D109,Кат!$I:$I,0)),INDEX(Кат!$A:$A,MATCH(A109,Кат!$I:$I,0))),"")</f>
        <v>426706</v>
      </c>
      <c r="H109" s="105">
        <f>IFERROR(IFERROR(INDEX(Кат!$B:$B,MATCH(Прайс!D109,Кат!$I:$I,0)),INDEX(Кат!$B:$B,MATCH(A109,Кат!$I:$I,0))),"")</f>
        <v>426706</v>
      </c>
      <c r="I109" s="2" t="str">
        <f t="shared" si="3"/>
        <v>ВАЗ 2114Жгут  проводов панели приборовВАЗ 2115-3724030-60</v>
      </c>
    </row>
    <row r="110" spans="1:9" s="2" customFormat="1" ht="12.75" x14ac:dyDescent="0.2">
      <c r="A110" s="40" t="str">
        <f t="shared" si="2"/>
        <v>ВАЗ 2114Жгут проводов панели приборовВАЗ 2115-3724030-70</v>
      </c>
      <c r="B110" s="83" t="s">
        <v>280</v>
      </c>
      <c r="C110" s="26" t="s">
        <v>283</v>
      </c>
      <c r="D110" s="26" t="s">
        <v>286</v>
      </c>
      <c r="E110" s="27">
        <v>4000</v>
      </c>
      <c r="F110" s="105" t="str">
        <f>IFERROR(IFERROR(VLOOKUP(D110,Кат!$I:$J,2,0),VLOOKUP(A110,Кат!$I:$J,2,0)),"")</f>
        <v>сергей проводка</v>
      </c>
      <c r="G110" s="105">
        <f>IFERROR(IFERROR(INDEX(Кат!$A:$A,MATCH(Прайс!D110,Кат!$I:$I,0)),INDEX(Кат!$A:$A,MATCH(A110,Кат!$I:$I,0))),"")</f>
        <v>426712</v>
      </c>
      <c r="H110" s="105">
        <f>IFERROR(IFERROR(INDEX(Кат!$B:$B,MATCH(Прайс!D110,Кат!$I:$I,0)),INDEX(Кат!$B:$B,MATCH(A110,Кат!$I:$I,0))),"")</f>
        <v>426712</v>
      </c>
      <c r="I110" s="2" t="str">
        <f t="shared" si="3"/>
        <v>ВАЗ 2114Жгут проводов панели приборовВАЗ 2115-3724030-70</v>
      </c>
    </row>
    <row r="111" spans="1:9" s="2" customFormat="1" ht="12.75" x14ac:dyDescent="0.2">
      <c r="A111" s="40" t="str">
        <f t="shared" si="2"/>
        <v>ВАЗ 2114Жгут проводов панели приборовВАЗ 2115-3724030-80</v>
      </c>
      <c r="B111" s="83" t="s">
        <v>280</v>
      </c>
      <c r="C111" s="26" t="s">
        <v>283</v>
      </c>
      <c r="D111" s="26" t="s">
        <v>287</v>
      </c>
      <c r="E111" s="27">
        <v>4000</v>
      </c>
      <c r="F111" s="105" t="str">
        <f>IFERROR(IFERROR(VLOOKUP(D111,Кат!$I:$J,2,0),VLOOKUP(A111,Кат!$I:$J,2,0)),"")</f>
        <v>сергей проводка</v>
      </c>
      <c r="G111" s="105">
        <f>IFERROR(IFERROR(INDEX(Кат!$A:$A,MATCH(Прайс!D111,Кат!$I:$I,0)),INDEX(Кат!$A:$A,MATCH(A111,Кат!$I:$I,0))),"")</f>
        <v>426713</v>
      </c>
      <c r="H111" s="105">
        <f>IFERROR(IFERROR(INDEX(Кат!$B:$B,MATCH(Прайс!D111,Кат!$I:$I,0)),INDEX(Кат!$B:$B,MATCH(A111,Кат!$I:$I,0))),"")</f>
        <v>426713</v>
      </c>
      <c r="I111" s="2" t="str">
        <f t="shared" si="3"/>
        <v>ВАЗ 2114Жгут проводов панели приборовВАЗ 2115-3724030-80</v>
      </c>
    </row>
    <row r="112" spans="1:9" s="2" customFormat="1" ht="12.75" x14ac:dyDescent="0.2">
      <c r="A112" s="40" t="str">
        <f t="shared" si="2"/>
        <v>ВАЗ 2114Жгут проводов системы зажигания эл. ПедальВАЗ 21144-3724026</v>
      </c>
      <c r="B112" s="83" t="s">
        <v>280</v>
      </c>
      <c r="C112" s="26" t="s">
        <v>761</v>
      </c>
      <c r="D112" s="26" t="s">
        <v>10</v>
      </c>
      <c r="E112" s="27">
        <v>9000</v>
      </c>
      <c r="F112" s="105" t="str">
        <f>IFERROR(IFERROR(VLOOKUP(D112,Кат!$I:$J,2,0),VLOOKUP(A112,Кат!$I:$J,2,0)),"")</f>
        <v>сергей проводка</v>
      </c>
      <c r="G112" s="105">
        <f>IFERROR(IFERROR(INDEX(Кат!$A:$A,MATCH(Прайс!D112,Кат!$I:$I,0)),INDEX(Кат!$A:$A,MATCH(A112,Кат!$I:$I,0))),"")</f>
        <v>144893</v>
      </c>
      <c r="H112" s="105">
        <f>IFERROR(IFERROR(INDEX(Кат!$B:$B,MATCH(Прайс!D112,Кат!$I:$I,0)),INDEX(Кат!$B:$B,MATCH(A112,Кат!$I:$I,0))),"")</f>
        <v>3995</v>
      </c>
      <c r="I112" s="2" t="str">
        <f t="shared" si="3"/>
        <v>ВАЗ 2114Жгут проводов системы зажигания эл. ПедальВАЗ 21144-3724026</v>
      </c>
    </row>
    <row r="113" spans="1:9" s="2" customFormat="1" ht="12.75" x14ac:dyDescent="0.2">
      <c r="A113" s="40" t="str">
        <f t="shared" si="2"/>
        <v>ВАЗ 2114Жгут проводов системы зажиганияВАЗ 2115-3724026-11</v>
      </c>
      <c r="B113" s="83" t="s">
        <v>280</v>
      </c>
      <c r="C113" s="26" t="s">
        <v>271</v>
      </c>
      <c r="D113" s="26" t="s">
        <v>13</v>
      </c>
      <c r="E113" s="27">
        <v>9000</v>
      </c>
      <c r="F113" s="105" t="str">
        <f>IFERROR(IFERROR(VLOOKUP(D113,Кат!$I:$J,2,0),VLOOKUP(A113,Кат!$I:$J,2,0)),"")</f>
        <v>сергей проводка</v>
      </c>
      <c r="G113" s="105">
        <f>IFERROR(IFERROR(INDEX(Кат!$A:$A,MATCH(Прайс!D113,Кат!$I:$I,0)),INDEX(Кат!$A:$A,MATCH(A113,Кат!$I:$I,0))),"")</f>
        <v>144878</v>
      </c>
      <c r="H113" s="105">
        <f>IFERROR(IFERROR(INDEX(Кат!$B:$B,MATCH(Прайс!D113,Кат!$I:$I,0)),INDEX(Кат!$B:$B,MATCH(A113,Кат!$I:$I,0))),"")</f>
        <v>3996</v>
      </c>
      <c r="I113" s="2" t="str">
        <f t="shared" si="3"/>
        <v>ВАЗ 2114Жгут проводов системы зажиганияВАЗ 2115-3724026-11</v>
      </c>
    </row>
    <row r="114" spans="1:9" s="2" customFormat="1" ht="12.75" x14ac:dyDescent="0.2">
      <c r="A114" s="40" t="str">
        <f t="shared" si="2"/>
        <v>ВАЗ 2114Жгут проводов системы зажиганияВАЗ 2115-3724026-40</v>
      </c>
      <c r="B114" s="83" t="s">
        <v>280</v>
      </c>
      <c r="C114" s="26" t="s">
        <v>271</v>
      </c>
      <c r="D114" s="26" t="s">
        <v>22</v>
      </c>
      <c r="E114" s="27">
        <v>9000</v>
      </c>
      <c r="F114" s="105" t="str">
        <f>IFERROR(IFERROR(VLOOKUP(D114,Кат!$I:$J,2,0),VLOOKUP(A114,Кат!$I:$J,2,0)),"")</f>
        <v>сергей проводка</v>
      </c>
      <c r="G114" s="105">
        <f>IFERROR(IFERROR(INDEX(Кат!$A:$A,MATCH(Прайс!D114,Кат!$I:$I,0)),INDEX(Кат!$A:$A,MATCH(A114,Кат!$I:$I,0))),"")</f>
        <v>144879</v>
      </c>
      <c r="H114" s="105">
        <f>IFERROR(IFERROR(INDEX(Кат!$B:$B,MATCH(Прайс!D114,Кат!$I:$I,0)),INDEX(Кат!$B:$B,MATCH(A114,Кат!$I:$I,0))),"")</f>
        <v>3997</v>
      </c>
      <c r="I114" s="2" t="str">
        <f t="shared" si="3"/>
        <v>ВАЗ 2114Жгут проводов системы зажиганияВАЗ 2115-3724026-40</v>
      </c>
    </row>
    <row r="115" spans="1:9" s="2" customFormat="1" ht="12.75" x14ac:dyDescent="0.2">
      <c r="A115" s="40" t="str">
        <f t="shared" si="2"/>
        <v>Монтажный набор для подключения Евро Аварийки</v>
      </c>
      <c r="B115" s="83"/>
      <c r="C115" s="26" t="s">
        <v>288</v>
      </c>
      <c r="D115" s="26"/>
      <c r="E115" s="27">
        <v>0</v>
      </c>
      <c r="F115" s="105" t="str">
        <f>IFERROR(IFERROR(VLOOKUP(D115,Кат!$I:$J,2,0),VLOOKUP(A115,Кат!$I:$J,2,0)),"")</f>
        <v/>
      </c>
      <c r="G115" s="105" t="str">
        <f>IFERROR(IFERROR(INDEX(Кат!$A:$A,MATCH(Прайс!D115,Кат!$I:$I,0)),INDEX(Кат!$A:$A,MATCH(A115,Кат!$I:$I,0))),"")</f>
        <v/>
      </c>
      <c r="H115" s="105" t="str">
        <f>IFERROR(IFERROR(INDEX(Кат!$B:$B,MATCH(Прайс!D115,Кат!$I:$I,0)),INDEX(Кат!$B:$B,MATCH(A115,Кат!$I:$I,0))),"")</f>
        <v/>
      </c>
      <c r="I115" s="2" t="str">
        <f t="shared" si="3"/>
        <v>Монтажный набор для подключения Евро Аварийки</v>
      </c>
    </row>
    <row r="116" spans="1:9" s="2" customFormat="1" ht="12.75" x14ac:dyDescent="0.2">
      <c r="A116" s="40" t="str">
        <f t="shared" si="2"/>
        <v>ВАЗ 2114Жгут проводов системы зажиганияВАЗ 2115-3724026-50</v>
      </c>
      <c r="B116" s="83" t="s">
        <v>280</v>
      </c>
      <c r="C116" s="26" t="s">
        <v>271</v>
      </c>
      <c r="D116" s="26" t="s">
        <v>14</v>
      </c>
      <c r="E116" s="27">
        <v>9000</v>
      </c>
      <c r="F116" s="105" t="str">
        <f>IFERROR(IFERROR(VLOOKUP(D116,Кат!$I:$J,2,0),VLOOKUP(A116,Кат!$I:$J,2,0)),"")</f>
        <v>сергей проводка</v>
      </c>
      <c r="G116" s="105">
        <f>IFERROR(IFERROR(INDEX(Кат!$A:$A,MATCH(Прайс!D116,Кат!$I:$I,0)),INDEX(Кат!$A:$A,MATCH(A116,Кат!$I:$I,0))),"")</f>
        <v>144880</v>
      </c>
      <c r="H116" s="105">
        <f>IFERROR(IFERROR(INDEX(Кат!$B:$B,MATCH(Прайс!D116,Кат!$I:$I,0)),INDEX(Кат!$B:$B,MATCH(A116,Кат!$I:$I,0))),"")</f>
        <v>3998</v>
      </c>
      <c r="I116" s="2" t="str">
        <f t="shared" si="3"/>
        <v>ВАЗ 2114Жгут проводов системы зажиганияВАЗ 2115-3724026-50</v>
      </c>
    </row>
    <row r="117" spans="1:9" s="2" customFormat="1" ht="12.75" x14ac:dyDescent="0.2">
      <c r="A117" s="40" t="str">
        <f t="shared" si="2"/>
        <v>ВАЗ 2114Жгут проводов системы зажиганияВАЗ 21154-3724026-20</v>
      </c>
      <c r="B117" s="83" t="s">
        <v>280</v>
      </c>
      <c r="C117" s="26" t="s">
        <v>271</v>
      </c>
      <c r="D117" s="26" t="s">
        <v>289</v>
      </c>
      <c r="E117" s="27">
        <v>10000</v>
      </c>
      <c r="F117" s="105" t="str">
        <f>IFERROR(IFERROR(VLOOKUP(D117,Кат!$I:$J,2,0),VLOOKUP(A117,Кат!$I:$J,2,0)),"")</f>
        <v>сергей проводка</v>
      </c>
      <c r="G117" s="105">
        <f>IFERROR(IFERROR(INDEX(Кат!$A:$A,MATCH(Прайс!D117,Кат!$I:$I,0)),INDEX(Кат!$A:$A,MATCH(A117,Кат!$I:$I,0))),"")</f>
        <v>144803</v>
      </c>
      <c r="H117" s="105">
        <f>IFERROR(IFERROR(INDEX(Кат!$B:$B,MATCH(Прайс!D117,Кат!$I:$I,0)),INDEX(Кат!$B:$B,MATCH(A117,Кат!$I:$I,0))),"")</f>
        <v>17853</v>
      </c>
      <c r="I117" s="2" t="str">
        <f t="shared" si="3"/>
        <v>ВАЗ 2114Жгут проводов системы зажиганияВАЗ 21154-3724026-20</v>
      </c>
    </row>
    <row r="118" spans="1:9" s="2" customFormat="1" ht="12.75" x14ac:dyDescent="0.2">
      <c r="A118" s="40" t="str">
        <f t="shared" si="2"/>
        <v>ВАЗ 2114Жгут проводов системы зажиганияВАЗ 21154-3724026-30</v>
      </c>
      <c r="B118" s="83" t="s">
        <v>280</v>
      </c>
      <c r="C118" s="26" t="s">
        <v>271</v>
      </c>
      <c r="D118" s="26" t="s">
        <v>96</v>
      </c>
      <c r="E118" s="27">
        <v>9000</v>
      </c>
      <c r="F118" s="105" t="str">
        <f>IFERROR(IFERROR(VLOOKUP(D118,Кат!$I:$J,2,0),VLOOKUP(A118,Кат!$I:$J,2,0)),"")</f>
        <v>сергей проводка</v>
      </c>
      <c r="G118" s="105">
        <f>IFERROR(IFERROR(INDEX(Кат!$A:$A,MATCH(Прайс!D118,Кат!$I:$I,0)),INDEX(Кат!$A:$A,MATCH(A118,Кат!$I:$I,0))),"")</f>
        <v>144882</v>
      </c>
      <c r="H118" s="105">
        <f>IFERROR(IFERROR(INDEX(Кат!$B:$B,MATCH(Прайс!D118,Кат!$I:$I,0)),INDEX(Кат!$B:$B,MATCH(A118,Кат!$I:$I,0))),"")</f>
        <v>4000</v>
      </c>
      <c r="I118" s="2" t="str">
        <f t="shared" si="3"/>
        <v>ВАЗ 2114Жгут проводов системы зажиганияВАЗ 21154-3724026-30</v>
      </c>
    </row>
    <row r="119" spans="1:9" s="2" customFormat="1" ht="12.75" x14ac:dyDescent="0.2">
      <c r="A119" s="40" t="str">
        <f t="shared" si="2"/>
        <v>ВАЗ 2114Жгут проводов системы зажигания 16-ти клапанная супер автоВАЗ 21154-3724026-40</v>
      </c>
      <c r="B119" s="83" t="s">
        <v>280</v>
      </c>
      <c r="C119" s="26" t="s">
        <v>290</v>
      </c>
      <c r="D119" s="26" t="s">
        <v>11</v>
      </c>
      <c r="E119" s="27">
        <v>10000</v>
      </c>
      <c r="F119" s="105" t="str">
        <f>IFERROR(IFERROR(VLOOKUP(D119,Кат!$I:$J,2,0),VLOOKUP(A119,Кат!$I:$J,2,0)),"")</f>
        <v>сергей проводка</v>
      </c>
      <c r="G119" s="105">
        <f>IFERROR(IFERROR(INDEX(Кат!$A:$A,MATCH(Прайс!D119,Кат!$I:$I,0)),INDEX(Кат!$A:$A,MATCH(A119,Кат!$I:$I,0))),"")</f>
        <v>144883</v>
      </c>
      <c r="H119" s="105">
        <f>IFERROR(IFERROR(INDEX(Кат!$B:$B,MATCH(Прайс!D119,Кат!$I:$I,0)),INDEX(Кат!$B:$B,MATCH(A119,Кат!$I:$I,0))),"")</f>
        <v>4001</v>
      </c>
      <c r="I119" s="2" t="str">
        <f t="shared" si="3"/>
        <v>ВАЗ 2114Жгут проводов системы зажигания 16-ти клапанная супер автоВАЗ 21154-3724026-40</v>
      </c>
    </row>
    <row r="120" spans="1:9" s="2" customFormat="1" ht="12.75" x14ac:dyDescent="0.2">
      <c r="A120" s="40" t="str">
        <f t="shared" si="2"/>
        <v>ВАЗ 2114Жгут проводов системы зажиганияВАЗ 2115-3724026-70</v>
      </c>
      <c r="B120" s="83" t="s">
        <v>280</v>
      </c>
      <c r="C120" s="26" t="s">
        <v>271</v>
      </c>
      <c r="D120" s="26" t="s">
        <v>95</v>
      </c>
      <c r="E120" s="27">
        <v>9000</v>
      </c>
      <c r="F120" s="105" t="str">
        <f>IFERROR(IFERROR(VLOOKUP(D120,Кат!$I:$J,2,0),VLOOKUP(A120,Кат!$I:$J,2,0)),"")</f>
        <v>сергей проводка</v>
      </c>
      <c r="G120" s="105">
        <f>IFERROR(IFERROR(INDEX(Кат!$A:$A,MATCH(Прайс!D120,Кат!$I:$I,0)),INDEX(Кат!$A:$A,MATCH(A120,Кат!$I:$I,0))),"")</f>
        <v>144881</v>
      </c>
      <c r="H120" s="105">
        <f>IFERROR(IFERROR(INDEX(Кат!$B:$B,MATCH(Прайс!D120,Кат!$I:$I,0)),INDEX(Кат!$B:$B,MATCH(A120,Кат!$I:$I,0))),"")</f>
        <v>3999</v>
      </c>
      <c r="I120" s="2" t="str">
        <f t="shared" si="3"/>
        <v>ВАЗ 2114Жгут проводов системы зажиганияВАЗ 2115-3724026-70</v>
      </c>
    </row>
    <row r="121" spans="1:9" s="2" customFormat="1" ht="12.75" x14ac:dyDescent="0.2">
      <c r="A121" s="40" t="str">
        <f t="shared" si="2"/>
        <v>ВАЗ 2114Жгут проводов свеклоподъёмников и центрального замка из 4-х частейВАЗ 2115-3724226(комплект)</v>
      </c>
      <c r="B121" s="83" t="s">
        <v>280</v>
      </c>
      <c r="C121" s="26" t="s">
        <v>847</v>
      </c>
      <c r="D121" s="26" t="s">
        <v>36</v>
      </c>
      <c r="E121" s="27">
        <v>2000</v>
      </c>
      <c r="F121" s="105" t="str">
        <f>IFERROR(IFERROR(VLOOKUP(D121,Кат!$I:$J,2,0),VLOOKUP(A121,Кат!$I:$J,2,0)),"")</f>
        <v>сергей проводка</v>
      </c>
      <c r="G121" s="105">
        <f>IFERROR(IFERROR(INDEX(Кат!$A:$A,MATCH(Прайс!D121,Кат!$I:$I,0)),INDEX(Кат!$A:$A,MATCH(A121,Кат!$I:$I,0))),"")</f>
        <v>144827</v>
      </c>
      <c r="H121" s="105">
        <f>IFERROR(IFERROR(INDEX(Кат!$B:$B,MATCH(Прайс!D121,Кат!$I:$I,0)),INDEX(Кат!$B:$B,MATCH(A121,Кат!$I:$I,0))),"")</f>
        <v>13285</v>
      </c>
      <c r="I121" s="2" t="str">
        <f t="shared" si="3"/>
        <v>ВАЗ 2114Жгут проводов свеклоподъёмников и центрального замка из 4-х частейВАЗ 2115-3724226(комплект)</v>
      </c>
    </row>
    <row r="122" spans="1:9" s="2" customFormat="1" ht="12.75" x14ac:dyDescent="0.2">
      <c r="A122" s="40" t="str">
        <f t="shared" si="2"/>
        <v>ВАЗ 2114КЛЕММА "+" (евро)ВАЗ 2115-3724070</v>
      </c>
      <c r="B122" s="83" t="s">
        <v>280</v>
      </c>
      <c r="C122" s="26" t="s">
        <v>846</v>
      </c>
      <c r="D122" s="26" t="s">
        <v>73</v>
      </c>
      <c r="E122" s="27">
        <v>550</v>
      </c>
      <c r="F122" s="105" t="str">
        <f>IFERROR(IFERROR(VLOOKUP(D122,Кат!$I:$J,2,0),VLOOKUP(A122,Кат!$I:$J,2,0)),"")</f>
        <v>сергей проводка</v>
      </c>
      <c r="G122" s="105">
        <f>IFERROR(IFERROR(INDEX(Кат!$A:$A,MATCH(Прайс!D122,Кат!$I:$I,0)),INDEX(Кат!$A:$A,MATCH(A122,Кат!$I:$I,0))),"")</f>
        <v>194011</v>
      </c>
      <c r="H122" s="105">
        <f>IFERROR(IFERROR(INDEX(Кат!$B:$B,MATCH(Прайс!D122,Кат!$I:$I,0)),INDEX(Кат!$B:$B,MATCH(A122,Кат!$I:$I,0))),"")</f>
        <v>13267</v>
      </c>
      <c r="I122" s="2" t="str">
        <f t="shared" si="3"/>
        <v>ВАЗ 2114КЛЕММА "+" (евро)ВАЗ 2115-3724070</v>
      </c>
    </row>
    <row r="123" spans="1:9" s="2" customFormat="1" ht="12.75" x14ac:dyDescent="0.2">
      <c r="A123" s="40" t="str">
        <f t="shared" si="2"/>
        <v>ВАЗ 2114Жгут проводов омывателя и стеклоочистителяВАЗ 2115-3724019</v>
      </c>
      <c r="B123" s="83" t="s">
        <v>280</v>
      </c>
      <c r="C123" s="26" t="s">
        <v>248</v>
      </c>
      <c r="D123" s="26" t="s">
        <v>78</v>
      </c>
      <c r="E123" s="27">
        <v>700</v>
      </c>
      <c r="F123" s="105" t="str">
        <f>IFERROR(IFERROR(VLOOKUP(D123,Кат!$I:$J,2,0),VLOOKUP(A123,Кат!$I:$J,2,0)),"")</f>
        <v>сергей проводка</v>
      </c>
      <c r="G123" s="105">
        <f>IFERROR(IFERROR(INDEX(Кат!$A:$A,MATCH(Прайс!D123,Кат!$I:$I,0)),INDEX(Кат!$A:$A,MATCH(A123,Кат!$I:$I,0))),"")</f>
        <v>144894</v>
      </c>
      <c r="H123" s="105">
        <f>IFERROR(IFERROR(INDEX(Кат!$B:$B,MATCH(Прайс!D123,Кат!$I:$I,0)),INDEX(Кат!$B:$B,MATCH(A123,Кат!$I:$I,0))),"")</f>
        <v>13270</v>
      </c>
      <c r="I123" s="2" t="str">
        <f t="shared" si="3"/>
        <v>ВАЗ 2114Жгут проводов омывателя и стеклоочистителяВАЗ 2115-3724019</v>
      </c>
    </row>
    <row r="124" spans="1:9" s="2" customFormat="1" ht="12.75" x14ac:dyDescent="0.2">
      <c r="A124" s="40" t="str">
        <f t="shared" si="2"/>
        <v>ВАЗ 2114Жгут проводов противотуманных фар(монтажный набор)ВАЗ 2115</v>
      </c>
      <c r="B124" s="83" t="s">
        <v>280</v>
      </c>
      <c r="C124" s="26" t="s">
        <v>291</v>
      </c>
      <c r="D124" s="26" t="s">
        <v>292</v>
      </c>
      <c r="E124" s="27">
        <v>650</v>
      </c>
      <c r="F124" s="105" t="str">
        <f>IFERROR(IFERROR(VLOOKUP(D124,Кат!$I:$J,2,0),VLOOKUP(A124,Кат!$I:$J,2,0)),"")</f>
        <v/>
      </c>
      <c r="G124" s="105" t="str">
        <f>IFERROR(IFERROR(INDEX(Кат!$A:$A,MATCH(Прайс!D124,Кат!$I:$I,0)),INDEX(Кат!$A:$A,MATCH(A124,Кат!$I:$I,0))),"")</f>
        <v/>
      </c>
      <c r="H124" s="105" t="str">
        <f>IFERROR(IFERROR(INDEX(Кат!$B:$B,MATCH(Прайс!D124,Кат!$I:$I,0)),INDEX(Кат!$B:$B,MATCH(A124,Кат!$I:$I,0))),"")</f>
        <v/>
      </c>
      <c r="I124" s="2" t="str">
        <f t="shared" si="3"/>
        <v>ВАЗ 2114Жгут проводов противотуманных фар(монтажный набор)ВАЗ 2115</v>
      </c>
    </row>
    <row r="125" spans="1:9" s="2" customFormat="1" ht="12.75" x14ac:dyDescent="0.2">
      <c r="A125" s="40" t="str">
        <f t="shared" si="2"/>
        <v>ВАЗ 2114Жгут проводов заднийВАЗ 2114-3724210</v>
      </c>
      <c r="B125" s="83" t="s">
        <v>280</v>
      </c>
      <c r="C125" s="26" t="s">
        <v>200</v>
      </c>
      <c r="D125" s="26" t="s">
        <v>49</v>
      </c>
      <c r="E125" s="27">
        <v>3000</v>
      </c>
      <c r="F125" s="105" t="str">
        <f>IFERROR(IFERROR(VLOOKUP(D125,Кат!$I:$J,2,0),VLOOKUP(A125,Кат!$I:$J,2,0)),"")</f>
        <v>сергей проводка</v>
      </c>
      <c r="G125" s="105">
        <f>IFERROR(IFERROR(INDEX(Кат!$A:$A,MATCH(Прайс!D125,Кат!$I:$I,0)),INDEX(Кат!$A:$A,MATCH(A125,Кат!$I:$I,0))),"")</f>
        <v>144847</v>
      </c>
      <c r="H125" s="105">
        <f>IFERROR(IFERROR(INDEX(Кат!$B:$B,MATCH(Прайс!D125,Кат!$I:$I,0)),INDEX(Кат!$B:$B,MATCH(A125,Кат!$I:$I,0))),"")</f>
        <v>13271</v>
      </c>
      <c r="I125" s="2" t="str">
        <f t="shared" si="3"/>
        <v>ВАЗ 2114Жгут проводов заднийВАЗ 2114-3724210</v>
      </c>
    </row>
    <row r="126" spans="1:9" s="2" customFormat="1" ht="12.75" x14ac:dyDescent="0.2">
      <c r="A126" s="40" t="str">
        <f t="shared" si="2"/>
        <v>ВАЗ 2114Жгут проводов заднийВАЗ 2115-3724210-31</v>
      </c>
      <c r="B126" s="83" t="s">
        <v>280</v>
      </c>
      <c r="C126" s="26" t="s">
        <v>200</v>
      </c>
      <c r="D126" s="26" t="s">
        <v>50</v>
      </c>
      <c r="E126" s="27">
        <v>3000</v>
      </c>
      <c r="F126" s="105" t="str">
        <f>IFERROR(IFERROR(VLOOKUP(D126,Кат!$I:$J,2,0),VLOOKUP(A126,Кат!$I:$J,2,0)),"")</f>
        <v>сергей проводка</v>
      </c>
      <c r="G126" s="105">
        <f>IFERROR(IFERROR(INDEX(Кат!$A:$A,MATCH(Прайс!D126,Кат!$I:$I,0)),INDEX(Кат!$A:$A,MATCH(A126,Кат!$I:$I,0))),"")</f>
        <v>144849</v>
      </c>
      <c r="H126" s="105">
        <f>IFERROR(IFERROR(INDEX(Кат!$B:$B,MATCH(Прайс!D126,Кат!$I:$I,0)),INDEX(Кат!$B:$B,MATCH(A126,Кат!$I:$I,0))),"")</f>
        <v>13274</v>
      </c>
      <c r="I126" s="2" t="str">
        <f t="shared" si="3"/>
        <v>ВАЗ 2114Жгут проводов заднийВАЗ 2115-3724210-31</v>
      </c>
    </row>
    <row r="127" spans="1:9" s="2" customFormat="1" ht="12.75" x14ac:dyDescent="0.2">
      <c r="A127" s="40" t="str">
        <f t="shared" si="2"/>
        <v>ВАЗ 2114Жгут проводов фар и генератораВАЗ 2114 -3724010-10</v>
      </c>
      <c r="B127" s="83" t="s">
        <v>280</v>
      </c>
      <c r="C127" s="26" t="s">
        <v>276</v>
      </c>
      <c r="D127" s="26" t="s">
        <v>293</v>
      </c>
      <c r="E127" s="27">
        <v>4000</v>
      </c>
      <c r="F127" s="105" t="str">
        <f>IFERROR(IFERROR(VLOOKUP(D127,Кат!$I:$J,2,0),VLOOKUP(A127,Кат!$I:$J,2,0)),"")</f>
        <v>сергей проводка</v>
      </c>
      <c r="G127" s="105">
        <f>IFERROR(IFERROR(INDEX(Кат!$A:$A,MATCH(Прайс!D127,Кат!$I:$I,0)),INDEX(Кат!$A:$A,MATCH(A127,Кат!$I:$I,0))),"")</f>
        <v>426719</v>
      </c>
      <c r="H127" s="105">
        <f>IFERROR(IFERROR(INDEX(Кат!$B:$B,MATCH(Прайс!D127,Кат!$I:$I,0)),INDEX(Кат!$B:$B,MATCH(A127,Кат!$I:$I,0))),"")</f>
        <v>426719</v>
      </c>
      <c r="I127" s="2" t="str">
        <f t="shared" si="3"/>
        <v>ВАЗ 2114Жгут проводов фар и генератораВАЗ 2114 -3724010-10</v>
      </c>
    </row>
    <row r="128" spans="1:9" s="2" customFormat="1" ht="12.75" x14ac:dyDescent="0.2">
      <c r="A128" s="40" t="str">
        <f t="shared" si="2"/>
        <v>ВАЗ 2114Жгут проводов фар и генератора(14,15 с электронной педалью газа)ВАЗ 21154-3724010-30</v>
      </c>
      <c r="B128" s="83" t="s">
        <v>280</v>
      </c>
      <c r="C128" s="26" t="s">
        <v>294</v>
      </c>
      <c r="D128" s="26" t="s">
        <v>37</v>
      </c>
      <c r="E128" s="27">
        <v>4000</v>
      </c>
      <c r="F128" s="105" t="str">
        <f>IFERROR(IFERROR(VLOOKUP(D128,Кат!$I:$J,2,0),VLOOKUP(A128,Кат!$I:$J,2,0)),"")</f>
        <v>сергей проводка</v>
      </c>
      <c r="G128" s="105">
        <f>IFERROR(IFERROR(INDEX(Кат!$A:$A,MATCH(Прайс!D128,Кат!$I:$I,0)),INDEX(Кат!$A:$A,MATCH(A128,Кат!$I:$I,0))),"")</f>
        <v>144938</v>
      </c>
      <c r="H128" s="105">
        <f>IFERROR(IFERROR(INDEX(Кат!$B:$B,MATCH(Прайс!D128,Кат!$I:$I,0)),INDEX(Кат!$B:$B,MATCH(A128,Кат!$I:$I,0))),"")</f>
        <v>18919</v>
      </c>
      <c r="I128" s="2" t="str">
        <f t="shared" si="3"/>
        <v>ВАЗ 2114Жгут проводов фар и генератора(14,15 с электронной педалью газа)ВАЗ 21154-3724010-30</v>
      </c>
    </row>
    <row r="129" spans="1:9" s="2" customFormat="1" ht="12.75" x14ac:dyDescent="0.2">
      <c r="A129" s="40" t="str">
        <f t="shared" si="2"/>
        <v>ВАЗ 2114Жгут проводов фар и генератораВАЗ 21154-3724010</v>
      </c>
      <c r="B129" s="83" t="s">
        <v>280</v>
      </c>
      <c r="C129" s="26" t="s">
        <v>276</v>
      </c>
      <c r="D129" s="26" t="s">
        <v>295</v>
      </c>
      <c r="E129" s="27">
        <v>4000</v>
      </c>
      <c r="F129" s="105" t="str">
        <f>IFERROR(IFERROR(VLOOKUP(D129,Кат!$I:$J,2,0),VLOOKUP(A129,Кат!$I:$J,2,0)),"")</f>
        <v>сергей проводка</v>
      </c>
      <c r="G129" s="105">
        <f>IFERROR(IFERROR(INDEX(Кат!$A:$A,MATCH(Прайс!D129,Кат!$I:$I,0)),INDEX(Кат!$A:$A,MATCH(A129,Кат!$I:$I,0))),"")</f>
        <v>426723</v>
      </c>
      <c r="H129" s="105">
        <f>IFERROR(IFERROR(INDEX(Кат!$B:$B,MATCH(Прайс!D129,Кат!$I:$I,0)),INDEX(Кат!$B:$B,MATCH(A129,Кат!$I:$I,0))),"")</f>
        <v>426723</v>
      </c>
      <c r="I129" s="2" t="str">
        <f t="shared" si="3"/>
        <v>ВАЗ 2114Жгут проводов фар и генератораВАЗ 21154-3724010</v>
      </c>
    </row>
    <row r="130" spans="1:9" s="2" customFormat="1" ht="12.75" x14ac:dyDescent="0.2">
      <c r="A130" s="40" t="str">
        <f t="shared" si="2"/>
        <v>"Калина"Жгут проводов салона ВАЗ 1117-3724210</v>
      </c>
      <c r="B130" s="83" t="s">
        <v>296</v>
      </c>
      <c r="C130" s="26" t="s">
        <v>297</v>
      </c>
      <c r="D130" s="26" t="s">
        <v>106</v>
      </c>
      <c r="E130" s="27">
        <v>5000</v>
      </c>
      <c r="F130" s="105" t="str">
        <f>IFERROR(IFERROR(VLOOKUP(D130,Кат!$I:$J,2,0),VLOOKUP(A130,Кат!$I:$J,2,0)),"")</f>
        <v>сергей проводка</v>
      </c>
      <c r="G130" s="105">
        <f>IFERROR(IFERROR(INDEX(Кат!$A:$A,MATCH(Прайс!D130,Кат!$I:$I,0)),INDEX(Кат!$A:$A,MATCH(A130,Кат!$I:$I,0))),"")</f>
        <v>144953</v>
      </c>
      <c r="H130" s="105">
        <f>IFERROR(IFERROR(INDEX(Кат!$B:$B,MATCH(Прайс!D130,Кат!$I:$I,0)),INDEX(Кат!$B:$B,MATCH(A130,Кат!$I:$I,0))),"")</f>
        <v>13314</v>
      </c>
      <c r="I130" s="2" t="str">
        <f t="shared" si="3"/>
        <v>"Калина"Жгут проводов салона ВАЗ 1117-3724210</v>
      </c>
    </row>
    <row r="131" spans="1:9" s="2" customFormat="1" ht="12.75" x14ac:dyDescent="0.2">
      <c r="A131" s="40" t="str">
        <f t="shared" ref="A131:A194" si="4">_xlfn.CONCAT(B131:D131)</f>
        <v>"Калина"КЛЕММА " +" (евро)ВАЗ 1118 -3724070</v>
      </c>
      <c r="B131" s="83" t="s">
        <v>296</v>
      </c>
      <c r="C131" s="26" t="s">
        <v>848</v>
      </c>
      <c r="D131" s="26" t="s">
        <v>107</v>
      </c>
      <c r="E131" s="27">
        <v>500</v>
      </c>
      <c r="F131" s="105" t="str">
        <f>IFERROR(IFERROR(VLOOKUP(D131,Кат!$I:$J,2,0),VLOOKUP(A131,Кат!$I:$J,2,0)),"")</f>
        <v>сергей проводка</v>
      </c>
      <c r="G131" s="105">
        <f>IFERROR(IFERROR(INDEX(Кат!$A:$A,MATCH(Прайс!D131,Кат!$I:$I,0)),INDEX(Кат!$A:$A,MATCH(A131,Кат!$I:$I,0))),"")</f>
        <v>155900</v>
      </c>
      <c r="H131" s="105">
        <f>IFERROR(IFERROR(INDEX(Кат!$B:$B,MATCH(Прайс!D131,Кат!$I:$I,0)),INDEX(Кат!$B:$B,MATCH(A131,Кат!$I:$I,0))),"")</f>
        <v>13315</v>
      </c>
      <c r="I131" s="2" t="str">
        <f t="shared" ref="I131:I194" si="5">_xlfn.CONCAT(B131:D131)</f>
        <v>"Калина"КЛЕММА " +" (евро)ВАЗ 1118 -3724070</v>
      </c>
    </row>
    <row r="132" spans="1:9" s="2" customFormat="1" ht="12.75" x14ac:dyDescent="0.2">
      <c r="A132" s="40" t="str">
        <f t="shared" si="4"/>
        <v>"Калина"Жгут проводов форсунокВАЗ 11186-3724036</v>
      </c>
      <c r="B132" s="83" t="s">
        <v>296</v>
      </c>
      <c r="C132" s="26" t="s">
        <v>277</v>
      </c>
      <c r="D132" s="26" t="s">
        <v>82</v>
      </c>
      <c r="E132" s="27">
        <v>450</v>
      </c>
      <c r="F132" s="105" t="str">
        <f>IFERROR(IFERROR(VLOOKUP(D132,Кат!$I:$J,2,0),VLOOKUP(A132,Кат!$I:$J,2,0)),"")</f>
        <v>сергей проводка</v>
      </c>
      <c r="G132" s="105">
        <f>IFERROR(IFERROR(INDEX(Кат!$A:$A,MATCH(Прайс!D132,Кат!$I:$I,0)),INDEX(Кат!$A:$A,MATCH(A132,Кат!$I:$I,0))),"")</f>
        <v>145004</v>
      </c>
      <c r="H132" s="105">
        <f>IFERROR(IFERROR(INDEX(Кат!$B:$B,MATCH(Прайс!D132,Кат!$I:$I,0)),INDEX(Кат!$B:$B,MATCH(A132,Кат!$I:$I,0))),"")</f>
        <v>13336</v>
      </c>
      <c r="I132" s="2" t="str">
        <f t="shared" si="5"/>
        <v>"Калина"Жгут проводов форсунокВАЗ 11186-3724036</v>
      </c>
    </row>
    <row r="133" spans="1:9" s="2" customFormat="1" ht="12.75" x14ac:dyDescent="0.2">
      <c r="A133" s="40" t="str">
        <f t="shared" si="4"/>
        <v>"Калина"Жгут проводов задней двериВАЗ 1118-3724550-10</v>
      </c>
      <c r="B133" s="83" t="s">
        <v>296</v>
      </c>
      <c r="C133" s="26" t="s">
        <v>298</v>
      </c>
      <c r="D133" s="26" t="s">
        <v>108</v>
      </c>
      <c r="E133" s="27">
        <v>400</v>
      </c>
      <c r="F133" s="105" t="str">
        <f>IFERROR(IFERROR(VLOOKUP(D133,Кат!$I:$J,2,0),VLOOKUP(A133,Кат!$I:$J,2,0)),"")</f>
        <v>сергей проводка</v>
      </c>
      <c r="G133" s="105">
        <f>IFERROR(IFERROR(INDEX(Кат!$A:$A,MATCH(Прайс!D133,Кат!$I:$I,0)),INDEX(Кат!$A:$A,MATCH(A133,Кат!$I:$I,0))),"")</f>
        <v>144837</v>
      </c>
      <c r="H133" s="105">
        <f>IFERROR(IFERROR(INDEX(Кат!$B:$B,MATCH(Прайс!D133,Кат!$I:$I,0)),INDEX(Кат!$B:$B,MATCH(A133,Кат!$I:$I,0))),"")</f>
        <v>13316</v>
      </c>
      <c r="I133" s="2" t="str">
        <f t="shared" si="5"/>
        <v>"Калина"Жгут проводов задней двериВАЗ 1118-3724550-10</v>
      </c>
    </row>
    <row r="134" spans="1:9" s="2" customFormat="1" ht="12.75" x14ac:dyDescent="0.2">
      <c r="A134" s="40" t="str">
        <f t="shared" si="4"/>
        <v>"Калина"Жгут проводов модулейВАЗ 1118-3724148</v>
      </c>
      <c r="B134" s="83" t="s">
        <v>296</v>
      </c>
      <c r="C134" s="26" t="s">
        <v>264</v>
      </c>
      <c r="D134" s="26" t="s">
        <v>69</v>
      </c>
      <c r="E134" s="27">
        <v>650</v>
      </c>
      <c r="F134" s="105" t="str">
        <f>IFERROR(IFERROR(VLOOKUP(D134,Кат!$I:$J,2,0),VLOOKUP(A134,Кат!$I:$J,2,0)),"")</f>
        <v>сергей проводка</v>
      </c>
      <c r="G134" s="105">
        <f>IFERROR(IFERROR(INDEX(Кат!$A:$A,MATCH(Прайс!D134,Кат!$I:$I,0)),INDEX(Кат!$A:$A,MATCH(A134,Кат!$I:$I,0))),"")</f>
        <v>144865</v>
      </c>
      <c r="H134" s="105">
        <f>IFERROR(IFERROR(INDEX(Кат!$B:$B,MATCH(Прайс!D134,Кат!$I:$I,0)),INDEX(Кат!$B:$B,MATCH(A134,Кат!$I:$I,0))),"")</f>
        <v>13337</v>
      </c>
      <c r="I134" s="2" t="str">
        <f t="shared" si="5"/>
        <v>"Калина"Жгут проводов модулейВАЗ 1118-3724148</v>
      </c>
    </row>
    <row r="135" spans="1:9" s="2" customFormat="1" ht="12.75" x14ac:dyDescent="0.2">
      <c r="A135" s="40" t="str">
        <f t="shared" si="4"/>
        <v>"Калина"Жгут проводов заднийВАЗ 1118-3724210</v>
      </c>
      <c r="B135" s="83" t="s">
        <v>296</v>
      </c>
      <c r="C135" s="26" t="s">
        <v>200</v>
      </c>
      <c r="D135" s="26" t="s">
        <v>109</v>
      </c>
      <c r="E135" s="27">
        <v>4500</v>
      </c>
      <c r="F135" s="105" t="str">
        <f>IFERROR(IFERROR(VLOOKUP(D135,Кат!$I:$J,2,0),VLOOKUP(A135,Кат!$I:$J,2,0)),"")</f>
        <v>сергей проводка</v>
      </c>
      <c r="G135" s="105">
        <f>IFERROR(IFERROR(INDEX(Кат!$A:$A,MATCH(Прайс!D135,Кат!$I:$I,0)),INDEX(Кат!$A:$A,MATCH(A135,Кат!$I:$I,0))),"")</f>
        <v>144838</v>
      </c>
      <c r="H135" s="105">
        <f>IFERROR(IFERROR(INDEX(Кат!$B:$B,MATCH(Прайс!D135,Кат!$I:$I,0)),INDEX(Кат!$B:$B,MATCH(A135,Кат!$I:$I,0))),"")</f>
        <v>13317</v>
      </c>
      <c r="I135" s="2" t="str">
        <f t="shared" si="5"/>
        <v>"Калина"Жгут проводов заднийВАЗ 1118-3724210</v>
      </c>
    </row>
    <row r="136" spans="1:9" s="2" customFormat="1" ht="12.75" x14ac:dyDescent="0.2">
      <c r="A136" s="40" t="str">
        <f t="shared" si="4"/>
        <v>"Калина"Жгут проводов заднийВАЗ 1119-3724210</v>
      </c>
      <c r="B136" s="83" t="s">
        <v>296</v>
      </c>
      <c r="C136" s="26" t="s">
        <v>200</v>
      </c>
      <c r="D136" s="26" t="s">
        <v>110</v>
      </c>
      <c r="E136" s="27">
        <v>5500</v>
      </c>
      <c r="F136" s="105" t="str">
        <f>IFERROR(IFERROR(VLOOKUP(D136,Кат!$I:$J,2,0),VLOOKUP(A136,Кат!$I:$J,2,0)),"")</f>
        <v>сергей проводка</v>
      </c>
      <c r="G136" s="105">
        <f>IFERROR(IFERROR(INDEX(Кат!$A:$A,MATCH(Прайс!D136,Кат!$I:$I,0)),INDEX(Кат!$A:$A,MATCH(A136,Кат!$I:$I,0))),"")</f>
        <v>144839</v>
      </c>
      <c r="H136" s="105">
        <f>IFERROR(IFERROR(INDEX(Кат!$B:$B,MATCH(Прайс!D136,Кат!$I:$I,0)),INDEX(Кат!$B:$B,MATCH(A136,Кат!$I:$I,0))),"")</f>
        <v>13318</v>
      </c>
      <c r="I136" s="2" t="str">
        <f t="shared" si="5"/>
        <v>"Калина"Жгут проводов заднийВАЗ 1119-3724210</v>
      </c>
    </row>
    <row r="137" spans="1:9" s="2" customFormat="1" ht="12.75" x14ac:dyDescent="0.2">
      <c r="A137" s="40" t="str">
        <f t="shared" si="4"/>
        <v>"Калина"Жгут проводов панели приборов в сб.с монтажным блокомВаз 1118-3724030</v>
      </c>
      <c r="B137" s="83" t="s">
        <v>296</v>
      </c>
      <c r="C137" s="26" t="s">
        <v>299</v>
      </c>
      <c r="D137" s="26" t="s">
        <v>5</v>
      </c>
      <c r="E137" s="27">
        <v>10000</v>
      </c>
      <c r="F137" s="105" t="str">
        <f>IFERROR(IFERROR(VLOOKUP(D137,Кат!$I:$J,2,0),VLOOKUP(A137,Кат!$I:$J,2,0)),"")</f>
        <v>сергей проводка</v>
      </c>
      <c r="G137" s="105">
        <f>IFERROR(IFERROR(INDEX(Кат!$A:$A,MATCH(Прайс!D137,Кат!$I:$I,0)),INDEX(Кат!$A:$A,MATCH(A137,Кат!$I:$I,0))),"")</f>
        <v>144928</v>
      </c>
      <c r="H137" s="105">
        <f>IFERROR(IFERROR(INDEX(Кат!$B:$B,MATCH(Прайс!D137,Кат!$I:$I,0)),INDEX(Кат!$B:$B,MATCH(A137,Кат!$I:$I,0))),"")</f>
        <v>13313</v>
      </c>
      <c r="I137" s="2" t="str">
        <f t="shared" si="5"/>
        <v>"Калина"Жгут проводов панели приборов в сб.с монтажным блокомВаз 1118-3724030</v>
      </c>
    </row>
    <row r="138" spans="1:9" s="2" customFormat="1" ht="12.75" x14ac:dyDescent="0.2">
      <c r="A138" s="40" t="str">
        <f t="shared" si="4"/>
        <v>"Калина"Жгут проводов панели приборовВаз 11183-3724030</v>
      </c>
      <c r="B138" s="83" t="s">
        <v>296</v>
      </c>
      <c r="C138" s="26" t="s">
        <v>283</v>
      </c>
      <c r="D138" s="26" t="s">
        <v>111</v>
      </c>
      <c r="E138" s="27">
        <v>15000</v>
      </c>
      <c r="F138" s="105" t="str">
        <f>IFERROR(IFERROR(VLOOKUP(D138,Кат!$I:$J,2,0),VLOOKUP(A138,Кат!$I:$J,2,0)),"")</f>
        <v>сергей проводка</v>
      </c>
      <c r="G138" s="105">
        <f>IFERROR(IFERROR(INDEX(Кат!$A:$A,MATCH(Прайс!D138,Кат!$I:$I,0)),INDEX(Кат!$A:$A,MATCH(A138,Кат!$I:$I,0))),"")</f>
        <v>144929</v>
      </c>
      <c r="H138" s="105">
        <f>IFERROR(IFERROR(INDEX(Кат!$B:$B,MATCH(Прайс!D138,Кат!$I:$I,0)),INDEX(Кат!$B:$B,MATCH(A138,Кат!$I:$I,0))),"")</f>
        <v>13320</v>
      </c>
      <c r="I138" s="2" t="str">
        <f t="shared" si="5"/>
        <v>"Калина"Жгут проводов панели приборовВаз 11183-3724030</v>
      </c>
    </row>
    <row r="139" spans="1:9" s="2" customFormat="1" ht="12.75" x14ac:dyDescent="0.2">
      <c r="A139" s="40" t="str">
        <f t="shared" si="4"/>
        <v>"Калина"Жгут проводов панели приборовВАЗ 11186-3724030-20</v>
      </c>
      <c r="B139" s="83" t="s">
        <v>296</v>
      </c>
      <c r="C139" s="26" t="s">
        <v>283</v>
      </c>
      <c r="D139" s="26" t="s">
        <v>112</v>
      </c>
      <c r="E139" s="27">
        <v>20000</v>
      </c>
      <c r="F139" s="105" t="str">
        <f>IFERROR(IFERROR(VLOOKUP(D139,Кат!$I:$J,2,0),VLOOKUP(A139,Кат!$I:$J,2,0)),"")</f>
        <v>сергей проводка</v>
      </c>
      <c r="G139" s="105">
        <f>IFERROR(IFERROR(INDEX(Кат!$A:$A,MATCH(Прайс!D139,Кат!$I:$I,0)),INDEX(Кат!$A:$A,MATCH(A139,Кат!$I:$I,0))),"")</f>
        <v>144902</v>
      </c>
      <c r="H139" s="105">
        <f>IFERROR(IFERROR(INDEX(Кат!$B:$B,MATCH(Прайс!D139,Кат!$I:$I,0)),INDEX(Кат!$B:$B,MATCH(A139,Кат!$I:$I,0))),"")</f>
        <v>13321</v>
      </c>
      <c r="I139" s="2" t="str">
        <f t="shared" si="5"/>
        <v>"Калина"Жгут проводов панели приборовВАЗ 11186-3724030-20</v>
      </c>
    </row>
    <row r="140" spans="1:9" s="2" customFormat="1" ht="12.75" x14ac:dyDescent="0.2">
      <c r="A140" s="40" t="str">
        <f t="shared" si="4"/>
        <v>"Калина"Жгут проводов фар и генератораВАЗ 1118-3724010</v>
      </c>
      <c r="B140" s="83" t="s">
        <v>296</v>
      </c>
      <c r="C140" s="26" t="s">
        <v>276</v>
      </c>
      <c r="D140" s="26" t="s">
        <v>116</v>
      </c>
      <c r="E140" s="27">
        <v>7000</v>
      </c>
      <c r="F140" s="105" t="str">
        <f>IFERROR(IFERROR(VLOOKUP(D140,Кат!$I:$J,2,0),VLOOKUP(A140,Кат!$I:$J,2,0)),"")</f>
        <v>сергей проводка</v>
      </c>
      <c r="G140" s="105">
        <f>IFERROR(IFERROR(INDEX(Кат!$A:$A,MATCH(Прайс!D140,Кат!$I:$I,0)),INDEX(Кат!$A:$A,MATCH(A140,Кат!$I:$I,0))),"")</f>
        <v>144981</v>
      </c>
      <c r="H140" s="105">
        <f>IFERROR(IFERROR(INDEX(Кат!$B:$B,MATCH(Прайс!D140,Кат!$I:$I,0)),INDEX(Кат!$B:$B,MATCH(A140,Кат!$I:$I,0))),"")</f>
        <v>13332</v>
      </c>
      <c r="I140" s="2" t="str">
        <f t="shared" si="5"/>
        <v>"Калина"Жгут проводов фар и генератораВАЗ 1118-3724010</v>
      </c>
    </row>
    <row r="141" spans="1:9" s="2" customFormat="1" ht="12.75" x14ac:dyDescent="0.2">
      <c r="A141" s="40" t="str">
        <f t="shared" si="4"/>
        <v>"Калина"Жгут проводов фар и генератораВАЗ 1119-3724010</v>
      </c>
      <c r="B141" s="83" t="s">
        <v>296</v>
      </c>
      <c r="C141" s="26" t="s">
        <v>276</v>
      </c>
      <c r="D141" s="26" t="s">
        <v>2</v>
      </c>
      <c r="E141" s="27">
        <v>7000</v>
      </c>
      <c r="F141" s="105" t="str">
        <f>IFERROR(IFERROR(VLOOKUP(D141,Кат!$I:$J,2,0),VLOOKUP(A141,Кат!$I:$J,2,0)),"")</f>
        <v>сергей проводка</v>
      </c>
      <c r="G141" s="105">
        <f>IFERROR(IFERROR(INDEX(Кат!$A:$A,MATCH(Прайс!D141,Кат!$I:$I,0)),INDEX(Кат!$A:$A,MATCH(A141,Кат!$I:$I,0))),"")</f>
        <v>144982</v>
      </c>
      <c r="H141" s="105">
        <f>IFERROR(IFERROR(INDEX(Кат!$B:$B,MATCH(Прайс!D141,Кат!$I:$I,0)),INDEX(Кат!$B:$B,MATCH(A141,Кат!$I:$I,0))),"")</f>
        <v>13333</v>
      </c>
      <c r="I141" s="2" t="str">
        <f t="shared" si="5"/>
        <v>"Калина"Жгут проводов фар и генератораВАЗ 1119-3724010</v>
      </c>
    </row>
    <row r="142" spans="1:9" s="2" customFormat="1" ht="12.75" x14ac:dyDescent="0.2">
      <c r="A142" s="40" t="str">
        <f t="shared" si="4"/>
        <v>"Калина"Жгут проводов электроусилителя руля(эл-тель производство Корея)ВАЗ 1118-3724100</v>
      </c>
      <c r="B142" s="83" t="s">
        <v>296</v>
      </c>
      <c r="C142" s="26" t="s">
        <v>300</v>
      </c>
      <c r="D142" s="26" t="s">
        <v>61</v>
      </c>
      <c r="E142" s="27">
        <v>900</v>
      </c>
      <c r="F142" s="105" t="str">
        <f>IFERROR(IFERROR(VLOOKUP(D142,Кат!$I:$J,2,0),VLOOKUP(A142,Кат!$I:$J,2,0)),"")</f>
        <v>сергей проводка</v>
      </c>
      <c r="G142" s="105">
        <f>IFERROR(IFERROR(INDEX(Кат!$A:$A,MATCH(Прайс!D142,Кат!$I:$I,0)),INDEX(Кат!$A:$A,MATCH(A142,Кат!$I:$I,0))),"")</f>
        <v>144834</v>
      </c>
      <c r="H142" s="105">
        <f>IFERROR(IFERROR(INDEX(Кат!$B:$B,MATCH(Прайс!D142,Кат!$I:$I,0)),INDEX(Кат!$B:$B,MATCH(A142,Кат!$I:$I,0))),"")</f>
        <v>11523</v>
      </c>
      <c r="I142" s="2" t="str">
        <f t="shared" si="5"/>
        <v>"Калина"Жгут проводов электроусилителя руля(эл-тель производство Корея)ВАЗ 1118-3724100</v>
      </c>
    </row>
    <row r="143" spans="1:9" s="2" customFormat="1" ht="12.75" x14ac:dyDescent="0.2">
      <c r="A143" s="40" t="str">
        <f t="shared" si="4"/>
        <v>"Калина"Жгут проводов системы зажигания (8-ми клапанная Е-газ)ВАЗ 1118-26-40-41</v>
      </c>
      <c r="B143" s="83" t="s">
        <v>296</v>
      </c>
      <c r="C143" s="26" t="s">
        <v>301</v>
      </c>
      <c r="D143" s="26" t="s">
        <v>113</v>
      </c>
      <c r="E143" s="27">
        <v>15000</v>
      </c>
      <c r="F143" s="105" t="str">
        <f>IFERROR(IFERROR(VLOOKUP(D143,Кат!$I:$J,2,0),VLOOKUP(A143,Кат!$I:$J,2,0)),"")</f>
        <v>сергей проводка</v>
      </c>
      <c r="G143" s="105">
        <f>IFERROR(IFERROR(INDEX(Кат!$A:$A,MATCH(Прайс!D143,Кат!$I:$I,0)),INDEX(Кат!$A:$A,MATCH(A143,Кат!$I:$I,0))),"")</f>
        <v>144869</v>
      </c>
      <c r="H143" s="105">
        <f>IFERROR(IFERROR(INDEX(Кат!$B:$B,MATCH(Прайс!D143,Кат!$I:$I,0)),INDEX(Кат!$B:$B,MATCH(A143,Кат!$I:$I,0))),"")</f>
        <v>3987</v>
      </c>
      <c r="I143" s="2" t="str">
        <f t="shared" si="5"/>
        <v>"Калина"Жгут проводов системы зажигания (8-ми клапанная Е-газ)ВАЗ 1118-26-40-41</v>
      </c>
    </row>
    <row r="144" spans="1:9" s="2" customFormat="1" ht="12.75" x14ac:dyDescent="0.2">
      <c r="A144" s="40" t="str">
        <f t="shared" si="4"/>
        <v>"Калина"Жгут проводов системы зажиганияВАЗ 1118-3724026-20</v>
      </c>
      <c r="B144" s="83" t="s">
        <v>296</v>
      </c>
      <c r="C144" s="26" t="s">
        <v>271</v>
      </c>
      <c r="D144" s="26" t="s">
        <v>3</v>
      </c>
      <c r="E144" s="27">
        <v>15000</v>
      </c>
      <c r="F144" s="105" t="str">
        <f>IFERROR(IFERROR(VLOOKUP(D144,Кат!$I:$J,2,0),VLOOKUP(A144,Кат!$I:$J,2,0)),"")</f>
        <v>сергей проводка</v>
      </c>
      <c r="G144" s="105">
        <f>IFERROR(IFERROR(INDEX(Кат!$A:$A,MATCH(Прайс!D144,Кат!$I:$I,0)),INDEX(Кат!$A:$A,MATCH(A144,Кат!$I:$I,0))),"")</f>
        <v>144961</v>
      </c>
      <c r="H144" s="105">
        <f>IFERROR(IFERROR(INDEX(Кат!$B:$B,MATCH(Прайс!D144,Кат!$I:$I,0)),INDEX(Кат!$B:$B,MATCH(A144,Кат!$I:$I,0))),"")</f>
        <v>13323</v>
      </c>
      <c r="I144" s="2" t="str">
        <f t="shared" si="5"/>
        <v>"Калина"Жгут проводов системы зажиганияВАЗ 1118-3724026-20</v>
      </c>
    </row>
    <row r="145" spans="1:9" s="2" customFormat="1" ht="12.75" x14ac:dyDescent="0.2">
      <c r="A145" s="40" t="str">
        <f t="shared" si="4"/>
        <v>"Калина"Жгут проводов системы зажиганияВАЗ 1118-3724026-30</v>
      </c>
      <c r="B145" s="83" t="s">
        <v>296</v>
      </c>
      <c r="C145" s="26" t="s">
        <v>271</v>
      </c>
      <c r="D145" s="26" t="s">
        <v>302</v>
      </c>
      <c r="E145" s="27">
        <v>15000</v>
      </c>
      <c r="F145" s="105" t="str">
        <f>IFERROR(IFERROR(VLOOKUP(D145,Кат!$I:$J,2,0),VLOOKUP(A145,Кат!$I:$J,2,0)),"")</f>
        <v>сергей проводка</v>
      </c>
      <c r="G145" s="105">
        <f>IFERROR(IFERROR(INDEX(Кат!$A:$A,MATCH(Прайс!D145,Кат!$I:$I,0)),INDEX(Кат!$A:$A,MATCH(A145,Кат!$I:$I,0))),"")</f>
        <v>430022</v>
      </c>
      <c r="H145" s="105">
        <f>IFERROR(IFERROR(INDEX(Кат!$B:$B,MATCH(Прайс!D145,Кат!$I:$I,0)),INDEX(Кат!$B:$B,MATCH(A145,Кат!$I:$I,0))),"")</f>
        <v>430022</v>
      </c>
      <c r="I145" s="2" t="str">
        <f t="shared" si="5"/>
        <v>"Калина"Жгут проводов системы зажиганияВАЗ 1118-3724026-30</v>
      </c>
    </row>
    <row r="146" spans="1:9" s="2" customFormat="1" ht="12.75" x14ac:dyDescent="0.2">
      <c r="A146" s="40" t="str">
        <f t="shared" si="4"/>
        <v>"Калина"Жгут  проводов системы зажиганияВАЗ 11184-3724026</v>
      </c>
      <c r="B146" s="83" t="s">
        <v>296</v>
      </c>
      <c r="C146" s="26" t="s">
        <v>303</v>
      </c>
      <c r="D146" s="26" t="s">
        <v>304</v>
      </c>
      <c r="E146" s="27"/>
      <c r="F146" s="105" t="str">
        <f>IFERROR(IFERROR(VLOOKUP(D146,Кат!$I:$J,2,0),VLOOKUP(A146,Кат!$I:$J,2,0)),"")</f>
        <v/>
      </c>
      <c r="G146" s="105" t="str">
        <f>IFERROR(IFERROR(INDEX(Кат!$A:$A,MATCH(Прайс!D146,Кат!$I:$I,0)),INDEX(Кат!$A:$A,MATCH(A146,Кат!$I:$I,0))),"")</f>
        <v/>
      </c>
      <c r="H146" s="105" t="str">
        <f>IFERROR(IFERROR(INDEX(Кат!$B:$B,MATCH(Прайс!D146,Кат!$I:$I,0)),INDEX(Кат!$B:$B,MATCH(A146,Кат!$I:$I,0))),"")</f>
        <v/>
      </c>
      <c r="I146" s="2" t="str">
        <f t="shared" si="5"/>
        <v>"Калина"Жгут  проводов системы зажиганияВАЗ 11184-3724026</v>
      </c>
    </row>
    <row r="147" spans="1:9" s="2" customFormat="1" ht="12.75" x14ac:dyDescent="0.2">
      <c r="A147" s="40" t="str">
        <f t="shared" si="4"/>
        <v>"Калина"Жгут  проводов системы зажиганияВАЗ 11184-3724026-10</v>
      </c>
      <c r="B147" s="83" t="s">
        <v>296</v>
      </c>
      <c r="C147" s="26" t="s">
        <v>303</v>
      </c>
      <c r="D147" s="26" t="s">
        <v>99</v>
      </c>
      <c r="E147" s="27">
        <v>15000</v>
      </c>
      <c r="F147" s="105" t="str">
        <f>IFERROR(IFERROR(VLOOKUP(D147,Кат!$I:$J,2,0),VLOOKUP(A147,Кат!$I:$J,2,0)),"")</f>
        <v>сергей проводка</v>
      </c>
      <c r="G147" s="105">
        <f>IFERROR(IFERROR(INDEX(Кат!$A:$A,MATCH(Прайс!D147,Кат!$I:$I,0)),INDEX(Кат!$A:$A,MATCH(A147,Кат!$I:$I,0))),"")</f>
        <v>144870</v>
      </c>
      <c r="H147" s="105">
        <f>IFERROR(IFERROR(INDEX(Кат!$B:$B,MATCH(Прайс!D147,Кат!$I:$I,0)),INDEX(Кат!$B:$B,MATCH(A147,Кат!$I:$I,0))),"")</f>
        <v>4005</v>
      </c>
      <c r="I147" s="2" t="str">
        <f t="shared" si="5"/>
        <v>"Калина"Жгут  проводов системы зажиганияВАЗ 11184-3724026-10</v>
      </c>
    </row>
    <row r="148" spans="1:9" s="2" customFormat="1" ht="12.75" x14ac:dyDescent="0.2">
      <c r="A148" s="40" t="str">
        <f t="shared" si="4"/>
        <v>"Калина"Жгут проводов системы зажиганияВАЗ 11184-3724026-45</v>
      </c>
      <c r="B148" s="83" t="s">
        <v>296</v>
      </c>
      <c r="C148" s="26" t="s">
        <v>271</v>
      </c>
      <c r="D148" s="26" t="s">
        <v>305</v>
      </c>
      <c r="E148" s="27">
        <v>15000</v>
      </c>
      <c r="F148" s="105" t="str">
        <f>IFERROR(IFERROR(VLOOKUP(D148,Кат!$I:$J,2,0),VLOOKUP(A148,Кат!$I:$J,2,0)),"")</f>
        <v>сергей проводка</v>
      </c>
      <c r="G148" s="105">
        <f>IFERROR(IFERROR(INDEX(Кат!$A:$A,MATCH(Прайс!D148,Кат!$I:$I,0)),INDEX(Кат!$A:$A,MATCH(A148,Кат!$I:$I,0))),"")</f>
        <v>426729</v>
      </c>
      <c r="H148" s="105">
        <f>IFERROR(IFERROR(INDEX(Кат!$B:$B,MATCH(Прайс!D148,Кат!$I:$I,0)),INDEX(Кат!$B:$B,MATCH(A148,Кат!$I:$I,0))),"")</f>
        <v>426729</v>
      </c>
      <c r="I148" s="2" t="str">
        <f t="shared" si="5"/>
        <v>"Калина"Жгут проводов системы зажиганияВАЗ 11184-3724026-45</v>
      </c>
    </row>
    <row r="149" spans="1:9" s="2" customFormat="1" ht="12.75" x14ac:dyDescent="0.2">
      <c r="A149" s="40" t="str">
        <f t="shared" si="4"/>
        <v>"Калина"Жгут проводов стеклоочистителяВАЗ 1118-3724019</v>
      </c>
      <c r="B149" s="83" t="s">
        <v>296</v>
      </c>
      <c r="C149" s="26" t="s">
        <v>306</v>
      </c>
      <c r="D149" s="26" t="s">
        <v>114</v>
      </c>
      <c r="E149" s="27">
        <v>700</v>
      </c>
      <c r="F149" s="105" t="str">
        <f>IFERROR(IFERROR(VLOOKUP(D149,Кат!$I:$J,2,0),VLOOKUP(A149,Кат!$I:$J,2,0)),"")</f>
        <v>сергей проводка</v>
      </c>
      <c r="G149" s="105">
        <f>IFERROR(IFERROR(INDEX(Кат!$A:$A,MATCH(Прайс!D149,Кат!$I:$I,0)),INDEX(Кат!$A:$A,MATCH(A149,Кат!$I:$I,0))),"")</f>
        <v>144978</v>
      </c>
      <c r="H149" s="105">
        <f>IFERROR(IFERROR(INDEX(Кат!$B:$B,MATCH(Прайс!D149,Кат!$I:$I,0)),INDEX(Кат!$B:$B,MATCH(A149,Кат!$I:$I,0))),"")</f>
        <v>13324</v>
      </c>
      <c r="I149" s="2" t="str">
        <f t="shared" si="5"/>
        <v>"Калина"Жгут проводов стеклоочистителяВАЗ 1118-3724019</v>
      </c>
    </row>
    <row r="150" spans="1:9" s="2" customFormat="1" ht="12.75" x14ac:dyDescent="0.2">
      <c r="A150" s="40" t="str">
        <f t="shared" si="4"/>
        <v xml:space="preserve">"Калина"Монтажный набор для подключения противотуманных фарВАЗ 1118 </v>
      </c>
      <c r="B150" s="83" t="s">
        <v>296</v>
      </c>
      <c r="C150" s="26" t="s">
        <v>307</v>
      </c>
      <c r="D150" s="26" t="s">
        <v>308</v>
      </c>
      <c r="E150" s="27">
        <v>750</v>
      </c>
      <c r="F150" s="105" t="str">
        <f>IFERROR(IFERROR(VLOOKUP(D150,Кат!$I:$J,2,0),VLOOKUP(A150,Кат!$I:$J,2,0)),"")</f>
        <v/>
      </c>
      <c r="G150" s="105" t="str">
        <f>IFERROR(IFERROR(INDEX(Кат!$A:$A,MATCH(Прайс!D150,Кат!$I:$I,0)),INDEX(Кат!$A:$A,MATCH(A150,Кат!$I:$I,0))),"")</f>
        <v/>
      </c>
      <c r="H150" s="105" t="str">
        <f>IFERROR(IFERROR(INDEX(Кат!$B:$B,MATCH(Прайс!D150,Кат!$I:$I,0)),INDEX(Кат!$B:$B,MATCH(A150,Кат!$I:$I,0))),"")</f>
        <v/>
      </c>
      <c r="I150" s="2" t="str">
        <f t="shared" si="5"/>
        <v xml:space="preserve">"Калина"Монтажный набор для подключения противотуманных фарВАЗ 1118 </v>
      </c>
    </row>
    <row r="151" spans="1:9" s="2" customFormat="1" ht="12.75" x14ac:dyDescent="0.2">
      <c r="A151" s="40" t="str">
        <f t="shared" si="4"/>
        <v>"Калина"Жгут проводов системы зажиганияВАЗ 11184- 3724026-46</v>
      </c>
      <c r="B151" s="83" t="s">
        <v>296</v>
      </c>
      <c r="C151" s="26" t="s">
        <v>271</v>
      </c>
      <c r="D151" s="26" t="s">
        <v>115</v>
      </c>
      <c r="E151" s="27">
        <v>15000</v>
      </c>
      <c r="F151" s="105" t="str">
        <f>IFERROR(IFERROR(VLOOKUP(D151,Кат!$I:$J,2,0),VLOOKUP(A151,Кат!$I:$J,2,0)),"")</f>
        <v>сергей проводка</v>
      </c>
      <c r="G151" s="105">
        <f>IFERROR(IFERROR(INDEX(Кат!$A:$A,MATCH(Прайс!D151,Кат!$I:$I,0)),INDEX(Кат!$A:$A,MATCH(A151,Кат!$I:$I,0))),"")</f>
        <v>144963</v>
      </c>
      <c r="H151" s="105">
        <f>IFERROR(IFERROR(INDEX(Кат!$B:$B,MATCH(Прайс!D151,Кат!$I:$I,0)),INDEX(Кат!$B:$B,MATCH(A151,Кат!$I:$I,0))),"")</f>
        <v>13325</v>
      </c>
      <c r="I151" s="2" t="str">
        <f t="shared" si="5"/>
        <v>"Калина"Жгут проводов системы зажиганияВАЗ 11184- 3724026-46</v>
      </c>
    </row>
    <row r="152" spans="1:9" s="2" customFormat="1" ht="12.75" x14ac:dyDescent="0.2">
      <c r="A152" s="40" t="str">
        <f t="shared" si="4"/>
        <v>"Калина"ВАЗ 1118-3724026-31</v>
      </c>
      <c r="B152" s="83" t="s">
        <v>296</v>
      </c>
      <c r="C152" s="26"/>
      <c r="D152" s="26" t="s">
        <v>93</v>
      </c>
      <c r="E152" s="27">
        <v>15000</v>
      </c>
      <c r="F152" s="105" t="str">
        <f>IFERROR(IFERROR(VLOOKUP(D152,Кат!$I:$J,2,0),VLOOKUP(A152,Кат!$I:$J,2,0)),"")</f>
        <v>сергей проводка</v>
      </c>
      <c r="G152" s="105">
        <f>IFERROR(IFERROR(INDEX(Кат!$A:$A,MATCH(Прайс!D152,Кат!$I:$I,0)),INDEX(Кат!$A:$A,MATCH(A152,Кат!$I:$I,0))),"")</f>
        <v>144868</v>
      </c>
      <c r="H152" s="105">
        <f>IFERROR(IFERROR(INDEX(Кат!$B:$B,MATCH(Прайс!D152,Кат!$I:$I,0)),INDEX(Кат!$B:$B,MATCH(A152,Кат!$I:$I,0))),"")</f>
        <v>3986</v>
      </c>
      <c r="I152" s="2" t="str">
        <f t="shared" si="5"/>
        <v>"Калина"ВАЗ 1118-3724026-31</v>
      </c>
    </row>
    <row r="153" spans="1:9" s="2" customFormat="1" ht="12.75" x14ac:dyDescent="0.2">
      <c r="A153" s="40" t="str">
        <f t="shared" si="4"/>
        <v>"Калина"Монтажный набор для подключения лобового стекла с подогревомВАЗ 1118</v>
      </c>
      <c r="B153" s="83" t="s">
        <v>296</v>
      </c>
      <c r="C153" s="26" t="s">
        <v>309</v>
      </c>
      <c r="D153" s="26" t="s">
        <v>310</v>
      </c>
      <c r="E153" s="27">
        <v>4000</v>
      </c>
      <c r="F153" s="105" t="str">
        <f>IFERROR(IFERROR(VLOOKUP(D153,Кат!$I:$J,2,0),VLOOKUP(A153,Кат!$I:$J,2,0)),"")</f>
        <v>сергей проводка</v>
      </c>
      <c r="G153" s="105">
        <f>IFERROR(IFERROR(INDEX(Кат!$A:$A,MATCH(Прайс!D153,Кат!$I:$I,0)),INDEX(Кат!$A:$A,MATCH(A153,Кат!$I:$I,0))),"")</f>
        <v>426735</v>
      </c>
      <c r="H153" s="105">
        <f>IFERROR(IFERROR(INDEX(Кат!$B:$B,MATCH(Прайс!D153,Кат!$I:$I,0)),INDEX(Кат!$B:$B,MATCH(A153,Кат!$I:$I,0))),"")</f>
        <v>426735</v>
      </c>
      <c r="I153" s="2" t="str">
        <f t="shared" si="5"/>
        <v>"Калина"Монтажный набор для подключения лобового стекла с подогревомВАЗ 1118</v>
      </c>
    </row>
    <row r="154" spans="1:9" s="2" customFormat="1" ht="12.75" x14ac:dyDescent="0.2">
      <c r="A154" s="40" t="str">
        <f t="shared" si="4"/>
        <v>"Нива"Жгут проводов системы зажигания коммутаторныйВАЗ 21213-3724026</v>
      </c>
      <c r="B154" s="83" t="s">
        <v>311</v>
      </c>
      <c r="C154" s="26" t="s">
        <v>312</v>
      </c>
      <c r="D154" s="26" t="s">
        <v>313</v>
      </c>
      <c r="E154" s="27">
        <v>500</v>
      </c>
      <c r="F154" s="105" t="str">
        <f>IFERROR(IFERROR(VLOOKUP(D154,Кат!$I:$J,2,0),VLOOKUP(A154,Кат!$I:$J,2,0)),"")</f>
        <v>сергей проводка</v>
      </c>
      <c r="G154" s="105">
        <f>IFERROR(IFERROR(INDEX(Кат!$A:$A,MATCH(Прайс!D154,Кат!$I:$I,0)),INDEX(Кат!$A:$A,MATCH(A154,Кат!$I:$I,0))),"")</f>
        <v>430040</v>
      </c>
      <c r="H154" s="105">
        <f>IFERROR(IFERROR(INDEX(Кат!$B:$B,MATCH(Прайс!D154,Кат!$I:$I,0)),INDEX(Кат!$B:$B,MATCH(A154,Кат!$I:$I,0))),"")</f>
        <v>430040</v>
      </c>
      <c r="I154" s="2" t="str">
        <f t="shared" si="5"/>
        <v>"Нива"Жгут проводов системы зажигания коммутаторныйВАЗ 21213-3724026</v>
      </c>
    </row>
    <row r="155" spans="1:9" s="2" customFormat="1" ht="12.75" x14ac:dyDescent="0.2">
      <c r="A155" s="40" t="str">
        <f t="shared" si="4"/>
        <v>"Нива"Жгут проводов панели приборов(карбюраторная)ВАЗ 21213-3724030</v>
      </c>
      <c r="B155" s="83" t="s">
        <v>311</v>
      </c>
      <c r="C155" s="26" t="s">
        <v>849</v>
      </c>
      <c r="D155" s="26" t="s">
        <v>26</v>
      </c>
      <c r="E155" s="27">
        <v>6500</v>
      </c>
      <c r="F155" s="105" t="str">
        <f>IFERROR(IFERROR(VLOOKUP(D155,Кат!$I:$J,2,0),VLOOKUP(A155,Кат!$I:$J,2,0)),"")</f>
        <v>сергей проводка</v>
      </c>
      <c r="G155" s="105">
        <f>IFERROR(IFERROR(INDEX(Кат!$A:$A,MATCH(Прайс!D155,Кат!$I:$I,0)),INDEX(Кат!$A:$A,MATCH(A155,Кат!$I:$I,0))),"")</f>
        <v>144908</v>
      </c>
      <c r="H155" s="105">
        <f>IFERROR(IFERROR(INDEX(Кат!$B:$B,MATCH(Прайс!D155,Кат!$I:$I,0)),INDEX(Кат!$B:$B,MATCH(A155,Кат!$I:$I,0))),"")</f>
        <v>13420</v>
      </c>
      <c r="I155" s="2" t="str">
        <f t="shared" si="5"/>
        <v>"Нива"Жгут проводов панели приборов(карбюраторная)ВАЗ 21213-3724030</v>
      </c>
    </row>
    <row r="156" spans="1:9" s="2" customFormat="1" ht="12.75" x14ac:dyDescent="0.2">
      <c r="A156" s="40" t="str">
        <f t="shared" si="4"/>
        <v>"Нива"КЛЕММА "+" (евро)ВАЗ 21213-3724070</v>
      </c>
      <c r="B156" s="83" t="s">
        <v>311</v>
      </c>
      <c r="C156" s="26" t="s">
        <v>846</v>
      </c>
      <c r="D156" s="26" t="s">
        <v>173</v>
      </c>
      <c r="E156" s="27">
        <v>600</v>
      </c>
      <c r="F156" s="105" t="str">
        <f>IFERROR(IFERROR(VLOOKUP(D156,Кат!$I:$J,2,0),VLOOKUP(A156,Кат!$I:$J,2,0)),"")</f>
        <v>сергей проводка</v>
      </c>
      <c r="G156" s="105">
        <f>IFERROR(IFERROR(INDEX(Кат!$A:$A,MATCH(Прайс!D156,Кат!$I:$I,0)),INDEX(Кат!$A:$A,MATCH(A156,Кат!$I:$I,0))),"")</f>
        <v>155902</v>
      </c>
      <c r="H156" s="105">
        <f>IFERROR(IFERROR(INDEX(Кат!$B:$B,MATCH(Прайс!D156,Кат!$I:$I,0)),INDEX(Кат!$B:$B,MATCH(A156,Кат!$I:$I,0))),"")</f>
        <v>13421</v>
      </c>
      <c r="I156" s="2" t="str">
        <f t="shared" si="5"/>
        <v>"Нива"КЛЕММА "+" (евро)ВАЗ 21213-3724070</v>
      </c>
    </row>
    <row r="157" spans="1:9" s="2" customFormat="1" ht="12.75" x14ac:dyDescent="0.2">
      <c r="A157" s="40" t="str">
        <f t="shared" si="4"/>
        <v>"Нива"КЛЕММА "–"  (евро)ВАЗ 21213-3724080</v>
      </c>
      <c r="B157" s="83" t="s">
        <v>311</v>
      </c>
      <c r="C157" s="26" t="s">
        <v>850</v>
      </c>
      <c r="D157" s="26" t="s">
        <v>314</v>
      </c>
      <c r="E157" s="27">
        <v>500</v>
      </c>
      <c r="F157" s="105" t="str">
        <f>IFERROR(IFERROR(VLOOKUP(D157,Кат!$I:$J,2,0),VLOOKUP(A157,Кат!$I:$J,2,0)),"")</f>
        <v/>
      </c>
      <c r="G157" s="105" t="str">
        <f>IFERROR(IFERROR(INDEX(Кат!$A:$A,MATCH(Прайс!D157,Кат!$I:$I,0)),INDEX(Кат!$A:$A,MATCH(A157,Кат!$I:$I,0))),"")</f>
        <v/>
      </c>
      <c r="H157" s="105" t="str">
        <f>IFERROR(IFERROR(INDEX(Кат!$B:$B,MATCH(Прайс!D157,Кат!$I:$I,0)),INDEX(Кат!$B:$B,MATCH(A157,Кат!$I:$I,0))),"")</f>
        <v/>
      </c>
      <c r="I157" s="2" t="str">
        <f t="shared" si="5"/>
        <v>"Нива"КЛЕММА "–"  (евро)ВАЗ 21213-3724080</v>
      </c>
    </row>
    <row r="158" spans="1:9" s="2" customFormat="1" ht="12.75" x14ac:dyDescent="0.2">
      <c r="A158" s="40" t="str">
        <f t="shared" si="4"/>
        <v>"Нива"Жгут проводов заднийВАЗ 21213-3724210</v>
      </c>
      <c r="B158" s="83" t="s">
        <v>311</v>
      </c>
      <c r="C158" s="26" t="s">
        <v>200</v>
      </c>
      <c r="D158" s="26" t="s">
        <v>174</v>
      </c>
      <c r="E158" s="27">
        <v>3000</v>
      </c>
      <c r="F158" s="105" t="str">
        <f>IFERROR(IFERROR(VLOOKUP(D158,Кат!$I:$J,2,0),VLOOKUP(A158,Кат!$I:$J,2,0)),"")</f>
        <v>сергей проводка</v>
      </c>
      <c r="G158" s="105">
        <f>IFERROR(IFERROR(INDEX(Кат!$A:$A,MATCH(Прайс!D158,Кат!$I:$I,0)),INDEX(Кат!$A:$A,MATCH(A158,Кат!$I:$I,0))),"")</f>
        <v>144851</v>
      </c>
      <c r="H158" s="105">
        <f>IFERROR(IFERROR(INDEX(Кат!$B:$B,MATCH(Прайс!D158,Кат!$I:$I,0)),INDEX(Кат!$B:$B,MATCH(A158,Кат!$I:$I,0))),"")</f>
        <v>13422</v>
      </c>
      <c r="I158" s="2" t="str">
        <f t="shared" si="5"/>
        <v>"Нива"Жгут проводов заднийВАЗ 21213-3724210</v>
      </c>
    </row>
    <row r="159" spans="1:9" s="2" customFormat="1" ht="12.75" x14ac:dyDescent="0.2">
      <c r="A159" s="40" t="str">
        <f t="shared" si="4"/>
        <v>"Нива"Жгут проводов под капот(передняя часть)ВАЗ 2121-3724008</v>
      </c>
      <c r="B159" s="83" t="s">
        <v>311</v>
      </c>
      <c r="C159" s="26" t="s">
        <v>315</v>
      </c>
      <c r="D159" s="26" t="s">
        <v>27</v>
      </c>
      <c r="E159" s="27">
        <v>6500</v>
      </c>
      <c r="F159" s="105" t="str">
        <f>IFERROR(IFERROR(VLOOKUP(D159,Кат!$I:$J,2,0),VLOOKUP(A159,Кат!$I:$J,2,0)),"")</f>
        <v>сергей проводка</v>
      </c>
      <c r="G159" s="105">
        <f>IFERROR(IFERROR(INDEX(Кат!$A:$A,MATCH(Прайс!D159,Кат!$I:$I,0)),INDEX(Кат!$A:$A,MATCH(A159,Кат!$I:$I,0))),"")</f>
        <v>144943</v>
      </c>
      <c r="H159" s="105">
        <f>IFERROR(IFERROR(INDEX(Кат!$B:$B,MATCH(Прайс!D159,Кат!$I:$I,0)),INDEX(Кат!$B:$B,MATCH(A159,Кат!$I:$I,0))),"")</f>
        <v>13423</v>
      </c>
      <c r="I159" s="2" t="str">
        <f t="shared" si="5"/>
        <v>"Нива"Жгут проводов под капот(передняя часть)ВАЗ 2121-3724008</v>
      </c>
    </row>
    <row r="160" spans="1:9" s="2" customFormat="1" ht="12.75" x14ac:dyDescent="0.2">
      <c r="A160" s="40" t="str">
        <f t="shared" si="4"/>
        <v>"Нива"Разъём предохранителя (на четыре шт.)ВАЗ 21214</v>
      </c>
      <c r="B160" s="83" t="s">
        <v>311</v>
      </c>
      <c r="C160" s="29" t="s">
        <v>316</v>
      </c>
      <c r="D160" s="26" t="s">
        <v>317</v>
      </c>
      <c r="E160" s="27">
        <v>450</v>
      </c>
      <c r="F160" s="105" t="str">
        <f>IFERROR(IFERROR(VLOOKUP(D160,Кат!$I:$J,2,0),VLOOKUP(A160,Кат!$I:$J,2,0)),"")</f>
        <v>сергей проводка</v>
      </c>
      <c r="G160" s="105">
        <f>IFERROR(IFERROR(INDEX(Кат!$A:$A,MATCH(Прайс!D160,Кат!$I:$I,0)),INDEX(Кат!$A:$A,MATCH(A160,Кат!$I:$I,0))),"")</f>
        <v>202564</v>
      </c>
      <c r="H160" s="105">
        <f>IFERROR(IFERROR(INDEX(Кат!$B:$B,MATCH(Прайс!D160,Кат!$I:$I,0)),INDEX(Кат!$B:$B,MATCH(A160,Кат!$I:$I,0))),"")</f>
        <v>13425</v>
      </c>
      <c r="I160" s="2" t="str">
        <f t="shared" si="5"/>
        <v>"Нива"Разъём предохранителя (на четыре шт.)ВАЗ 21214</v>
      </c>
    </row>
    <row r="161" spans="1:9" s="2" customFormat="1" ht="12.75" x14ac:dyDescent="0.2">
      <c r="A161" s="40" t="str">
        <f t="shared" si="4"/>
        <v>"Нива"Жгут проводов приборов фар и генератораВАЗ 21214"М"3724010-90</v>
      </c>
      <c r="B161" s="83" t="s">
        <v>311</v>
      </c>
      <c r="C161" s="26" t="s">
        <v>318</v>
      </c>
      <c r="D161" s="26" t="s">
        <v>175</v>
      </c>
      <c r="E161" s="27">
        <v>6000</v>
      </c>
      <c r="F161" s="105" t="str">
        <f>IFERROR(IFERROR(VLOOKUP(D161,Кат!$I:$J,2,0),VLOOKUP(A161,Кат!$I:$J,2,0)),"")</f>
        <v>сергей проводка</v>
      </c>
      <c r="G161" s="105">
        <f>IFERROR(IFERROR(INDEX(Кат!$A:$A,MATCH(Прайс!D161,Кат!$I:$I,0)),INDEX(Кат!$A:$A,MATCH(A161,Кат!$I:$I,0))),"")</f>
        <v>144986</v>
      </c>
      <c r="H161" s="105">
        <f>IFERROR(IFERROR(INDEX(Кат!$B:$B,MATCH(Прайс!D161,Кат!$I:$I,0)),INDEX(Кат!$B:$B,MATCH(A161,Кат!$I:$I,0))),"")</f>
        <v>13424</v>
      </c>
      <c r="I161" s="2" t="str">
        <f t="shared" si="5"/>
        <v>"Нива"Жгут проводов приборов фар и генератораВАЗ 21214"М"3724010-90</v>
      </c>
    </row>
    <row r="162" spans="1:9" s="2" customFormat="1" ht="12.75" x14ac:dyDescent="0.2">
      <c r="A162" s="40" t="str">
        <f t="shared" si="4"/>
        <v>"Нива"Жгут проводов панели приборовВАЗ 21214"М"3724030-70</v>
      </c>
      <c r="B162" s="83" t="s">
        <v>311</v>
      </c>
      <c r="C162" s="26" t="s">
        <v>283</v>
      </c>
      <c r="D162" s="26" t="s">
        <v>181</v>
      </c>
      <c r="E162" s="27">
        <v>7500</v>
      </c>
      <c r="F162" s="105" t="str">
        <f>IFERROR(IFERROR(VLOOKUP(D162,Кат!$I:$J,2,0),VLOOKUP(A162,Кат!$I:$J,2,0)),"")</f>
        <v>сергей проводка</v>
      </c>
      <c r="G162" s="105">
        <f>IFERROR(IFERROR(INDEX(Кат!$A:$A,MATCH(Прайс!D162,Кат!$I:$I,0)),INDEX(Кат!$A:$A,MATCH(A162,Кат!$I:$I,0))),"")</f>
        <v>144909</v>
      </c>
      <c r="H162" s="105">
        <f>IFERROR(IFERROR(INDEX(Кат!$B:$B,MATCH(Прайс!D162,Кат!$I:$I,0)),INDEX(Кат!$B:$B,MATCH(A162,Кат!$I:$I,0))),"")</f>
        <v>13434</v>
      </c>
      <c r="I162" s="2" t="str">
        <f t="shared" si="5"/>
        <v>"Нива"Жгут проводов панели приборовВАЗ 21214"М"3724030-70</v>
      </c>
    </row>
    <row r="163" spans="1:9" s="2" customFormat="1" ht="12.75" x14ac:dyDescent="0.2">
      <c r="A163" s="40" t="str">
        <f t="shared" si="4"/>
        <v>"Нива"Жгут высоковольтных проводовВАЗ 21214(Нива,классика)</v>
      </c>
      <c r="B163" s="83" t="s">
        <v>311</v>
      </c>
      <c r="C163" s="26" t="s">
        <v>319</v>
      </c>
      <c r="D163" s="26" t="s">
        <v>320</v>
      </c>
      <c r="E163" s="27">
        <v>650</v>
      </c>
      <c r="F163" s="105" t="str">
        <f>IFERROR(IFERROR(VLOOKUP(D163,Кат!$I:$J,2,0),VLOOKUP(A163,Кат!$I:$J,2,0)),"")</f>
        <v/>
      </c>
      <c r="G163" s="105" t="str">
        <f>IFERROR(IFERROR(INDEX(Кат!$A:$A,MATCH(Прайс!D163,Кат!$I:$I,0)),INDEX(Кат!$A:$A,MATCH(A163,Кат!$I:$I,0))),"")</f>
        <v/>
      </c>
      <c r="H163" s="105" t="str">
        <f>IFERROR(IFERROR(INDEX(Кат!$B:$B,MATCH(Прайс!D163,Кат!$I:$I,0)),INDEX(Кат!$B:$B,MATCH(A163,Кат!$I:$I,0))),"")</f>
        <v/>
      </c>
      <c r="I163" s="2" t="str">
        <f t="shared" si="5"/>
        <v>"Нива"Жгут высоковольтных проводовВАЗ 21214(Нива,классика)</v>
      </c>
    </row>
    <row r="164" spans="1:9" s="2" customFormat="1" ht="12.75" x14ac:dyDescent="0.2">
      <c r="A164" s="40" t="str">
        <f t="shared" si="4"/>
        <v>"Нива"Жгут проводов системы зажиганияВАЗ 21214-3724026-21</v>
      </c>
      <c r="B164" s="83" t="s">
        <v>311</v>
      </c>
      <c r="C164" s="26" t="s">
        <v>271</v>
      </c>
      <c r="D164" s="26" t="s">
        <v>176</v>
      </c>
      <c r="E164" s="27"/>
      <c r="F164" s="105" t="str">
        <f>IFERROR(IFERROR(VLOOKUP(D164,Кат!$I:$J,2,0),VLOOKUP(A164,Кат!$I:$J,2,0)),"")</f>
        <v>сергей проводка</v>
      </c>
      <c r="G164" s="105">
        <f>IFERROR(IFERROR(INDEX(Кат!$A:$A,MATCH(Прайс!D164,Кат!$I:$I,0)),INDEX(Кат!$A:$A,MATCH(A164,Кат!$I:$I,0))),"")</f>
        <v>144965</v>
      </c>
      <c r="H164" s="105">
        <f>IFERROR(IFERROR(INDEX(Кат!$B:$B,MATCH(Прайс!D164,Кат!$I:$I,0)),INDEX(Кат!$B:$B,MATCH(A164,Кат!$I:$I,0))),"")</f>
        <v>13426</v>
      </c>
      <c r="I164" s="2" t="str">
        <f t="shared" si="5"/>
        <v>"Нива"Жгут проводов системы зажиганияВАЗ 21214-3724026-21</v>
      </c>
    </row>
    <row r="165" spans="1:9" s="2" customFormat="1" ht="12.75" x14ac:dyDescent="0.2">
      <c r="A165" s="40" t="str">
        <f t="shared" si="4"/>
        <v>"Нива"Жгут проводов системы зажигания(с электронной педалью) газа)ВАЗ 21214-3724026-44</v>
      </c>
      <c r="B165" s="83" t="s">
        <v>311</v>
      </c>
      <c r="C165" s="26" t="s">
        <v>321</v>
      </c>
      <c r="D165" s="26" t="s">
        <v>7</v>
      </c>
      <c r="E165" s="27">
        <v>15000</v>
      </c>
      <c r="F165" s="105" t="str">
        <f>IFERROR(IFERROR(VLOOKUP(D165,Кат!$I:$J,2,0),VLOOKUP(A165,Кат!$I:$J,2,0)),"")</f>
        <v>сергей проводка</v>
      </c>
      <c r="G165" s="105">
        <f>IFERROR(IFERROR(INDEX(Кат!$A:$A,MATCH(Прайс!D165,Кат!$I:$I,0)),INDEX(Кат!$A:$A,MATCH(A165,Кат!$I:$I,0))),"")</f>
        <v>144966</v>
      </c>
      <c r="H165" s="105">
        <f>IFERROR(IFERROR(INDEX(Кат!$B:$B,MATCH(Прайс!D165,Кат!$I:$I,0)),INDEX(Кат!$B:$B,MATCH(A165,Кат!$I:$I,0))),"")</f>
        <v>13427</v>
      </c>
      <c r="I165" s="2" t="str">
        <f t="shared" si="5"/>
        <v>"Нива"Жгут проводов системы зажигания(с электронной педалью) газа)ВАЗ 21214-3724026-44</v>
      </c>
    </row>
    <row r="166" spans="1:9" s="2" customFormat="1" ht="12.75" x14ac:dyDescent="0.2">
      <c r="A166" s="40" t="str">
        <f t="shared" si="4"/>
        <v>"Нива"Жгут проводов системы зажиганияВАЗ 21214-3724026-60</v>
      </c>
      <c r="B166" s="83" t="s">
        <v>311</v>
      </c>
      <c r="C166" s="26" t="s">
        <v>271</v>
      </c>
      <c r="D166" s="26" t="s">
        <v>177</v>
      </c>
      <c r="E166" s="27">
        <v>0</v>
      </c>
      <c r="F166" s="105" t="str">
        <f>IFERROR(IFERROR(VLOOKUP(D166,Кат!$I:$J,2,0),VLOOKUP(A166,Кат!$I:$J,2,0)),"")</f>
        <v>сергей проводка</v>
      </c>
      <c r="G166" s="105">
        <f>IFERROR(IFERROR(INDEX(Кат!$A:$A,MATCH(Прайс!D166,Кат!$I:$I,0)),INDEX(Кат!$A:$A,MATCH(A166,Кат!$I:$I,0))),"")</f>
        <v>144967</v>
      </c>
      <c r="H166" s="105">
        <f>IFERROR(IFERROR(INDEX(Кат!$B:$B,MATCH(Прайс!D166,Кат!$I:$I,0)),INDEX(Кат!$B:$B,MATCH(A166,Кат!$I:$I,0))),"")</f>
        <v>13428</v>
      </c>
      <c r="I166" s="2" t="str">
        <f t="shared" si="5"/>
        <v>"Нива"Жгут проводов системы зажиганияВАЗ 21214-3724026-60</v>
      </c>
    </row>
    <row r="167" spans="1:9" s="2" customFormat="1" ht="12.75" x14ac:dyDescent="0.2">
      <c r="A167" s="40" t="str">
        <f t="shared" si="4"/>
        <v>"Нива"Жгут проводов системы зажиганияВАЗ 21214-3724026-61</v>
      </c>
      <c r="B167" s="83" t="s">
        <v>311</v>
      </c>
      <c r="C167" s="26" t="s">
        <v>271</v>
      </c>
      <c r="D167" s="26" t="s">
        <v>97</v>
      </c>
      <c r="E167" s="27">
        <v>14000</v>
      </c>
      <c r="F167" s="105" t="str">
        <f>IFERROR(IFERROR(VLOOKUP(D167,Кат!$I:$J,2,0),VLOOKUP(A167,Кат!$I:$J,2,0)),"")</f>
        <v>сергей проводка</v>
      </c>
      <c r="G167" s="105">
        <f>IFERROR(IFERROR(INDEX(Кат!$A:$A,MATCH(Прайс!D167,Кат!$I:$I,0)),INDEX(Кат!$A:$A,MATCH(A167,Кат!$I:$I,0))),"")</f>
        <v>144884</v>
      </c>
      <c r="H167" s="105">
        <f>IFERROR(IFERROR(INDEX(Кат!$B:$B,MATCH(Прайс!D167,Кат!$I:$I,0)),INDEX(Кат!$B:$B,MATCH(A167,Кат!$I:$I,0))),"")</f>
        <v>4002</v>
      </c>
      <c r="I167" s="2" t="str">
        <f t="shared" si="5"/>
        <v>"Нива"Жгут проводов системы зажиганияВАЗ 21214-3724026-61</v>
      </c>
    </row>
    <row r="168" spans="1:9" s="2" customFormat="1" ht="12.75" x14ac:dyDescent="0.2">
      <c r="A168" s="40" t="str">
        <f t="shared" si="4"/>
        <v>"Нива"Жгут проводов системы зажиганияВАЗ 21214-3724026-80</v>
      </c>
      <c r="B168" s="83" t="s">
        <v>311</v>
      </c>
      <c r="C168" s="26" t="s">
        <v>271</v>
      </c>
      <c r="D168" s="26" t="s">
        <v>8</v>
      </c>
      <c r="E168" s="27">
        <v>14000</v>
      </c>
      <c r="F168" s="105" t="str">
        <f>IFERROR(IFERROR(VLOOKUP(D168,Кат!$I:$J,2,0),VLOOKUP(A168,Кат!$I:$J,2,0)),"")</f>
        <v>сергей проводка</v>
      </c>
      <c r="G168" s="105">
        <f>IFERROR(IFERROR(INDEX(Кат!$A:$A,MATCH(Прайс!D168,Кат!$I:$I,0)),INDEX(Кат!$A:$A,MATCH(A168,Кат!$I:$I,0))),"")</f>
        <v>144885</v>
      </c>
      <c r="H168" s="105">
        <f>IFERROR(IFERROR(INDEX(Кат!$B:$B,MATCH(Прайс!D168,Кат!$I:$I,0)),INDEX(Кат!$B:$B,MATCH(A168,Кат!$I:$I,0))),"")</f>
        <v>4003</v>
      </c>
      <c r="I168" s="2" t="str">
        <f t="shared" si="5"/>
        <v>"Нива"Жгут проводов системы зажиганияВАЗ 21214-3724026-80</v>
      </c>
    </row>
    <row r="169" spans="1:9" s="2" customFormat="1" ht="12.75" x14ac:dyDescent="0.2">
      <c r="A169" s="40" t="str">
        <f t="shared" si="4"/>
        <v>"Нива"Жгут  проводов системы зажиганияВАЗ 21214-3724026-86</v>
      </c>
      <c r="B169" s="83" t="s">
        <v>311</v>
      </c>
      <c r="C169" s="26" t="s">
        <v>303</v>
      </c>
      <c r="D169" s="26" t="s">
        <v>178</v>
      </c>
      <c r="E169" s="27">
        <v>14000</v>
      </c>
      <c r="F169" s="105" t="str">
        <f>IFERROR(IFERROR(VLOOKUP(D169,Кат!$I:$J,2,0),VLOOKUP(A169,Кат!$I:$J,2,0)),"")</f>
        <v>сергей проводка</v>
      </c>
      <c r="G169" s="105">
        <f>IFERROR(IFERROR(INDEX(Кат!$A:$A,MATCH(Прайс!D169,Кат!$I:$I,0)),INDEX(Кат!$A:$A,MATCH(A169,Кат!$I:$I,0))),"")</f>
        <v>144968</v>
      </c>
      <c r="H169" s="105">
        <f>IFERROR(IFERROR(INDEX(Кат!$B:$B,MATCH(Прайс!D169,Кат!$I:$I,0)),INDEX(Кат!$B:$B,MATCH(A169,Кат!$I:$I,0))),"")</f>
        <v>13429</v>
      </c>
      <c r="I169" s="2" t="str">
        <f t="shared" si="5"/>
        <v>"Нива"Жгут  проводов системы зажиганияВАЗ 21214-3724026-86</v>
      </c>
    </row>
    <row r="170" spans="1:9" s="2" customFormat="1" ht="12.75" x14ac:dyDescent="0.2">
      <c r="A170" s="40" t="str">
        <f t="shared" si="4"/>
        <v>"Нива"Жгут проводов системы зажиганияВАЗ 21214-3724026-97</v>
      </c>
      <c r="B170" s="83" t="s">
        <v>311</v>
      </c>
      <c r="C170" s="26" t="s">
        <v>271</v>
      </c>
      <c r="D170" s="26" t="s">
        <v>98</v>
      </c>
      <c r="E170" s="27">
        <v>14000</v>
      </c>
      <c r="F170" s="105" t="str">
        <f>IFERROR(IFERROR(VLOOKUP(D170,Кат!$I:$J,2,0),VLOOKUP(A170,Кат!$I:$J,2,0)),"")</f>
        <v>сергей проводка</v>
      </c>
      <c r="G170" s="105">
        <f>IFERROR(IFERROR(INDEX(Кат!$A:$A,MATCH(Прайс!D170,Кат!$I:$I,0)),INDEX(Кат!$A:$A,MATCH(A170,Кат!$I:$I,0))),"")</f>
        <v>144886</v>
      </c>
      <c r="H170" s="105">
        <f>IFERROR(IFERROR(INDEX(Кат!$B:$B,MATCH(Прайс!D170,Кат!$I:$I,0)),INDEX(Кат!$B:$B,MATCH(A170,Кат!$I:$I,0))),"")</f>
        <v>4004</v>
      </c>
      <c r="I170" s="2" t="str">
        <f t="shared" si="5"/>
        <v>"Нива"Жгут проводов системы зажиганияВАЗ 21214-3724026-97</v>
      </c>
    </row>
    <row r="171" spans="1:9" s="2" customFormat="1" ht="12.75" x14ac:dyDescent="0.2">
      <c r="A171" s="40" t="str">
        <f t="shared" si="4"/>
        <v>"Нива"Жгут проводов форсунокВАЗ 21214-3724036</v>
      </c>
      <c r="B171" s="83" t="s">
        <v>311</v>
      </c>
      <c r="C171" s="26" t="s">
        <v>277</v>
      </c>
      <c r="D171" s="26" t="s">
        <v>83</v>
      </c>
      <c r="E171" s="27">
        <v>450</v>
      </c>
      <c r="F171" s="105" t="str">
        <f>IFERROR(IFERROR(VLOOKUP(D171,Кат!$I:$J,2,0),VLOOKUP(A171,Кат!$I:$J,2,0)),"")</f>
        <v>сергей проводка</v>
      </c>
      <c r="G171" s="105">
        <f>IFERROR(IFERROR(INDEX(Кат!$A:$A,MATCH(Прайс!D171,Кат!$I:$I,0)),INDEX(Кат!$A:$A,MATCH(A171,Кат!$I:$I,0))),"")</f>
        <v>145007</v>
      </c>
      <c r="H171" s="105">
        <f>IFERROR(IFERROR(INDEX(Кат!$B:$B,MATCH(Прайс!D171,Кат!$I:$I,0)),INDEX(Кат!$B:$B,MATCH(A171,Кат!$I:$I,0))),"")</f>
        <v>13436</v>
      </c>
      <c r="I171" s="2" t="str">
        <f t="shared" si="5"/>
        <v>"Нива"Жгут проводов форсунокВАЗ 21214-3724036</v>
      </c>
    </row>
    <row r="172" spans="1:9" s="2" customFormat="1" ht="12.75" x14ac:dyDescent="0.2">
      <c r="A172" s="40" t="str">
        <f t="shared" si="4"/>
        <v>"Нива"Жгут проводов заднийВАЗ 21214-3724210</v>
      </c>
      <c r="B172" s="83" t="s">
        <v>311</v>
      </c>
      <c r="C172" s="26" t="s">
        <v>200</v>
      </c>
      <c r="D172" s="26" t="s">
        <v>179</v>
      </c>
      <c r="E172" s="27">
        <v>3500</v>
      </c>
      <c r="F172" s="105" t="str">
        <f>IFERROR(IFERROR(VLOOKUP(D172,Кат!$I:$J,2,0),VLOOKUP(A172,Кат!$I:$J,2,0)),"")</f>
        <v>сергей проводка</v>
      </c>
      <c r="G172" s="105">
        <f>IFERROR(IFERROR(INDEX(Кат!$A:$A,MATCH(Прайс!D172,Кат!$I:$I,0)),INDEX(Кат!$A:$A,MATCH(A172,Кат!$I:$I,0))),"")</f>
        <v>144852</v>
      </c>
      <c r="H172" s="105">
        <f>IFERROR(IFERROR(INDEX(Кат!$B:$B,MATCH(Прайс!D172,Кат!$I:$I,0)),INDEX(Кат!$B:$B,MATCH(A172,Кат!$I:$I,0))),"")</f>
        <v>13430</v>
      </c>
      <c r="I172" s="2" t="str">
        <f t="shared" si="5"/>
        <v>"Нива"Жгут проводов заднийВАЗ 21214-3724210</v>
      </c>
    </row>
    <row r="173" spans="1:9" s="2" customFormat="1" ht="12.75" x14ac:dyDescent="0.2">
      <c r="A173" s="40" t="str">
        <f t="shared" si="4"/>
        <v>"Нива"Жгут проводов заднийВАЗ 2131-3724210</v>
      </c>
      <c r="B173" s="83" t="s">
        <v>311</v>
      </c>
      <c r="C173" s="26" t="s">
        <v>200</v>
      </c>
      <c r="D173" s="26" t="s">
        <v>180</v>
      </c>
      <c r="E173" s="27">
        <v>3500</v>
      </c>
      <c r="F173" s="105" t="str">
        <f>IFERROR(IFERROR(VLOOKUP(D173,Кат!$I:$J,2,0),VLOOKUP(A173,Кат!$I:$J,2,0)),"")</f>
        <v>сергей проводка</v>
      </c>
      <c r="G173" s="105">
        <f>IFERROR(IFERROR(INDEX(Кат!$A:$A,MATCH(Прайс!D173,Кат!$I:$I,0)),INDEX(Кат!$A:$A,MATCH(A173,Кат!$I:$I,0))),"")</f>
        <v>144854</v>
      </c>
      <c r="H173" s="105">
        <f>IFERROR(IFERROR(INDEX(Кат!$B:$B,MATCH(Прайс!D173,Кат!$I:$I,0)),INDEX(Кат!$B:$B,MATCH(A173,Кат!$I:$I,0))),"")</f>
        <v>13431</v>
      </c>
      <c r="I173" s="2" t="str">
        <f t="shared" si="5"/>
        <v>"Нива"Жгут проводов заднийВАЗ 2131-3724210</v>
      </c>
    </row>
    <row r="174" spans="1:9" s="2" customFormat="1" ht="12.75" x14ac:dyDescent="0.2">
      <c r="A174" s="40" t="str">
        <f t="shared" si="4"/>
        <v>"Урбан"Жгут проводов заднийВАЗ 2131-3724210-А-1</v>
      </c>
      <c r="B174" s="83" t="s">
        <v>322</v>
      </c>
      <c r="C174" s="26" t="s">
        <v>200</v>
      </c>
      <c r="D174" s="26" t="s">
        <v>323</v>
      </c>
      <c r="E174" s="27">
        <v>6000</v>
      </c>
      <c r="F174" s="105" t="str">
        <f>IFERROR(IFERROR(VLOOKUP(D174,Кат!$I:$J,2,0),VLOOKUP(A174,Кат!$I:$J,2,0)),"")</f>
        <v>сергей проводка</v>
      </c>
      <c r="G174" s="105">
        <f>IFERROR(IFERROR(INDEX(Кат!$A:$A,MATCH(Прайс!D174,Кат!$I:$I,0)),INDEX(Кат!$A:$A,MATCH(A174,Кат!$I:$I,0))),"")</f>
        <v>426738</v>
      </c>
      <c r="H174" s="105">
        <f>IFERROR(IFERROR(INDEX(Кат!$B:$B,MATCH(Прайс!D174,Кат!$I:$I,0)),INDEX(Кат!$B:$B,MATCH(A174,Кат!$I:$I,0))),"")</f>
        <v>426738</v>
      </c>
      <c r="I174" s="2" t="str">
        <f t="shared" si="5"/>
        <v>"Урбан"Жгут проводов заднийВАЗ 2131-3724210-А-1</v>
      </c>
    </row>
    <row r="175" spans="1:9" s="2" customFormat="1" ht="12.75" x14ac:dyDescent="0.2">
      <c r="A175" s="40" t="str">
        <f t="shared" si="4"/>
        <v>"Урбан"Жгут проводов системы зажиганияВАЗ 21214-3724026-А-1</v>
      </c>
      <c r="B175" s="83" t="s">
        <v>322</v>
      </c>
      <c r="C175" s="26" t="s">
        <v>271</v>
      </c>
      <c r="D175" s="26" t="s">
        <v>324</v>
      </c>
      <c r="E175" s="27">
        <v>0</v>
      </c>
      <c r="F175" s="105" t="str">
        <f>IFERROR(IFERROR(VLOOKUP(D175,Кат!$I:$J,2,0),VLOOKUP(A175,Кат!$I:$J,2,0)),"")</f>
        <v/>
      </c>
      <c r="G175" s="105" t="str">
        <f>IFERROR(IFERROR(INDEX(Кат!$A:$A,MATCH(Прайс!D175,Кат!$I:$I,0)),INDEX(Кат!$A:$A,MATCH(A175,Кат!$I:$I,0))),"")</f>
        <v/>
      </c>
      <c r="H175" s="105" t="str">
        <f>IFERROR(IFERROR(INDEX(Кат!$B:$B,MATCH(Прайс!D175,Кат!$I:$I,0)),INDEX(Кат!$B:$B,MATCH(A175,Кат!$I:$I,0))),"")</f>
        <v/>
      </c>
      <c r="I175" s="2" t="str">
        <f t="shared" si="5"/>
        <v>"Урбан"Жгут проводов системы зажиганияВАЗ 21214-3724026-А-1</v>
      </c>
    </row>
    <row r="176" spans="1:9" s="2" customFormat="1" ht="12.75" x14ac:dyDescent="0.2">
      <c r="A176" s="40" t="str">
        <f t="shared" si="4"/>
        <v>"Урбан"Жгут проводов системы зажиганияВАЗ 21214-3724026-А-2</v>
      </c>
      <c r="B176" s="83" t="s">
        <v>322</v>
      </c>
      <c r="C176" s="26" t="s">
        <v>271</v>
      </c>
      <c r="D176" s="26" t="s">
        <v>325</v>
      </c>
      <c r="E176" s="27">
        <v>0</v>
      </c>
      <c r="F176" s="105" t="str">
        <f>IFERROR(IFERROR(VLOOKUP(D176,Кат!$I:$J,2,0),VLOOKUP(A176,Кат!$I:$J,2,0)),"")</f>
        <v>сергей проводка</v>
      </c>
      <c r="G176" s="105">
        <f>IFERROR(IFERROR(INDEX(Кат!$A:$A,MATCH(Прайс!D176,Кат!$I:$I,0)),INDEX(Кат!$A:$A,MATCH(A176,Кат!$I:$I,0))),"")</f>
        <v>144975</v>
      </c>
      <c r="H176" s="105">
        <f>IFERROR(IFERROR(INDEX(Кат!$B:$B,MATCH(Прайс!D176,Кат!$I:$I,0)),INDEX(Кат!$B:$B,MATCH(A176,Кат!$I:$I,0))),"")</f>
        <v>34254</v>
      </c>
      <c r="I176" s="2" t="str">
        <f t="shared" si="5"/>
        <v>"Урбан"Жгут проводов системы зажиганияВАЗ 21214-3724026-А-2</v>
      </c>
    </row>
    <row r="177" spans="1:9" s="2" customFormat="1" ht="12.75" x14ac:dyDescent="0.2">
      <c r="A177" s="40" t="str">
        <f t="shared" si="4"/>
        <v>"Урбан"Жгут проводов системы зажиганияВАЗ 21214-3724026-А-3</v>
      </c>
      <c r="B177" s="83" t="s">
        <v>322</v>
      </c>
      <c r="C177" s="26" t="s">
        <v>271</v>
      </c>
      <c r="D177" s="26" t="s">
        <v>326</v>
      </c>
      <c r="E177" s="27">
        <v>0</v>
      </c>
      <c r="F177" s="105" t="str">
        <f>IFERROR(IFERROR(VLOOKUP(D177,Кат!$I:$J,2,0),VLOOKUP(A177,Кат!$I:$J,2,0)),"")</f>
        <v/>
      </c>
      <c r="G177" s="105" t="str">
        <f>IFERROR(IFERROR(INDEX(Кат!$A:$A,MATCH(Прайс!D177,Кат!$I:$I,0)),INDEX(Кат!$A:$A,MATCH(A177,Кат!$I:$I,0))),"")</f>
        <v/>
      </c>
      <c r="H177" s="105" t="str">
        <f>IFERROR(IFERROR(INDEX(Кат!$B:$B,MATCH(Прайс!D177,Кат!$I:$I,0)),INDEX(Кат!$B:$B,MATCH(A177,Кат!$I:$I,0))),"")</f>
        <v/>
      </c>
      <c r="I177" s="2" t="str">
        <f t="shared" si="5"/>
        <v>"Урбан"Жгут проводов системы зажиганияВАЗ 21214-3724026-А-3</v>
      </c>
    </row>
    <row r="178" spans="1:9" s="2" customFormat="1" ht="12.75" x14ac:dyDescent="0.2">
      <c r="A178" s="40" t="str">
        <f t="shared" si="4"/>
        <v>"Нива"Жгут проводов габаритов и ходовых огней за штукуВАЗ 21214</v>
      </c>
      <c r="B178" s="83" t="s">
        <v>311</v>
      </c>
      <c r="C178" s="26" t="s">
        <v>851</v>
      </c>
      <c r="D178" s="26" t="s">
        <v>317</v>
      </c>
      <c r="E178" s="27">
        <v>400</v>
      </c>
      <c r="F178" s="105" t="str">
        <f>IFERROR(IFERROR(VLOOKUP(D178,Кат!$I:$J,2,0),VLOOKUP(A178,Кат!$I:$J,2,0)),"")</f>
        <v>сергей проводка</v>
      </c>
      <c r="G178" s="105">
        <f>IFERROR(IFERROR(INDEX(Кат!$A:$A,MATCH(Прайс!D178,Кат!$I:$I,0)),INDEX(Кат!$A:$A,MATCH(A178,Кат!$I:$I,0))),"")</f>
        <v>144828</v>
      </c>
      <c r="H178" s="105">
        <f>IFERROR(IFERROR(INDEX(Кат!$B:$B,MATCH(Прайс!D178,Кат!$I:$I,0)),INDEX(Кат!$B:$B,MATCH(A178,Кат!$I:$I,0))),"")</f>
        <v>13432</v>
      </c>
      <c r="I178" s="2" t="str">
        <f t="shared" si="5"/>
        <v>"Нива"Жгут проводов габаритов и ходовых огней за штукуВАЗ 21214</v>
      </c>
    </row>
    <row r="179" spans="1:9" s="2" customFormat="1" ht="12.75" x14ac:dyDescent="0.2">
      <c r="A179" s="40" t="str">
        <f t="shared" si="4"/>
        <v>"Шевроле-Нива"Жгут  проводов фар и генератора с ABSВАЗ 2123-3724010-58</v>
      </c>
      <c r="B179" s="83" t="s">
        <v>327</v>
      </c>
      <c r="C179" s="26" t="s">
        <v>328</v>
      </c>
      <c r="D179" s="26" t="s">
        <v>159</v>
      </c>
      <c r="E179" s="27">
        <v>0</v>
      </c>
      <c r="F179" s="105" t="str">
        <f>IFERROR(IFERROR(VLOOKUP(D179,Кат!$I:$J,2,0),VLOOKUP(A179,Кат!$I:$J,2,0)),"")</f>
        <v>сергей проводка</v>
      </c>
      <c r="G179" s="105">
        <f>IFERROR(IFERROR(INDEX(Кат!$A:$A,MATCH(Прайс!D179,Кат!$I:$I,0)),INDEX(Кат!$A:$A,MATCH(A179,Кат!$I:$I,0))),"")</f>
        <v>144989</v>
      </c>
      <c r="H179" s="105">
        <f>IFERROR(IFERROR(INDEX(Кат!$B:$B,MATCH(Прайс!D179,Кат!$I:$I,0)),INDEX(Кат!$B:$B,MATCH(A179,Кат!$I:$I,0))),"")</f>
        <v>13394</v>
      </c>
      <c r="I179" s="2" t="str">
        <f t="shared" si="5"/>
        <v>"Шевроле-Нива"Жгут  проводов фар и генератора с ABSВАЗ 2123-3724010-58</v>
      </c>
    </row>
    <row r="180" spans="1:9" s="2" customFormat="1" ht="12.75" x14ac:dyDescent="0.2">
      <c r="A180" s="40" t="str">
        <f t="shared" si="4"/>
        <v>"Шевроле-Нива"Жгут высоковольтных проводовВАЗ 2123</v>
      </c>
      <c r="B180" s="83" t="s">
        <v>327</v>
      </c>
      <c r="C180" s="26" t="s">
        <v>319</v>
      </c>
      <c r="D180" s="26" t="s">
        <v>329</v>
      </c>
      <c r="E180" s="27">
        <v>650</v>
      </c>
      <c r="F180" s="105" t="str">
        <f>IFERROR(IFERROR(VLOOKUP(D180,Кат!$I:$J,2,0),VLOOKUP(A180,Кат!$I:$J,2,0)),"")</f>
        <v/>
      </c>
      <c r="G180" s="105" t="str">
        <f>IFERROR(IFERROR(INDEX(Кат!$A:$A,MATCH(Прайс!D180,Кат!$I:$I,0)),INDEX(Кат!$A:$A,MATCH(A180,Кат!$I:$I,0))),"")</f>
        <v/>
      </c>
      <c r="H180" s="105" t="str">
        <f>IFERROR(IFERROR(INDEX(Кат!$B:$B,MATCH(Прайс!D180,Кат!$I:$I,0)),INDEX(Кат!$B:$B,MATCH(A180,Кат!$I:$I,0))),"")</f>
        <v/>
      </c>
      <c r="I180" s="2" t="str">
        <f t="shared" si="5"/>
        <v>"Шевроле-Нива"Жгут высоковольтных проводовВАЗ 2123</v>
      </c>
    </row>
    <row r="181" spans="1:9" s="2" customFormat="1" ht="12.75" x14ac:dyDescent="0.2">
      <c r="A181" s="40" t="str">
        <f t="shared" si="4"/>
        <v>"Шевроле-Нива"Жгут проводов заднийВАЗ 2123-3724210</v>
      </c>
      <c r="B181" s="83" t="s">
        <v>327</v>
      </c>
      <c r="C181" s="26" t="s">
        <v>200</v>
      </c>
      <c r="D181" s="26" t="s">
        <v>160</v>
      </c>
      <c r="E181" s="27">
        <v>6000</v>
      </c>
      <c r="F181" s="105" t="str">
        <f>IFERROR(IFERROR(VLOOKUP(D181,Кат!$I:$J,2,0),VLOOKUP(A181,Кат!$I:$J,2,0)),"")</f>
        <v>сергей проводка</v>
      </c>
      <c r="G181" s="105">
        <f>IFERROR(IFERROR(INDEX(Кат!$A:$A,MATCH(Прайс!D181,Кат!$I:$I,0)),INDEX(Кат!$A:$A,MATCH(A181,Кат!$I:$I,0))),"")</f>
        <v>144853</v>
      </c>
      <c r="H181" s="105">
        <f>IFERROR(IFERROR(INDEX(Кат!$B:$B,MATCH(Прайс!D181,Кат!$I:$I,0)),INDEX(Кат!$B:$B,MATCH(A181,Кат!$I:$I,0))),"")</f>
        <v>13395</v>
      </c>
      <c r="I181" s="2" t="str">
        <f t="shared" si="5"/>
        <v>"Шевроле-Нива"Жгут проводов заднийВАЗ 2123-3724210</v>
      </c>
    </row>
    <row r="182" spans="1:9" s="2" customFormat="1" ht="12.75" x14ac:dyDescent="0.2">
      <c r="A182" s="40" t="str">
        <f t="shared" si="4"/>
        <v>"Шевроле-Нива"Жгут проводов крышки багажникаВАЗ 2123-3724558</v>
      </c>
      <c r="B182" s="83" t="s">
        <v>327</v>
      </c>
      <c r="C182" s="26" t="s">
        <v>330</v>
      </c>
      <c r="D182" s="26" t="s">
        <v>161</v>
      </c>
      <c r="E182" s="27">
        <v>0</v>
      </c>
      <c r="F182" s="105" t="str">
        <f>IFERROR(IFERROR(VLOOKUP(D182,Кат!$I:$J,2,0),VLOOKUP(A182,Кат!$I:$J,2,0)),"")</f>
        <v>сергей проводка</v>
      </c>
      <c r="G182" s="105">
        <f>IFERROR(IFERROR(INDEX(Кат!$A:$A,MATCH(Прайс!D182,Кат!$I:$I,0)),INDEX(Кат!$A:$A,MATCH(A182,Кат!$I:$I,0))),"")</f>
        <v>144896</v>
      </c>
      <c r="H182" s="105">
        <f>IFERROR(IFERROR(INDEX(Кат!$B:$B,MATCH(Прайс!D182,Кат!$I:$I,0)),INDEX(Кат!$B:$B,MATCH(A182,Кат!$I:$I,0))),"")</f>
        <v>13406</v>
      </c>
      <c r="I182" s="2" t="str">
        <f t="shared" si="5"/>
        <v>"Шевроле-Нива"Жгут проводов крышки багажникаВАЗ 2123-3724558</v>
      </c>
    </row>
    <row r="183" spans="1:9" s="2" customFormat="1" ht="12.75" x14ac:dyDescent="0.2">
      <c r="A183" s="40" t="str">
        <f t="shared" si="4"/>
        <v>"Шевроле-Нива"Жгут проводов панели приборовВАЗ 2123-3724030-20</v>
      </c>
      <c r="B183" s="83" t="s">
        <v>327</v>
      </c>
      <c r="C183" s="26" t="s">
        <v>283</v>
      </c>
      <c r="D183" s="26" t="s">
        <v>162</v>
      </c>
      <c r="E183" s="27">
        <v>7000</v>
      </c>
      <c r="F183" s="105" t="str">
        <f>IFERROR(IFERROR(VLOOKUP(D183,Кат!$I:$J,2,0),VLOOKUP(A183,Кат!$I:$J,2,0)),"")</f>
        <v>сергей проводка</v>
      </c>
      <c r="G183" s="105">
        <f>IFERROR(IFERROR(INDEX(Кат!$A:$A,MATCH(Прайс!D183,Кат!$I:$I,0)),INDEX(Кат!$A:$A,MATCH(A183,Кат!$I:$I,0))),"")</f>
        <v>144910</v>
      </c>
      <c r="H183" s="105">
        <f>IFERROR(IFERROR(INDEX(Кат!$B:$B,MATCH(Прайс!D183,Кат!$I:$I,0)),INDEX(Кат!$B:$B,MATCH(A183,Кат!$I:$I,0))),"")</f>
        <v>13407</v>
      </c>
      <c r="I183" s="2" t="str">
        <f t="shared" si="5"/>
        <v>"Шевроле-Нива"Жгут проводов панели приборовВАЗ 2123-3724030-20</v>
      </c>
    </row>
    <row r="184" spans="1:9" s="2" customFormat="1" ht="12.75" x14ac:dyDescent="0.2">
      <c r="A184" s="40" t="str">
        <f t="shared" si="4"/>
        <v>"Шевроле-Нива"Жгут проводов системы зажиганияВАЗ 2123-3724026-30</v>
      </c>
      <c r="B184" s="83" t="s">
        <v>327</v>
      </c>
      <c r="C184" s="26" t="s">
        <v>271</v>
      </c>
      <c r="D184" s="26" t="s">
        <v>6</v>
      </c>
      <c r="E184" s="27">
        <v>15000</v>
      </c>
      <c r="F184" s="105" t="str">
        <f>IFERROR(IFERROR(VLOOKUP(D184,Кат!$I:$J,2,0),VLOOKUP(A184,Кат!$I:$J,2,0)),"")</f>
        <v>сергей проводка</v>
      </c>
      <c r="G184" s="105">
        <f>IFERROR(IFERROR(INDEX(Кат!$A:$A,MATCH(Прайс!D184,Кат!$I:$I,0)),INDEX(Кат!$A:$A,MATCH(A184,Кат!$I:$I,0))),"")</f>
        <v>144969</v>
      </c>
      <c r="H184" s="105">
        <f>IFERROR(IFERROR(INDEX(Кат!$B:$B,MATCH(Прайс!D184,Кат!$I:$I,0)),INDEX(Кат!$B:$B,MATCH(A184,Кат!$I:$I,0))),"")</f>
        <v>13408</v>
      </c>
      <c r="I184" s="2" t="str">
        <f t="shared" si="5"/>
        <v>"Шевроле-Нива"Жгут проводов системы зажиганияВАЗ 2123-3724026-30</v>
      </c>
    </row>
    <row r="185" spans="1:9" s="2" customFormat="1" ht="12.75" x14ac:dyDescent="0.2">
      <c r="A185" s="40" t="str">
        <f t="shared" si="4"/>
        <v>"Шевроле-Нива"Жгут проводов системы зажиганияВАЗ 2123-3724026-60</v>
      </c>
      <c r="B185" s="83" t="s">
        <v>327</v>
      </c>
      <c r="C185" s="26" t="s">
        <v>271</v>
      </c>
      <c r="D185" s="26" t="s">
        <v>163</v>
      </c>
      <c r="E185" s="27">
        <v>15000</v>
      </c>
      <c r="F185" s="105" t="str">
        <f>IFERROR(IFERROR(VLOOKUP(D185,Кат!$I:$J,2,0),VLOOKUP(A185,Кат!$I:$J,2,0)),"")</f>
        <v>сергей проводка</v>
      </c>
      <c r="G185" s="105">
        <f>IFERROR(IFERROR(INDEX(Кат!$A:$A,MATCH(Прайс!D185,Кат!$I:$I,0)),INDEX(Кат!$A:$A,MATCH(A185,Кат!$I:$I,0))),"")</f>
        <v>144970</v>
      </c>
      <c r="H185" s="105">
        <f>IFERROR(IFERROR(INDEX(Кат!$B:$B,MATCH(Прайс!D185,Кат!$I:$I,0)),INDEX(Кат!$B:$B,MATCH(A185,Кат!$I:$I,0))),"")</f>
        <v>13409</v>
      </c>
      <c r="I185" s="2" t="str">
        <f t="shared" si="5"/>
        <v>"Шевроле-Нива"Жгут проводов системы зажиганияВАЗ 2123-3724026-60</v>
      </c>
    </row>
    <row r="186" spans="1:9" s="2" customFormat="1" ht="12.75" x14ac:dyDescent="0.2">
      <c r="A186" s="40" t="str">
        <f t="shared" si="4"/>
        <v>"Шевроле-Нива"Жгут проводов системы зажиганияВАЗ 2123-3724026-90</v>
      </c>
      <c r="B186" s="83" t="s">
        <v>327</v>
      </c>
      <c r="C186" s="26" t="s">
        <v>271</v>
      </c>
      <c r="D186" s="26" t="s">
        <v>164</v>
      </c>
      <c r="E186" s="27">
        <v>15000</v>
      </c>
      <c r="F186" s="105" t="str">
        <f>IFERROR(IFERROR(VLOOKUP(D186,Кат!$I:$J,2,0),VLOOKUP(A186,Кат!$I:$J,2,0)),"")</f>
        <v>сергей проводка</v>
      </c>
      <c r="G186" s="105">
        <f>IFERROR(IFERROR(INDEX(Кат!$A:$A,MATCH(Прайс!D186,Кат!$I:$I,0)),INDEX(Кат!$A:$A,MATCH(A186,Кат!$I:$I,0))),"")</f>
        <v>144971</v>
      </c>
      <c r="H186" s="105">
        <f>IFERROR(IFERROR(INDEX(Кат!$B:$B,MATCH(Прайс!D186,Кат!$I:$I,0)),INDEX(Кат!$B:$B,MATCH(A186,Кат!$I:$I,0))),"")</f>
        <v>13410</v>
      </c>
      <c r="I186" s="2" t="str">
        <f t="shared" si="5"/>
        <v>"Шевроле-Нива"Жгут проводов системы зажиганияВАЗ 2123-3724026-90</v>
      </c>
    </row>
    <row r="187" spans="1:9" s="2" customFormat="1" ht="12.75" x14ac:dyDescent="0.2">
      <c r="A187" s="40" t="str">
        <f t="shared" si="4"/>
        <v>"Шевроле-Нива"Жгут проводов системы зажиганияВАЗ 2123-3724026-80</v>
      </c>
      <c r="B187" s="83" t="s">
        <v>327</v>
      </c>
      <c r="C187" s="26" t="s">
        <v>271</v>
      </c>
      <c r="D187" s="26" t="s">
        <v>4</v>
      </c>
      <c r="E187" s="27">
        <v>15000</v>
      </c>
      <c r="F187" s="105" t="str">
        <f>IFERROR(IFERROR(VLOOKUP(D187,Кат!$I:$J,2,0),VLOOKUP(A187,Кат!$I:$J,2,0)),"")</f>
        <v>сергей проводка</v>
      </c>
      <c r="G187" s="105">
        <f>IFERROR(IFERROR(INDEX(Кат!$A:$A,MATCH(Прайс!D187,Кат!$I:$I,0)),INDEX(Кат!$A:$A,MATCH(A187,Кат!$I:$I,0))),"")</f>
        <v>144888</v>
      </c>
      <c r="H187" s="105">
        <f>IFERROR(IFERROR(INDEX(Кат!$B:$B,MATCH(Прайс!D187,Кат!$I:$I,0)),INDEX(Кат!$B:$B,MATCH(A187,Кат!$I:$I,0))),"")</f>
        <v>4008</v>
      </c>
      <c r="I187" s="2" t="str">
        <f t="shared" si="5"/>
        <v>"Шевроле-Нива"Жгут проводов системы зажиганияВАЗ 2123-3724026-80</v>
      </c>
    </row>
    <row r="188" spans="1:9" s="2" customFormat="1" ht="12.75" x14ac:dyDescent="0.2">
      <c r="A188" s="40" t="str">
        <f t="shared" si="4"/>
        <v>"Шевроле-Нива"Жгут проводов системы зажиганияВАЗ 2123-3724026-62</v>
      </c>
      <c r="B188" s="83" t="s">
        <v>327</v>
      </c>
      <c r="C188" s="26" t="s">
        <v>271</v>
      </c>
      <c r="D188" s="26" t="s">
        <v>101</v>
      </c>
      <c r="E188" s="27">
        <v>14000</v>
      </c>
      <c r="F188" s="105" t="str">
        <f>IFERROR(IFERROR(VLOOKUP(D188,Кат!$I:$J,2,0),VLOOKUP(A188,Кат!$I:$J,2,0)),"")</f>
        <v>сергей проводка</v>
      </c>
      <c r="G188" s="105">
        <f>IFERROR(IFERROR(INDEX(Кат!$A:$A,MATCH(Прайс!D188,Кат!$I:$I,0)),INDEX(Кат!$A:$A,MATCH(A188,Кат!$I:$I,0))),"")</f>
        <v>144887</v>
      </c>
      <c r="H188" s="105">
        <f>IFERROR(IFERROR(INDEX(Кат!$B:$B,MATCH(Прайс!D188,Кат!$I:$I,0)),INDEX(Кат!$B:$B,MATCH(A188,Кат!$I:$I,0))),"")</f>
        <v>4009</v>
      </c>
      <c r="I188" s="2" t="str">
        <f t="shared" si="5"/>
        <v>"Шевроле-Нива"Жгут проводов системы зажиганияВАЗ 2123-3724026-62</v>
      </c>
    </row>
    <row r="189" spans="1:9" s="2" customFormat="1" ht="12.75" x14ac:dyDescent="0.2">
      <c r="A189" s="40" t="str">
        <f t="shared" si="4"/>
        <v>"Шевроле-Нива"Жгут проводов системы зажигания (старого образца)ВАЗ 2123-3724026-20</v>
      </c>
      <c r="B189" s="83" t="s">
        <v>327</v>
      </c>
      <c r="C189" s="26" t="s">
        <v>331</v>
      </c>
      <c r="D189" s="26" t="s">
        <v>332</v>
      </c>
      <c r="E189" s="27">
        <v>0</v>
      </c>
      <c r="F189" s="105" t="str">
        <f>IFERROR(IFERROR(VLOOKUP(D189,Кат!$I:$J,2,0),VLOOKUP(A189,Кат!$I:$J,2,0)),"")</f>
        <v>сергей проводка</v>
      </c>
      <c r="G189" s="105">
        <f>IFERROR(IFERROR(INDEX(Кат!$A:$A,MATCH(Прайс!D189,Кат!$I:$I,0)),INDEX(Кат!$A:$A,MATCH(A189,Кат!$I:$I,0))),"")</f>
        <v>426756</v>
      </c>
      <c r="H189" s="105">
        <f>IFERROR(IFERROR(INDEX(Кат!$B:$B,MATCH(Прайс!D189,Кат!$I:$I,0)),INDEX(Кат!$B:$B,MATCH(A189,Кат!$I:$I,0))),"")</f>
        <v>426756</v>
      </c>
      <c r="I189" s="2" t="str">
        <f t="shared" si="5"/>
        <v>"Шевроле-Нива"Жгут проводов системы зажигания (старого образца)ВАЗ 2123-3724026-20</v>
      </c>
    </row>
    <row r="190" spans="1:9" s="2" customFormat="1" ht="12.75" x14ac:dyDescent="0.2">
      <c r="A190" s="40" t="str">
        <f t="shared" si="4"/>
        <v>"Шевроле-Нива"Жгут проводов фар и генератораВАЗ 2123-3724010-44</v>
      </c>
      <c r="B190" s="83" t="s">
        <v>327</v>
      </c>
      <c r="C190" s="26" t="s">
        <v>276</v>
      </c>
      <c r="D190" s="26" t="s">
        <v>165</v>
      </c>
      <c r="E190" s="27">
        <v>0</v>
      </c>
      <c r="F190" s="105" t="str">
        <f>IFERROR(IFERROR(VLOOKUP(D190,Кат!$I:$J,2,0),VLOOKUP(A190,Кат!$I:$J,2,0)),"")</f>
        <v>сергей проводка</v>
      </c>
      <c r="G190" s="105">
        <f>IFERROR(IFERROR(INDEX(Кат!$A:$A,MATCH(Прайс!D190,Кат!$I:$I,0)),INDEX(Кат!$A:$A,MATCH(A190,Кат!$I:$I,0))),"")</f>
        <v>144987</v>
      </c>
      <c r="H190" s="105">
        <f>IFERROR(IFERROR(INDEX(Кат!$B:$B,MATCH(Прайс!D190,Кат!$I:$I,0)),INDEX(Кат!$B:$B,MATCH(A190,Кат!$I:$I,0))),"")</f>
        <v>13411</v>
      </c>
      <c r="I190" s="2" t="str">
        <f t="shared" si="5"/>
        <v>"Шевроле-Нива"Жгут проводов фар и генератораВАЗ 2123-3724010-44</v>
      </c>
    </row>
    <row r="191" spans="1:9" s="2" customFormat="1" ht="12.75" x14ac:dyDescent="0.2">
      <c r="A191" s="40" t="str">
        <f t="shared" si="4"/>
        <v>"Шевроле-Нива"Жгут проводов форсунокВАЗ 2123-3724036</v>
      </c>
      <c r="B191" s="83" t="s">
        <v>327</v>
      </c>
      <c r="C191" s="26" t="s">
        <v>277</v>
      </c>
      <c r="D191" s="26" t="s">
        <v>88</v>
      </c>
      <c r="E191" s="27">
        <v>450</v>
      </c>
      <c r="F191" s="105" t="str">
        <f>IFERROR(IFERROR(VLOOKUP(D191,Кат!$I:$J,2,0),VLOOKUP(A191,Кат!$I:$J,2,0)),"")</f>
        <v>сергей проводка</v>
      </c>
      <c r="G191" s="105">
        <f>IFERROR(IFERROR(INDEX(Кат!$A:$A,MATCH(Прайс!D191,Кат!$I:$I,0)),INDEX(Кат!$A:$A,MATCH(A191,Кат!$I:$I,0))),"")</f>
        <v>145008</v>
      </c>
      <c r="H191" s="105">
        <f>IFERROR(IFERROR(INDEX(Кат!$B:$B,MATCH(Прайс!D191,Кат!$I:$I,0)),INDEX(Кат!$B:$B,MATCH(A191,Кат!$I:$I,0))),"")</f>
        <v>13412</v>
      </c>
      <c r="I191" s="2" t="str">
        <f t="shared" si="5"/>
        <v>"Шевроле-Нива"Жгут проводов форсунокВАЗ 2123-3724036</v>
      </c>
    </row>
    <row r="192" spans="1:9" s="2" customFormat="1" ht="12.75" x14ac:dyDescent="0.2">
      <c r="A192" s="40" t="str">
        <f t="shared" si="4"/>
        <v>"Шевроле-Нива"КЛЕММА "+"\"-"(евро)ВАЗ 2123-3724070</v>
      </c>
      <c r="B192" s="83" t="s">
        <v>327</v>
      </c>
      <c r="C192" s="26" t="s">
        <v>852</v>
      </c>
      <c r="D192" s="26" t="s">
        <v>333</v>
      </c>
      <c r="E192" s="27">
        <v>2000</v>
      </c>
      <c r="F192" s="105" t="str">
        <f>IFERROR(IFERROR(VLOOKUP(D192,Кат!$I:$J,2,0),VLOOKUP(A192,Кат!$I:$J,2,0)),"")</f>
        <v/>
      </c>
      <c r="G192" s="105" t="str">
        <f>IFERROR(IFERROR(INDEX(Кат!$A:$A,MATCH(Прайс!D192,Кат!$I:$I,0)),INDEX(Кат!$A:$A,MATCH(A192,Кат!$I:$I,0))),"")</f>
        <v/>
      </c>
      <c r="H192" s="105" t="str">
        <f>IFERROR(IFERROR(INDEX(Кат!$B:$B,MATCH(Прайс!D192,Кат!$I:$I,0)),INDEX(Кат!$B:$B,MATCH(A192,Кат!$I:$I,0))),"")</f>
        <v/>
      </c>
      <c r="I192" s="2" t="str">
        <f t="shared" si="5"/>
        <v>"Шевроле-Нива"КЛЕММА "+"\"-"(евро)ВАЗ 2123-3724070</v>
      </c>
    </row>
    <row r="193" spans="1:9" s="2" customFormat="1" ht="12.75" x14ac:dyDescent="0.2">
      <c r="A193" s="40" t="str">
        <f t="shared" si="4"/>
        <v>"Шевроле-Нива"Проводка противотуманных фар(монтажный набор)ВАЗ 2123</v>
      </c>
      <c r="B193" s="83" t="s">
        <v>327</v>
      </c>
      <c r="C193" s="26" t="s">
        <v>334</v>
      </c>
      <c r="D193" s="26" t="s">
        <v>329</v>
      </c>
      <c r="E193" s="27">
        <v>750</v>
      </c>
      <c r="F193" s="105" t="str">
        <f>IFERROR(IFERROR(VLOOKUP(D193,Кат!$I:$J,2,0),VLOOKUP(A193,Кат!$I:$J,2,0)),"")</f>
        <v/>
      </c>
      <c r="G193" s="105" t="str">
        <f>IFERROR(IFERROR(INDEX(Кат!$A:$A,MATCH(Прайс!D193,Кат!$I:$I,0)),INDEX(Кат!$A:$A,MATCH(A193,Кат!$I:$I,0))),"")</f>
        <v/>
      </c>
      <c r="H193" s="105" t="str">
        <f>IFERROR(IFERROR(INDEX(Кат!$B:$B,MATCH(Прайс!D193,Кат!$I:$I,0)),INDEX(Кат!$B:$B,MATCH(A193,Кат!$I:$I,0))),"")</f>
        <v/>
      </c>
      <c r="I193" s="2" t="str">
        <f t="shared" si="5"/>
        <v>"Шевроле-Нива"Проводка противотуманных фар(монтажный набор)ВАЗ 2123</v>
      </c>
    </row>
    <row r="194" spans="1:9" s="2" customFormat="1" ht="12.75" x14ac:dyDescent="0.2">
      <c r="A194" s="40" t="str">
        <f t="shared" si="4"/>
        <v>"Шевроле-Нива"Монтажный набор для подключения обогрева лобового стекла2123</v>
      </c>
      <c r="B194" s="83" t="s">
        <v>327</v>
      </c>
      <c r="C194" s="26" t="s">
        <v>335</v>
      </c>
      <c r="D194" s="26">
        <v>2123</v>
      </c>
      <c r="E194" s="27">
        <v>5000</v>
      </c>
      <c r="F194" s="105" t="str">
        <f>IFERROR(IFERROR(VLOOKUP(D194,Кат!$I:$J,2,0),VLOOKUP(A194,Кат!$I:$J,2,0)),"")</f>
        <v>сергей проводка</v>
      </c>
      <c r="G194" s="105">
        <f>IFERROR(IFERROR(INDEX(Кат!$A:$A,MATCH(Прайс!D194,Кат!$I:$I,0)),INDEX(Кат!$A:$A,MATCH(A194,Кат!$I:$I,0))),"")</f>
        <v>426757</v>
      </c>
      <c r="H194" s="105">
        <f>IFERROR(IFERROR(INDEX(Кат!$B:$B,MATCH(Прайс!D194,Кат!$I:$I,0)),INDEX(Кат!$B:$B,MATCH(A194,Кат!$I:$I,0))),"")</f>
        <v>426757</v>
      </c>
      <c r="I194" s="2" t="str">
        <f t="shared" si="5"/>
        <v>"Шевроле-Нива"Монтажный набор для подключения обогрева лобового стекла2123</v>
      </c>
    </row>
    <row r="195" spans="1:9" s="2" customFormat="1" ht="12.75" x14ac:dyDescent="0.2">
      <c r="A195" s="40" t="str">
        <f t="shared" ref="A195:A258" si="6">_xlfn.CONCAT(B195:D195)</f>
        <v>"Шевроле-Нива"Жгут проводов панели приборовВАЗ 2123-3724030-90</v>
      </c>
      <c r="B195" s="83" t="s">
        <v>327</v>
      </c>
      <c r="C195" s="26" t="s">
        <v>283</v>
      </c>
      <c r="D195" s="26" t="s">
        <v>166</v>
      </c>
      <c r="E195" s="27">
        <v>7500</v>
      </c>
      <c r="F195" s="105" t="str">
        <f>IFERROR(IFERROR(VLOOKUP(D195,Кат!$I:$J,2,0),VLOOKUP(A195,Кат!$I:$J,2,0)),"")</f>
        <v>сергей проводка</v>
      </c>
      <c r="G195" s="105">
        <f>IFERROR(IFERROR(INDEX(Кат!$A:$A,MATCH(Прайс!D195,Кат!$I:$I,0)),INDEX(Кат!$A:$A,MATCH(A195,Кат!$I:$I,0))),"")</f>
        <v>144911</v>
      </c>
      <c r="H195" s="105">
        <f>IFERROR(IFERROR(INDEX(Кат!$B:$B,MATCH(Прайс!D195,Кат!$I:$I,0)),INDEX(Кат!$B:$B,MATCH(A195,Кат!$I:$I,0))),"")</f>
        <v>13413</v>
      </c>
      <c r="I195" s="2" t="str">
        <f t="shared" ref="I195:I258" si="7">_xlfn.CONCAT(B195:D195)</f>
        <v>"Шевроле-Нива"Жгут проводов панели приборовВАЗ 2123-3724030-90</v>
      </c>
    </row>
    <row r="196" spans="1:9" s="2" customFormat="1" ht="12.75" x14ac:dyDescent="0.2">
      <c r="A196" s="40" t="str">
        <f t="shared" si="6"/>
        <v>"Шевроле-Нива"Жгут проводов панели приборовВАЗ 2123-3724030-94</v>
      </c>
      <c r="B196" s="83" t="s">
        <v>327</v>
      </c>
      <c r="C196" s="26" t="s">
        <v>283</v>
      </c>
      <c r="D196" s="26" t="s">
        <v>167</v>
      </c>
      <c r="E196" s="27">
        <v>8000</v>
      </c>
      <c r="F196" s="105" t="str">
        <f>IFERROR(IFERROR(VLOOKUP(D196,Кат!$I:$J,2,0),VLOOKUP(A196,Кат!$I:$J,2,0)),"")</f>
        <v>сергей проводка</v>
      </c>
      <c r="G196" s="105">
        <f>IFERROR(IFERROR(INDEX(Кат!$A:$A,MATCH(Прайс!D196,Кат!$I:$I,0)),INDEX(Кат!$A:$A,MATCH(A196,Кат!$I:$I,0))),"")</f>
        <v>144912</v>
      </c>
      <c r="H196" s="105">
        <f>IFERROR(IFERROR(INDEX(Кат!$B:$B,MATCH(Прайс!D196,Кат!$I:$I,0)),INDEX(Кат!$B:$B,MATCH(A196,Кат!$I:$I,0))),"")</f>
        <v>13414</v>
      </c>
      <c r="I196" s="2" t="str">
        <f t="shared" si="7"/>
        <v>"Шевроле-Нива"Жгут проводов панели приборовВАЗ 2123-3724030-94</v>
      </c>
    </row>
    <row r="197" spans="1:9" s="2" customFormat="1" ht="12.75" x14ac:dyDescent="0.2">
      <c r="A197" s="40" t="str">
        <f t="shared" si="6"/>
        <v>"Шевроле-Нива"Жгут проводов фар и генератораВАЗ 2123-3724010-51</v>
      </c>
      <c r="B197" s="83" t="s">
        <v>327</v>
      </c>
      <c r="C197" s="26" t="s">
        <v>276</v>
      </c>
      <c r="D197" s="26" t="s">
        <v>168</v>
      </c>
      <c r="E197" s="27">
        <v>8000</v>
      </c>
      <c r="F197" s="105" t="str">
        <f>IFERROR(IFERROR(VLOOKUP(D197,Кат!$I:$J,2,0),VLOOKUP(A197,Кат!$I:$J,2,0)),"")</f>
        <v>сергей проводка</v>
      </c>
      <c r="G197" s="105">
        <f>IFERROR(IFERROR(INDEX(Кат!$A:$A,MATCH(Прайс!D197,Кат!$I:$I,0)),INDEX(Кат!$A:$A,MATCH(A197,Кат!$I:$I,0))),"")</f>
        <v>144988</v>
      </c>
      <c r="H197" s="105">
        <f>IFERROR(IFERROR(INDEX(Кат!$B:$B,MATCH(Прайс!D197,Кат!$I:$I,0)),INDEX(Кат!$B:$B,MATCH(A197,Кат!$I:$I,0))),"")</f>
        <v>13415</v>
      </c>
      <c r="I197" s="2" t="str">
        <f t="shared" si="7"/>
        <v>"Шевроле-Нива"Жгут проводов фар и генератораВАЗ 2123-3724010-51</v>
      </c>
    </row>
    <row r="198" spans="1:9" s="2" customFormat="1" ht="12.75" x14ac:dyDescent="0.2">
      <c r="A198" s="40" t="str">
        <f t="shared" si="6"/>
        <v>"Шевроле-Нива"Жгут проводов правой двериВАЗ 2123-3724550</v>
      </c>
      <c r="B198" s="83" t="s">
        <v>327</v>
      </c>
      <c r="C198" s="26" t="s">
        <v>336</v>
      </c>
      <c r="D198" s="26" t="s">
        <v>337</v>
      </c>
      <c r="E198" s="27">
        <v>2000</v>
      </c>
      <c r="F198" s="105" t="str">
        <f>IFERROR(IFERROR(VLOOKUP(D198,Кат!$I:$J,2,0),VLOOKUP(A198,Кат!$I:$J,2,0)),"")</f>
        <v>сергей проводка</v>
      </c>
      <c r="G198" s="105">
        <f>IFERROR(IFERROR(INDEX(Кат!$A:$A,MATCH(Прайс!D198,Кат!$I:$I,0)),INDEX(Кат!$A:$A,MATCH(A198,Кат!$I:$I,0))),"")</f>
        <v>426766</v>
      </c>
      <c r="H198" s="105">
        <f>IFERROR(IFERROR(INDEX(Кат!$B:$B,MATCH(Прайс!D198,Кат!$I:$I,0)),INDEX(Кат!$B:$B,MATCH(A198,Кат!$I:$I,0))),"")</f>
        <v>426766</v>
      </c>
      <c r="I198" s="2" t="str">
        <f t="shared" si="7"/>
        <v>"Шевроле-Нива"Жгут проводов правой двериВАЗ 2123-3724550</v>
      </c>
    </row>
    <row r="199" spans="1:9" s="2" customFormat="1" ht="12.75" x14ac:dyDescent="0.2">
      <c r="A199" s="40" t="str">
        <f t="shared" si="6"/>
        <v>"Шевроле-Нива"Жгут проводов левой двериВАЗ 2123-3724551</v>
      </c>
      <c r="B199" s="83" t="s">
        <v>327</v>
      </c>
      <c r="C199" s="26" t="s">
        <v>338</v>
      </c>
      <c r="D199" s="26" t="s">
        <v>46</v>
      </c>
      <c r="E199" s="27">
        <v>2500</v>
      </c>
      <c r="F199" s="105" t="str">
        <f>IFERROR(IFERROR(VLOOKUP(D199,Кат!$I:$J,2,0),VLOOKUP(A199,Кат!$I:$J,2,0)),"")</f>
        <v>сергей проводка</v>
      </c>
      <c r="G199" s="105">
        <f>IFERROR(IFERROR(INDEX(Кат!$A:$A,MATCH(Прайс!D199,Кат!$I:$I,0)),INDEX(Кат!$A:$A,MATCH(A199,Кат!$I:$I,0))),"")</f>
        <v>144830</v>
      </c>
      <c r="H199" s="105">
        <f>IFERROR(IFERROR(INDEX(Кат!$B:$B,MATCH(Прайс!D199,Кат!$I:$I,0)),INDEX(Кат!$B:$B,MATCH(A199,Кат!$I:$I,0))),"")</f>
        <v>13416</v>
      </c>
      <c r="I199" s="2" t="str">
        <f t="shared" si="7"/>
        <v>"Шевроле-Нива"Жгут проводов левой двериВАЗ 2123-3724551</v>
      </c>
    </row>
    <row r="200" spans="1:9" s="2" customFormat="1" ht="12.75" x14ac:dyDescent="0.2">
      <c r="A200" s="40" t="str">
        <f t="shared" si="6"/>
        <v>"Шевроле-Нива"Жгут проводов системы зажигания эл. Педаль газаВАЗ 2123-3724026-61</v>
      </c>
      <c r="B200" s="83" t="s">
        <v>327</v>
      </c>
      <c r="C200" s="26" t="s">
        <v>1013</v>
      </c>
      <c r="D200" s="26" t="s">
        <v>339</v>
      </c>
      <c r="E200" s="27">
        <v>15000</v>
      </c>
      <c r="F200" s="105" t="str">
        <f>IFERROR(IFERROR(VLOOKUP(D200,Кат!$I:$J,2,0),VLOOKUP(A200,Кат!$I:$J,2,0)),"")</f>
        <v>сергей проводка</v>
      </c>
      <c r="G200" s="105">
        <f>IFERROR(IFERROR(INDEX(Кат!$A:$A,MATCH(Прайс!D200,Кат!$I:$I,0)),INDEX(Кат!$A:$A,MATCH(A200,Кат!$I:$I,0))),"")</f>
        <v>426867</v>
      </c>
      <c r="H200" s="105">
        <f>IFERROR(IFERROR(INDEX(Кат!$B:$B,MATCH(Прайс!D200,Кат!$I:$I,0)),INDEX(Кат!$B:$B,MATCH(A200,Кат!$I:$I,0))),"")</f>
        <v>426867</v>
      </c>
      <c r="I200" s="2" t="str">
        <f t="shared" si="7"/>
        <v>"Шевроле-Нива"Жгут проводов системы зажигания эл. Педаль газаВАЗ 2123-3724026-61</v>
      </c>
    </row>
    <row r="201" spans="1:9" s="2" customFormat="1" ht="12.75" x14ac:dyDescent="0.2">
      <c r="A201" s="40" t="str">
        <f t="shared" si="6"/>
        <v>"Шевроле-Нива"Жгут проводов системы зажигания эл педаль газаВАЗ 2123-3724026-81</v>
      </c>
      <c r="B201" s="83" t="s">
        <v>327</v>
      </c>
      <c r="C201" s="26" t="s">
        <v>1014</v>
      </c>
      <c r="D201" s="26" t="s">
        <v>340</v>
      </c>
      <c r="E201" s="27">
        <v>15000</v>
      </c>
      <c r="F201" s="105" t="str">
        <f>IFERROR(IFERROR(VLOOKUP(D201,Кат!$I:$J,2,0),VLOOKUP(A201,Кат!$I:$J,2,0)),"")</f>
        <v>сергей проводка</v>
      </c>
      <c r="G201" s="105">
        <f>IFERROR(IFERROR(INDEX(Кат!$A:$A,MATCH(Прайс!D201,Кат!$I:$I,0)),INDEX(Кат!$A:$A,MATCH(A201,Кат!$I:$I,0))),"")</f>
        <v>426878</v>
      </c>
      <c r="H201" s="105">
        <f>IFERROR(IFERROR(INDEX(Кат!$B:$B,MATCH(Прайс!D201,Кат!$I:$I,0)),INDEX(Кат!$B:$B,MATCH(A201,Кат!$I:$I,0))),"")</f>
        <v>426878</v>
      </c>
      <c r="I201" s="2" t="str">
        <f t="shared" si="7"/>
        <v>"Шевроле-Нива"Жгут проводов системы зажигания эл педаль газаВАЗ 2123-3724026-81</v>
      </c>
    </row>
    <row r="202" spans="1:9" s="2" customFormat="1" ht="12.75" x14ac:dyDescent="0.2">
      <c r="A202" s="40" t="str">
        <f t="shared" si="6"/>
        <v>"Приора"Жгут панели приборов в сборе с монтажным блокомВАЗ 2170-3724030</v>
      </c>
      <c r="B202" s="83" t="s">
        <v>341</v>
      </c>
      <c r="C202" s="26" t="s">
        <v>342</v>
      </c>
      <c r="D202" s="26" t="s">
        <v>119</v>
      </c>
      <c r="E202" s="27">
        <v>0</v>
      </c>
      <c r="F202" s="105" t="str">
        <f>IFERROR(IFERROR(VLOOKUP(D202,Кат!$I:$J,2,0),VLOOKUP(A202,Кат!$I:$J,2,0)),"")</f>
        <v>сергей проводка</v>
      </c>
      <c r="G202" s="105">
        <f>IFERROR(IFERROR(INDEX(Кат!$A:$A,MATCH(Прайс!D202,Кат!$I:$I,0)),INDEX(Кат!$A:$A,MATCH(A202,Кат!$I:$I,0))),"")</f>
        <v>144811</v>
      </c>
      <c r="H202" s="105">
        <f>IFERROR(IFERROR(INDEX(Кат!$B:$B,MATCH(Прайс!D202,Кат!$I:$I,0)),INDEX(Кат!$B:$B,MATCH(A202,Кат!$I:$I,0))),"")</f>
        <v>13340</v>
      </c>
      <c r="I202" s="2" t="str">
        <f t="shared" si="7"/>
        <v>"Приора"Жгут панели приборов в сборе с монтажным блокомВАЗ 2170-3724030</v>
      </c>
    </row>
    <row r="203" spans="1:9" s="2" customFormat="1" ht="12.75" x14ac:dyDescent="0.2">
      <c r="A203" s="40" t="str">
        <f t="shared" si="6"/>
        <v>"Приора"Жгут панели приборов в сборе с монтажным блокомВАЗ 2172-3724030</v>
      </c>
      <c r="B203" s="83" t="s">
        <v>341</v>
      </c>
      <c r="C203" s="26" t="s">
        <v>342</v>
      </c>
      <c r="D203" s="26" t="s">
        <v>120</v>
      </c>
      <c r="E203" s="27">
        <v>20000</v>
      </c>
      <c r="F203" s="105" t="str">
        <f>IFERROR(IFERROR(VLOOKUP(D203,Кат!$I:$J,2,0),VLOOKUP(A203,Кат!$I:$J,2,0)),"")</f>
        <v>сергей проводка</v>
      </c>
      <c r="G203" s="105">
        <f>IFERROR(IFERROR(INDEX(Кат!$A:$A,MATCH(Прайс!D203,Кат!$I:$I,0)),INDEX(Кат!$A:$A,MATCH(A203,Кат!$I:$I,0))),"")</f>
        <v>144815</v>
      </c>
      <c r="H203" s="105">
        <f>IFERROR(IFERROR(INDEX(Кат!$B:$B,MATCH(Прайс!D203,Кат!$I:$I,0)),INDEX(Кат!$B:$B,MATCH(A203,Кат!$I:$I,0))),"")</f>
        <v>13341</v>
      </c>
      <c r="I203" s="2" t="str">
        <f t="shared" si="7"/>
        <v>"Приора"Жгут панели приборов в сборе с монтажным блокомВАЗ 2172-3724030</v>
      </c>
    </row>
    <row r="204" spans="1:9" s="2" customFormat="1" ht="12.75" x14ac:dyDescent="0.2">
      <c r="A204" s="40" t="str">
        <f t="shared" si="6"/>
        <v>"Приора"Жгут панели приборов в сборе с монтажным блокомВАЗ 2170-3724030-21</v>
      </c>
      <c r="B204" s="83" t="s">
        <v>341</v>
      </c>
      <c r="C204" s="26" t="s">
        <v>342</v>
      </c>
      <c r="D204" s="26" t="s">
        <v>121</v>
      </c>
      <c r="E204" s="27">
        <v>20000</v>
      </c>
      <c r="F204" s="105" t="str">
        <f>IFERROR(IFERROR(VLOOKUP(D204,Кат!$I:$J,2,0),VLOOKUP(A204,Кат!$I:$J,2,0)),"")</f>
        <v>сергей проводка</v>
      </c>
      <c r="G204" s="105">
        <f>IFERROR(IFERROR(INDEX(Кат!$A:$A,MATCH(Прайс!D204,Кат!$I:$I,0)),INDEX(Кат!$A:$A,MATCH(A204,Кат!$I:$I,0))),"")</f>
        <v>144812</v>
      </c>
      <c r="H204" s="105">
        <f>IFERROR(IFERROR(INDEX(Кат!$B:$B,MATCH(Прайс!D204,Кат!$I:$I,0)),INDEX(Кат!$B:$B,MATCH(A204,Кат!$I:$I,0))),"")</f>
        <v>13342</v>
      </c>
      <c r="I204" s="2" t="str">
        <f t="shared" si="7"/>
        <v>"Приора"Жгут панели приборов в сборе с монтажным блокомВАЗ 2170-3724030-21</v>
      </c>
    </row>
    <row r="205" spans="1:9" s="2" customFormat="1" ht="12.75" x14ac:dyDescent="0.2">
      <c r="A205" s="40" t="str">
        <f t="shared" si="6"/>
        <v>"Приора"Жгут панели приборов в сборе с монтажным блокомВАЗ 2170-3724030-30</v>
      </c>
      <c r="B205" s="83" t="s">
        <v>341</v>
      </c>
      <c r="C205" s="26" t="s">
        <v>342</v>
      </c>
      <c r="D205" s="26" t="s">
        <v>122</v>
      </c>
      <c r="E205" s="27">
        <v>20000</v>
      </c>
      <c r="F205" s="105" t="str">
        <f>IFERROR(IFERROR(VLOOKUP(D205,Кат!$I:$J,2,0),VLOOKUP(A205,Кат!$I:$J,2,0)),"")</f>
        <v>сергей проводка</v>
      </c>
      <c r="G205" s="105">
        <f>IFERROR(IFERROR(INDEX(Кат!$A:$A,MATCH(Прайс!D205,Кат!$I:$I,0)),INDEX(Кат!$A:$A,MATCH(A205,Кат!$I:$I,0))),"")</f>
        <v>144813</v>
      </c>
      <c r="H205" s="105">
        <f>IFERROR(IFERROR(INDEX(Кат!$B:$B,MATCH(Прайс!D205,Кат!$I:$I,0)),INDEX(Кат!$B:$B,MATCH(A205,Кат!$I:$I,0))),"")</f>
        <v>13343</v>
      </c>
      <c r="I205" s="2" t="str">
        <f t="shared" si="7"/>
        <v>"Приора"Жгут панели приборов в сборе с монтажным блокомВАЗ 2170-3724030-30</v>
      </c>
    </row>
    <row r="206" spans="1:9" s="2" customFormat="1" ht="12.75" x14ac:dyDescent="0.2">
      <c r="A206" s="40" t="str">
        <f t="shared" si="6"/>
        <v>"Приора"Жгут панели приборов в сборе с монтажным блокомВАЗ 2170-3724030-70</v>
      </c>
      <c r="B206" s="83" t="s">
        <v>341</v>
      </c>
      <c r="C206" s="26" t="s">
        <v>342</v>
      </c>
      <c r="D206" s="26" t="s">
        <v>123</v>
      </c>
      <c r="E206" s="27">
        <v>0</v>
      </c>
      <c r="F206" s="105" t="str">
        <f>IFERROR(IFERROR(VLOOKUP(D206,Кат!$I:$J,2,0),VLOOKUP(A206,Кат!$I:$J,2,0)),"")</f>
        <v>сергей проводка</v>
      </c>
      <c r="G206" s="105">
        <f>IFERROR(IFERROR(INDEX(Кат!$A:$A,MATCH(Прайс!D206,Кат!$I:$I,0)),INDEX(Кат!$A:$A,MATCH(A206,Кат!$I:$I,0))),"")</f>
        <v>144814</v>
      </c>
      <c r="H206" s="105">
        <f>IFERROR(IFERROR(INDEX(Кат!$B:$B,MATCH(Прайс!D206,Кат!$I:$I,0)),INDEX(Кат!$B:$B,MATCH(A206,Кат!$I:$I,0))),"")</f>
        <v>13344</v>
      </c>
      <c r="I206" s="2" t="str">
        <f t="shared" si="7"/>
        <v>"Приора"Жгут панели приборов в сборе с монтажным блокомВАЗ 2170-3724030-70</v>
      </c>
    </row>
    <row r="207" spans="1:9" s="2" customFormat="1" ht="12.75" x14ac:dyDescent="0.2">
      <c r="A207" s="40" t="str">
        <f t="shared" si="6"/>
        <v>"Приора"Жгут панели приборов Е-газВАЗ 21703-3724030</v>
      </c>
      <c r="B207" s="83" t="s">
        <v>341</v>
      </c>
      <c r="C207" s="26" t="s">
        <v>343</v>
      </c>
      <c r="D207" s="26" t="s">
        <v>124</v>
      </c>
      <c r="E207" s="27">
        <v>20000</v>
      </c>
      <c r="F207" s="105" t="str">
        <f>IFERROR(IFERROR(VLOOKUP(D207,Кат!$I:$J,2,0),VLOOKUP(A207,Кат!$I:$J,2,0)),"")</f>
        <v>сергей проводка</v>
      </c>
      <c r="G207" s="105">
        <f>IFERROR(IFERROR(INDEX(Кат!$A:$A,MATCH(Прайс!D207,Кат!$I:$I,0)),INDEX(Кат!$A:$A,MATCH(A207,Кат!$I:$I,0))),"")</f>
        <v>144810</v>
      </c>
      <c r="H207" s="105">
        <f>IFERROR(IFERROR(INDEX(Кат!$B:$B,MATCH(Прайс!D207,Кат!$I:$I,0)),INDEX(Кат!$B:$B,MATCH(A207,Кат!$I:$I,0))),"")</f>
        <v>13345</v>
      </c>
      <c r="I207" s="2" t="str">
        <f t="shared" si="7"/>
        <v>"Приора"Жгут панели приборов Е-газВАЗ 21703-3724030</v>
      </c>
    </row>
    <row r="208" spans="1:9" s="2" customFormat="1" ht="12.75" x14ac:dyDescent="0.2">
      <c r="A208" s="40" t="str">
        <f t="shared" si="6"/>
        <v>"Приора"Жгут проводов заднийВАЗ 2170-3724210</v>
      </c>
      <c r="B208" s="83" t="s">
        <v>341</v>
      </c>
      <c r="C208" s="26" t="s">
        <v>200</v>
      </c>
      <c r="D208" s="26" t="s">
        <v>125</v>
      </c>
      <c r="E208" s="27">
        <v>0</v>
      </c>
      <c r="F208" s="105" t="str">
        <f>IFERROR(IFERROR(VLOOKUP(D208,Кат!$I:$J,2,0),VLOOKUP(A208,Кат!$I:$J,2,0)),"")</f>
        <v>сергей проводка</v>
      </c>
      <c r="G208" s="105">
        <f>IFERROR(IFERROR(INDEX(Кат!$A:$A,MATCH(Прайс!D208,Кат!$I:$I,0)),INDEX(Кат!$A:$A,MATCH(A208,Кат!$I:$I,0))),"")</f>
        <v>144855</v>
      </c>
      <c r="H208" s="105">
        <f>IFERROR(IFERROR(INDEX(Кат!$B:$B,MATCH(Прайс!D208,Кат!$I:$I,0)),INDEX(Кат!$B:$B,MATCH(A208,Кат!$I:$I,0))),"")</f>
        <v>13346</v>
      </c>
      <c r="I208" s="2" t="str">
        <f t="shared" si="7"/>
        <v>"Приора"Жгут проводов заднийВАЗ 2170-3724210</v>
      </c>
    </row>
    <row r="209" spans="1:9" s="2" customFormat="1" ht="12.75" x14ac:dyDescent="0.2">
      <c r="A209" s="40" t="str">
        <f t="shared" si="6"/>
        <v>"Приора"Жгут проводов заднийВАЗ 2170-210-50</v>
      </c>
      <c r="B209" s="83" t="s">
        <v>341</v>
      </c>
      <c r="C209" s="26" t="s">
        <v>200</v>
      </c>
      <c r="D209" s="26" t="s">
        <v>12</v>
      </c>
      <c r="E209" s="27">
        <v>6500</v>
      </c>
      <c r="F209" s="105" t="str">
        <f>IFERROR(IFERROR(VLOOKUP(D209,Кат!$I:$J,2,0),VLOOKUP(A209,Кат!$I:$J,2,0)),"")</f>
        <v>сергей проводка</v>
      </c>
      <c r="G209" s="105">
        <f>IFERROR(IFERROR(INDEX(Кат!$A:$A,MATCH(Прайс!D209,Кат!$I:$I,0)),INDEX(Кат!$A:$A,MATCH(A209,Кат!$I:$I,0))),"")</f>
        <v>144856</v>
      </c>
      <c r="H209" s="105">
        <f>IFERROR(IFERROR(INDEX(Кат!$B:$B,MATCH(Прайс!D209,Кат!$I:$I,0)),INDEX(Кат!$B:$B,MATCH(A209,Кат!$I:$I,0))),"")</f>
        <v>13347</v>
      </c>
      <c r="I209" s="2" t="str">
        <f t="shared" si="7"/>
        <v>"Приора"Жгут проводов заднийВАЗ 2170-210-50</v>
      </c>
    </row>
    <row r="210" spans="1:9" s="2" customFormat="1" ht="12.75" x14ac:dyDescent="0.2">
      <c r="A210" s="40" t="str">
        <f t="shared" si="6"/>
        <v>"Приора"Жгут проводов заднийВАЗ 21703-210-23</v>
      </c>
      <c r="B210" s="83" t="s">
        <v>341</v>
      </c>
      <c r="C210" s="26" t="s">
        <v>200</v>
      </c>
      <c r="D210" s="26" t="s">
        <v>126</v>
      </c>
      <c r="E210" s="27"/>
      <c r="F210" s="105" t="str">
        <f>IFERROR(IFERROR(VLOOKUP(D210,Кат!$I:$J,2,0),VLOOKUP(A210,Кат!$I:$J,2,0)),"")</f>
        <v>сергей проводка</v>
      </c>
      <c r="G210" s="105">
        <f>IFERROR(IFERROR(INDEX(Кат!$A:$A,MATCH(Прайс!D210,Кат!$I:$I,0)),INDEX(Кат!$A:$A,MATCH(A210,Кат!$I:$I,0))),"")</f>
        <v>144857</v>
      </c>
      <c r="H210" s="105">
        <f>IFERROR(IFERROR(INDEX(Кат!$B:$B,MATCH(Прайс!D210,Кат!$I:$I,0)),INDEX(Кат!$B:$B,MATCH(A210,Кат!$I:$I,0))),"")</f>
        <v>13348</v>
      </c>
      <c r="I210" s="2" t="str">
        <f t="shared" si="7"/>
        <v>"Приора"Жгут проводов заднийВАЗ 21703-210-23</v>
      </c>
    </row>
    <row r="211" spans="1:9" s="2" customFormat="1" ht="12.75" x14ac:dyDescent="0.2">
      <c r="A211" s="40" t="str">
        <f t="shared" si="6"/>
        <v>"Приора"Жгут проводов заднийВАЗ 2171-210-20</v>
      </c>
      <c r="B211" s="83" t="s">
        <v>341</v>
      </c>
      <c r="C211" s="26" t="s">
        <v>200</v>
      </c>
      <c r="D211" s="26" t="s">
        <v>127</v>
      </c>
      <c r="E211" s="27">
        <v>6000</v>
      </c>
      <c r="F211" s="105" t="str">
        <f>IFERROR(IFERROR(VLOOKUP(D211,Кат!$I:$J,2,0),VLOOKUP(A211,Кат!$I:$J,2,0)),"")</f>
        <v>сергей проводка</v>
      </c>
      <c r="G211" s="105">
        <f>IFERROR(IFERROR(INDEX(Кат!$A:$A,MATCH(Прайс!D211,Кат!$I:$I,0)),INDEX(Кат!$A:$A,MATCH(A211,Кат!$I:$I,0))),"")</f>
        <v>144858</v>
      </c>
      <c r="H211" s="105">
        <f>IFERROR(IFERROR(INDEX(Кат!$B:$B,MATCH(Прайс!D211,Кат!$I:$I,0)),INDEX(Кат!$B:$B,MATCH(A211,Кат!$I:$I,0))),"")</f>
        <v>13349</v>
      </c>
      <c r="I211" s="2" t="str">
        <f t="shared" si="7"/>
        <v>"Приора"Жгут проводов заднийВАЗ 2171-210-20</v>
      </c>
    </row>
    <row r="212" spans="1:9" s="2" customFormat="1" ht="12.75" x14ac:dyDescent="0.2">
      <c r="A212" s="40" t="str">
        <f t="shared" si="6"/>
        <v>"Приора"Жгут проводов заднийВАЗ 21713-210-00</v>
      </c>
      <c r="B212" s="83" t="s">
        <v>341</v>
      </c>
      <c r="C212" s="26" t="s">
        <v>200</v>
      </c>
      <c r="D212" s="26" t="s">
        <v>128</v>
      </c>
      <c r="E212" s="27">
        <v>5500</v>
      </c>
      <c r="F212" s="105" t="str">
        <f>IFERROR(IFERROR(VLOOKUP(D212,Кат!$I:$J,2,0),VLOOKUP(A212,Кат!$I:$J,2,0)),"")</f>
        <v>сергей проводка</v>
      </c>
      <c r="G212" s="105">
        <f>IFERROR(IFERROR(INDEX(Кат!$A:$A,MATCH(Прайс!D212,Кат!$I:$I,0)),INDEX(Кат!$A:$A,MATCH(A212,Кат!$I:$I,0))),"")</f>
        <v>144859</v>
      </c>
      <c r="H212" s="105">
        <f>IFERROR(IFERROR(INDEX(Кат!$B:$B,MATCH(Прайс!D212,Кат!$I:$I,0)),INDEX(Кат!$B:$B,MATCH(A212,Кат!$I:$I,0))),"")</f>
        <v>13350</v>
      </c>
      <c r="I212" s="2" t="str">
        <f t="shared" si="7"/>
        <v>"Приора"Жгут проводов заднийВАЗ 21713-210-00</v>
      </c>
    </row>
    <row r="213" spans="1:9" s="2" customFormat="1" ht="12.75" x14ac:dyDescent="0.2">
      <c r="A213" s="40" t="str">
        <f t="shared" si="6"/>
        <v>"Приора"Жгут проводов панели приборовВАЗ 2170-3724030-61</v>
      </c>
      <c r="B213" s="83" t="s">
        <v>341</v>
      </c>
      <c r="C213" s="26" t="s">
        <v>283</v>
      </c>
      <c r="D213" s="26" t="s">
        <v>129</v>
      </c>
      <c r="E213" s="27">
        <v>0</v>
      </c>
      <c r="F213" s="105" t="str">
        <f>IFERROR(IFERROR(VLOOKUP(D213,Кат!$I:$J,2,0),VLOOKUP(A213,Кат!$I:$J,2,0)),"")</f>
        <v>сергей проводка</v>
      </c>
      <c r="G213" s="105">
        <f>IFERROR(IFERROR(INDEX(Кат!$A:$A,MATCH(Прайс!D213,Кат!$I:$I,0)),INDEX(Кат!$A:$A,MATCH(A213,Кат!$I:$I,0))),"")</f>
        <v>144913</v>
      </c>
      <c r="H213" s="105">
        <f>IFERROR(IFERROR(INDEX(Кат!$B:$B,MATCH(Прайс!D213,Кат!$I:$I,0)),INDEX(Кат!$B:$B,MATCH(A213,Кат!$I:$I,0))),"")</f>
        <v>13351</v>
      </c>
      <c r="I213" s="2" t="str">
        <f t="shared" si="7"/>
        <v>"Приора"Жгут проводов панели приборовВАЗ 2170-3724030-61</v>
      </c>
    </row>
    <row r="214" spans="1:9" s="2" customFormat="1" ht="12.75" x14ac:dyDescent="0.2">
      <c r="A214" s="40" t="str">
        <f t="shared" si="6"/>
        <v>"Приора"Жгут проводов передней левой двери(зеркало без поворотника)ВАЗ 21703-3724551-90</v>
      </c>
      <c r="B214" s="83" t="s">
        <v>341</v>
      </c>
      <c r="C214" s="26" t="s">
        <v>344</v>
      </c>
      <c r="D214" s="26" t="s">
        <v>58</v>
      </c>
      <c r="E214" s="27">
        <v>2500</v>
      </c>
      <c r="F214" s="105" t="str">
        <f>IFERROR(IFERROR(VLOOKUP(D214,Кат!$I:$J,2,0),VLOOKUP(A214,Кат!$I:$J,2,0)),"")</f>
        <v>сергей проводка</v>
      </c>
      <c r="G214" s="105">
        <f>IFERROR(IFERROR(INDEX(Кат!$A:$A,MATCH(Прайс!D214,Кат!$I:$I,0)),INDEX(Кат!$A:$A,MATCH(A214,Кат!$I:$I,0))),"")</f>
        <v>144930</v>
      </c>
      <c r="H214" s="105">
        <f>IFERROR(IFERROR(INDEX(Кат!$B:$B,MATCH(Прайс!D214,Кат!$I:$I,0)),INDEX(Кат!$B:$B,MATCH(A214,Кат!$I:$I,0))),"")</f>
        <v>13352</v>
      </c>
      <c r="I214" s="2" t="str">
        <f t="shared" si="7"/>
        <v>"Приора"Жгут проводов передней левой двери(зеркало без поворотника)ВАЗ 21703-3724551-90</v>
      </c>
    </row>
    <row r="215" spans="1:9" s="2" customFormat="1" ht="12.75" x14ac:dyDescent="0.2">
      <c r="A215" s="40" t="str">
        <f t="shared" si="6"/>
        <v>"Приора"Жгут проводов передней левой двери(зеркало с поворотником)ВАЗ 2172-3724551-30</v>
      </c>
      <c r="B215" s="83" t="s">
        <v>341</v>
      </c>
      <c r="C215" s="26" t="s">
        <v>345</v>
      </c>
      <c r="D215" s="26" t="s">
        <v>44</v>
      </c>
      <c r="E215" s="27">
        <v>3000</v>
      </c>
      <c r="F215" s="105" t="str">
        <f>IFERROR(IFERROR(VLOOKUP(D215,Кат!$I:$J,2,0),VLOOKUP(A215,Кат!$I:$J,2,0)),"")</f>
        <v>сергей проводка</v>
      </c>
      <c r="G215" s="105">
        <f>IFERROR(IFERROR(INDEX(Кат!$A:$A,MATCH(Прайс!D215,Кат!$I:$I,0)),INDEX(Кат!$A:$A,MATCH(A215,Кат!$I:$I,0))),"")</f>
        <v>144931</v>
      </c>
      <c r="H215" s="105">
        <f>IFERROR(IFERROR(INDEX(Кат!$B:$B,MATCH(Прайс!D215,Кат!$I:$I,0)),INDEX(Кат!$B:$B,MATCH(A215,Кат!$I:$I,0))),"")</f>
        <v>13353</v>
      </c>
      <c r="I215" s="2" t="str">
        <f t="shared" si="7"/>
        <v>"Приора"Жгут проводов передней левой двери(зеркало с поворотником)ВАЗ 2172-3724551-30</v>
      </c>
    </row>
    <row r="216" spans="1:9" s="2" customFormat="1" ht="12.75" x14ac:dyDescent="0.2">
      <c r="A216" s="40" t="str">
        <f t="shared" si="6"/>
        <v>"Приора"Жгут проводов задней двериВАЗ 21703-3724550-19</v>
      </c>
      <c r="B216" s="41" t="s">
        <v>341</v>
      </c>
      <c r="C216" s="42" t="s">
        <v>298</v>
      </c>
      <c r="D216" s="42" t="s">
        <v>1015</v>
      </c>
      <c r="E216" s="43">
        <v>1000</v>
      </c>
      <c r="F216" s="105" t="str">
        <f>IFERROR(IFERROR(VLOOKUP(D216,Кат!$I:$J,2,0),VLOOKUP(A216,Кат!$I:$J,2,0)),"")</f>
        <v>сергей проводка</v>
      </c>
      <c r="G216" s="105">
        <f>IFERROR(IFERROR(INDEX(Кат!$A:$A,MATCH(Прайс!D216,Кат!$I:$I,0)),INDEX(Кат!$A:$A,MATCH(A216,Кат!$I:$I,0))),"")</f>
        <v>426933</v>
      </c>
      <c r="H216" s="105">
        <f>IFERROR(IFERROR(INDEX(Кат!$B:$B,MATCH(Прайс!D216,Кат!$I:$I,0)),INDEX(Кат!$B:$B,MATCH(A216,Кат!$I:$I,0))),"")</f>
        <v>426933</v>
      </c>
      <c r="I216" s="2" t="str">
        <f t="shared" si="7"/>
        <v>"Приора"Жгут проводов задней двериВАЗ 21703-3724550-19</v>
      </c>
    </row>
    <row r="217" spans="1:9" s="2" customFormat="1" ht="12.75" x14ac:dyDescent="0.2">
      <c r="A217" s="40" t="str">
        <f t="shared" si="6"/>
        <v>"Приора"Жгут проводов передней правой двери(зеркало без поворотника)ВАЗ 21703-3724550-90</v>
      </c>
      <c r="B217" s="83" t="s">
        <v>341</v>
      </c>
      <c r="C217" s="26" t="s">
        <v>346</v>
      </c>
      <c r="D217" s="26" t="s">
        <v>130</v>
      </c>
      <c r="E217" s="27">
        <v>2500</v>
      </c>
      <c r="F217" s="105" t="str">
        <f>IFERROR(IFERROR(VLOOKUP(D217,Кат!$I:$J,2,0),VLOOKUP(A217,Кат!$I:$J,2,0)),"")</f>
        <v>сергей проводка</v>
      </c>
      <c r="G217" s="105">
        <f>IFERROR(IFERROR(INDEX(Кат!$A:$A,MATCH(Прайс!D217,Кат!$I:$I,0)),INDEX(Кат!$A:$A,MATCH(A217,Кат!$I:$I,0))),"")</f>
        <v>144934</v>
      </c>
      <c r="H217" s="105">
        <f>IFERROR(IFERROR(INDEX(Кат!$B:$B,MATCH(Прайс!D217,Кат!$I:$I,0)),INDEX(Кат!$B:$B,MATCH(A217,Кат!$I:$I,0))),"")</f>
        <v>13354</v>
      </c>
      <c r="I217" s="2" t="str">
        <f t="shared" si="7"/>
        <v>"Приора"Жгут проводов передней правой двери(зеркало без поворотника)ВАЗ 21703-3724550-90</v>
      </c>
    </row>
    <row r="218" spans="1:9" s="2" customFormat="1" ht="12.75" x14ac:dyDescent="0.2">
      <c r="A218" s="40" t="str">
        <f t="shared" si="6"/>
        <v>"Приора"Жгут проводов передней правой двери(зеркало с поворотником)ВАЗ 2172-3724550-30</v>
      </c>
      <c r="B218" s="83" t="s">
        <v>341</v>
      </c>
      <c r="C218" s="26" t="s">
        <v>347</v>
      </c>
      <c r="D218" s="26" t="s">
        <v>45</v>
      </c>
      <c r="E218" s="27">
        <v>3000</v>
      </c>
      <c r="F218" s="105" t="str">
        <f>IFERROR(IFERROR(VLOOKUP(D218,Кат!$I:$J,2,0),VLOOKUP(A218,Кат!$I:$J,2,0)),"")</f>
        <v>сергей проводка</v>
      </c>
      <c r="G218" s="105">
        <f>IFERROR(IFERROR(INDEX(Кат!$A:$A,MATCH(Прайс!D218,Кат!$I:$I,0)),INDEX(Кат!$A:$A,MATCH(A218,Кат!$I:$I,0))),"")</f>
        <v>144935</v>
      </c>
      <c r="H218" s="105">
        <f>IFERROR(IFERROR(INDEX(Кат!$B:$B,MATCH(Прайс!D218,Кат!$I:$I,0)),INDEX(Кат!$B:$B,MATCH(A218,Кат!$I:$I,0))),"")</f>
        <v>13355</v>
      </c>
      <c r="I218" s="2" t="str">
        <f t="shared" si="7"/>
        <v>"Приора"Жгут проводов передней правой двери(зеркало с поворотником)ВАЗ 2172-3724550-30</v>
      </c>
    </row>
    <row r="219" spans="1:9" s="2" customFormat="1" ht="12.75" x14ac:dyDescent="0.2">
      <c r="A219" s="40" t="str">
        <f t="shared" si="6"/>
        <v>"Приора"Жгут проводов фар и генератораВАЗ 2170-3724010</v>
      </c>
      <c r="B219" s="83" t="s">
        <v>341</v>
      </c>
      <c r="C219" s="26" t="s">
        <v>276</v>
      </c>
      <c r="D219" s="26" t="s">
        <v>136</v>
      </c>
      <c r="E219" s="27">
        <v>7000</v>
      </c>
      <c r="F219" s="105" t="str">
        <f>IFERROR(IFERROR(VLOOKUP(D219,Кат!$I:$J,2,0),VLOOKUP(A219,Кат!$I:$J,2,0)),"")</f>
        <v>сергей проводка</v>
      </c>
      <c r="G219" s="105">
        <f>IFERROR(IFERROR(INDEX(Кат!$A:$A,MATCH(Прайс!D219,Кат!$I:$I,0)),INDEX(Кат!$A:$A,MATCH(A219,Кат!$I:$I,0))),"")</f>
        <v>144990</v>
      </c>
      <c r="H219" s="105">
        <f>IFERROR(IFERROR(INDEX(Кат!$B:$B,MATCH(Прайс!D219,Кат!$I:$I,0)),INDEX(Кат!$B:$B,MATCH(A219,Кат!$I:$I,0))),"")</f>
        <v>13363</v>
      </c>
      <c r="I219" s="2" t="str">
        <f t="shared" si="7"/>
        <v>"Приора"Жгут проводов фар и генератораВАЗ 2170-3724010</v>
      </c>
    </row>
    <row r="220" spans="1:9" s="2" customFormat="1" ht="12.75" x14ac:dyDescent="0.2">
      <c r="A220" s="40" t="str">
        <f t="shared" si="6"/>
        <v>"Приора"Жгут проводов фар и генератораВАЗ 2172-3724010</v>
      </c>
      <c r="B220" s="83" t="s">
        <v>341</v>
      </c>
      <c r="C220" s="26" t="s">
        <v>276</v>
      </c>
      <c r="D220" s="26" t="s">
        <v>131</v>
      </c>
      <c r="E220" s="27">
        <v>7000</v>
      </c>
      <c r="F220" s="105" t="str">
        <f>IFERROR(IFERROR(VLOOKUP(D220,Кат!$I:$J,2,0),VLOOKUP(A220,Кат!$I:$J,2,0)),"")</f>
        <v>сергей проводка</v>
      </c>
      <c r="G220" s="105">
        <f>IFERROR(IFERROR(INDEX(Кат!$A:$A,MATCH(Прайс!D220,Кат!$I:$I,0)),INDEX(Кат!$A:$A,MATCH(A220,Кат!$I:$I,0))),"")</f>
        <v>144993</v>
      </c>
      <c r="H220" s="105">
        <f>IFERROR(IFERROR(INDEX(Кат!$B:$B,MATCH(Прайс!D220,Кат!$I:$I,0)),INDEX(Кат!$B:$B,MATCH(A220,Кат!$I:$I,0))),"")</f>
        <v>13356</v>
      </c>
      <c r="I220" s="2" t="str">
        <f t="shared" si="7"/>
        <v>"Приора"Жгут проводов фар и генератораВАЗ 2172-3724010</v>
      </c>
    </row>
    <row r="221" spans="1:9" s="2" customFormat="1" ht="12.75" x14ac:dyDescent="0.2">
      <c r="A221" s="40" t="str">
        <f t="shared" si="6"/>
        <v>"Приора"Жгут проводов фар и генератора с АБС и кондиционеромВАЗ 2170-3724010-62</v>
      </c>
      <c r="B221" s="83" t="s">
        <v>341</v>
      </c>
      <c r="C221" s="26" t="s">
        <v>348</v>
      </c>
      <c r="D221" s="26" t="s">
        <v>132</v>
      </c>
      <c r="E221" s="27">
        <v>13000</v>
      </c>
      <c r="F221" s="105" t="str">
        <f>IFERROR(IFERROR(VLOOKUP(D221,Кат!$I:$J,2,0),VLOOKUP(A221,Кат!$I:$J,2,0)),"")</f>
        <v>сергей проводка</v>
      </c>
      <c r="G221" s="105">
        <f>IFERROR(IFERROR(INDEX(Кат!$A:$A,MATCH(Прайс!D221,Кат!$I:$I,0)),INDEX(Кат!$A:$A,MATCH(A221,Кат!$I:$I,0))),"")</f>
        <v>144992</v>
      </c>
      <c r="H221" s="105">
        <f>IFERROR(IFERROR(INDEX(Кат!$B:$B,MATCH(Прайс!D221,Кат!$I:$I,0)),INDEX(Кат!$B:$B,MATCH(A221,Кат!$I:$I,0))),"")</f>
        <v>13357</v>
      </c>
      <c r="I221" s="2" t="str">
        <f t="shared" si="7"/>
        <v>"Приора"Жгут проводов фар и генератора с АБС и кондиционеромВАЗ 2170-3724010-62</v>
      </c>
    </row>
    <row r="222" spans="1:9" s="2" customFormat="1" ht="12.75" x14ac:dyDescent="0.2">
      <c r="A222" s="40" t="str">
        <f t="shared" si="6"/>
        <v>"Приора"Жгут проводов фар и генератора с кондиционером HALAВАЗ 2170-3724010-30</v>
      </c>
      <c r="B222" s="83" t="s">
        <v>341</v>
      </c>
      <c r="C222" s="26" t="s">
        <v>349</v>
      </c>
      <c r="D222" s="26" t="s">
        <v>133</v>
      </c>
      <c r="E222" s="27">
        <v>9000</v>
      </c>
      <c r="F222" s="105" t="str">
        <f>IFERROR(IFERROR(VLOOKUP(D222,Кат!$I:$J,2,0),VLOOKUP(A222,Кат!$I:$J,2,0)),"")</f>
        <v>сергей проводка</v>
      </c>
      <c r="G222" s="105">
        <f>IFERROR(IFERROR(INDEX(Кат!$A:$A,MATCH(Прайс!D222,Кат!$I:$I,0)),INDEX(Кат!$A:$A,MATCH(A222,Кат!$I:$I,0))),"")</f>
        <v>144991</v>
      </c>
      <c r="H222" s="105">
        <f>IFERROR(IFERROR(INDEX(Кат!$B:$B,MATCH(Прайс!D222,Кат!$I:$I,0)),INDEX(Кат!$B:$B,MATCH(A222,Кат!$I:$I,0))),"")</f>
        <v>13358</v>
      </c>
      <c r="I222" s="2" t="str">
        <f t="shared" si="7"/>
        <v>"Приора"Жгут проводов фар и генератора с кондиционером HALAВАЗ 2170-3724010-30</v>
      </c>
    </row>
    <row r="223" spans="1:9" s="2" customFormat="1" ht="12.75" x14ac:dyDescent="0.2">
      <c r="A223" s="40" t="str">
        <f t="shared" si="6"/>
        <v>"Приора"Жгут системы зажиганияВАЗ 2170-3724026</v>
      </c>
      <c r="B223" s="83" t="s">
        <v>341</v>
      </c>
      <c r="C223" s="26" t="s">
        <v>249</v>
      </c>
      <c r="D223" s="26" t="s">
        <v>134</v>
      </c>
      <c r="E223" s="27">
        <v>0</v>
      </c>
      <c r="F223" s="105" t="str">
        <f>IFERROR(IFERROR(VLOOKUP(D223,Кат!$I:$J,2,0),VLOOKUP(A223,Кат!$I:$J,2,0)),"")</f>
        <v>сергей проводка</v>
      </c>
      <c r="G223" s="105">
        <f>IFERROR(IFERROR(INDEX(Кат!$A:$A,MATCH(Прайс!D223,Кат!$I:$I,0)),INDEX(Кат!$A:$A,MATCH(A223,Кат!$I:$I,0))),"")</f>
        <v>144972</v>
      </c>
      <c r="H223" s="105">
        <f>IFERROR(IFERROR(INDEX(Кат!$B:$B,MATCH(Прайс!D223,Кат!$I:$I,0)),INDEX(Кат!$B:$B,MATCH(A223,Кат!$I:$I,0))),"")</f>
        <v>13359</v>
      </c>
      <c r="I223" s="2" t="str">
        <f t="shared" si="7"/>
        <v>"Приора"Жгут системы зажиганияВАЗ 2170-3724026</v>
      </c>
    </row>
    <row r="224" spans="1:9" s="2" customFormat="1" ht="12.75" x14ac:dyDescent="0.2">
      <c r="A224" s="40" t="str">
        <f t="shared" si="6"/>
        <v>"Приора"Жгут системы зажиганияВАЗ 21702-3724026</v>
      </c>
      <c r="B224" s="83" t="s">
        <v>341</v>
      </c>
      <c r="C224" s="26" t="s">
        <v>249</v>
      </c>
      <c r="D224" s="26" t="s">
        <v>350</v>
      </c>
      <c r="E224" s="27">
        <v>0</v>
      </c>
      <c r="F224" s="105" t="str">
        <f>IFERROR(IFERROR(VLOOKUP(D224,Кат!$I:$J,2,0),VLOOKUP(A224,Кат!$I:$J,2,0)),"")</f>
        <v>сергей проводка</v>
      </c>
      <c r="G224" s="105">
        <f>IFERROR(IFERROR(INDEX(Кат!$A:$A,MATCH(Прайс!D224,Кат!$I:$I,0)),INDEX(Кат!$A:$A,MATCH(A224,Кат!$I:$I,0))),"")</f>
        <v>426942</v>
      </c>
      <c r="H224" s="105">
        <f>IFERROR(IFERROR(INDEX(Кат!$B:$B,MATCH(Прайс!D224,Кат!$I:$I,0)),INDEX(Кат!$B:$B,MATCH(A224,Кат!$I:$I,0))),"")</f>
        <v>426942</v>
      </c>
      <c r="I224" s="2" t="str">
        <f t="shared" si="7"/>
        <v>"Приора"Жгут системы зажиганияВАЗ 21702-3724026</v>
      </c>
    </row>
    <row r="225" spans="1:9" s="2" customFormat="1" ht="12.75" x14ac:dyDescent="0.2">
      <c r="A225" s="40" t="str">
        <f t="shared" si="6"/>
        <v>"Приора"Жгут системы зажиганияВАЗ 2170-3724026-10</v>
      </c>
      <c r="B225" s="83" t="s">
        <v>341</v>
      </c>
      <c r="C225" s="26" t="s">
        <v>249</v>
      </c>
      <c r="D225" s="26" t="s">
        <v>351</v>
      </c>
      <c r="E225" s="27">
        <v>0</v>
      </c>
      <c r="F225" s="105" t="str">
        <f>IFERROR(IFERROR(VLOOKUP(D225,Кат!$I:$J,2,0),VLOOKUP(A225,Кат!$I:$J,2,0)),"")</f>
        <v/>
      </c>
      <c r="G225" s="105" t="str">
        <f>IFERROR(IFERROR(INDEX(Кат!$A:$A,MATCH(Прайс!D225,Кат!$I:$I,0)),INDEX(Кат!$A:$A,MATCH(A225,Кат!$I:$I,0))),"")</f>
        <v/>
      </c>
      <c r="H225" s="105" t="str">
        <f>IFERROR(IFERROR(INDEX(Кат!$B:$B,MATCH(Прайс!D225,Кат!$I:$I,0)),INDEX(Кат!$B:$B,MATCH(A225,Кат!$I:$I,0))),"")</f>
        <v/>
      </c>
      <c r="I225" s="2" t="str">
        <f t="shared" si="7"/>
        <v>"Приора"Жгут системы зажиганияВАЗ 2170-3724026-10</v>
      </c>
    </row>
    <row r="226" spans="1:9" s="2" customFormat="1" ht="12.75" x14ac:dyDescent="0.2">
      <c r="A226" s="40" t="str">
        <f t="shared" si="6"/>
        <v>"Приора"Жгут системы зажиганияВАЗ 2170-3724026-50</v>
      </c>
      <c r="B226" s="41" t="s">
        <v>341</v>
      </c>
      <c r="C226" s="42" t="s">
        <v>249</v>
      </c>
      <c r="D226" s="42" t="s">
        <v>929</v>
      </c>
      <c r="E226" s="43">
        <v>0</v>
      </c>
      <c r="F226" s="105" t="str">
        <f>IFERROR(IFERROR(VLOOKUP(D226,Кат!$I:$J,2,0),VLOOKUP(A226,Кат!$I:$J,2,0)),"")</f>
        <v/>
      </c>
      <c r="G226" s="105" t="str">
        <f>IFERROR(IFERROR(INDEX(Кат!$A:$A,MATCH(Прайс!D226,Кат!$I:$I,0)),INDEX(Кат!$A:$A,MATCH(A226,Кат!$I:$I,0))),"")</f>
        <v/>
      </c>
      <c r="H226" s="105" t="str">
        <f>IFERROR(IFERROR(INDEX(Кат!$B:$B,MATCH(Прайс!D226,Кат!$I:$I,0)),INDEX(Кат!$B:$B,MATCH(A226,Кат!$I:$I,0))),"")</f>
        <v/>
      </c>
      <c r="I226" s="2" t="str">
        <f t="shared" si="7"/>
        <v>"Приора"Жгут системы зажиганияВАЗ 2170-3724026-50</v>
      </c>
    </row>
    <row r="227" spans="1:9" s="2" customFormat="1" ht="12.75" x14ac:dyDescent="0.2">
      <c r="A227" s="40" t="str">
        <f t="shared" si="6"/>
        <v>"Приора"Жгут системы зажиганияВАЗ 2170-3724026-60</v>
      </c>
      <c r="B227" s="83" t="s">
        <v>341</v>
      </c>
      <c r="C227" s="26" t="s">
        <v>249</v>
      </c>
      <c r="D227" s="26" t="s">
        <v>100</v>
      </c>
      <c r="E227" s="27">
        <v>11000</v>
      </c>
      <c r="F227" s="105" t="str">
        <f>IFERROR(IFERROR(VLOOKUP(D227,Кат!$I:$J,2,0),VLOOKUP(A227,Кат!$I:$J,2,0)),"")</f>
        <v>сергей проводка</v>
      </c>
      <c r="G227" s="105">
        <f>IFERROR(IFERROR(INDEX(Кат!$A:$A,MATCH(Прайс!D227,Кат!$I:$I,0)),INDEX(Кат!$A:$A,MATCH(A227,Кат!$I:$I,0))),"")</f>
        <v>144891</v>
      </c>
      <c r="H227" s="105">
        <f>IFERROR(IFERROR(INDEX(Кат!$B:$B,MATCH(Прайс!D227,Кат!$I:$I,0)),INDEX(Кат!$B:$B,MATCH(A227,Кат!$I:$I,0))),"")</f>
        <v>4007</v>
      </c>
      <c r="I227" s="2" t="str">
        <f t="shared" si="7"/>
        <v>"Приора"Жгут системы зажиганияВАЗ 2170-3724026-60</v>
      </c>
    </row>
    <row r="228" spans="1:9" s="2" customFormat="1" ht="12.75" x14ac:dyDescent="0.2">
      <c r="A228" s="40" t="str">
        <f t="shared" si="6"/>
        <v>"Приора"КЛЕММА "+" (евро)ВАЗ 2170 -3724070</v>
      </c>
      <c r="B228" s="83" t="s">
        <v>341</v>
      </c>
      <c r="C228" s="26" t="s">
        <v>846</v>
      </c>
      <c r="D228" s="26" t="s">
        <v>135</v>
      </c>
      <c r="E228" s="27">
        <v>550</v>
      </c>
      <c r="F228" s="105" t="str">
        <f>IFERROR(IFERROR(VLOOKUP(D228,Кат!$I:$J,2,0),VLOOKUP(A228,Кат!$I:$J,2,0)),"")</f>
        <v>сергей проводка</v>
      </c>
      <c r="G228" s="105">
        <f>IFERROR(IFERROR(INDEX(Кат!$A:$A,MATCH(Прайс!D228,Кат!$I:$I,0)),INDEX(Кат!$A:$A,MATCH(A228,Кат!$I:$I,0))),"")</f>
        <v>155903</v>
      </c>
      <c r="H228" s="105">
        <f>IFERROR(IFERROR(INDEX(Кат!$B:$B,MATCH(Прайс!D228,Кат!$I:$I,0)),INDEX(Кат!$B:$B,MATCH(A228,Кат!$I:$I,0))),"")</f>
        <v>13361</v>
      </c>
      <c r="I228" s="2" t="str">
        <f t="shared" si="7"/>
        <v>"Приора"КЛЕММА "+" (евро)ВАЗ 2170 -3724070</v>
      </c>
    </row>
    <row r="229" spans="1:9" s="2" customFormat="1" ht="12.75" x14ac:dyDescent="0.2">
      <c r="A229" s="40" t="str">
        <f t="shared" si="6"/>
        <v>"Приора"Монтажный набор для подключения лобового стекла с подогревомВАЗ 2170</v>
      </c>
      <c r="B229" s="83" t="s">
        <v>341</v>
      </c>
      <c r="C229" s="26" t="s">
        <v>309</v>
      </c>
      <c r="D229" s="26" t="s">
        <v>352</v>
      </c>
      <c r="E229" s="27">
        <v>5500</v>
      </c>
      <c r="F229" s="105" t="str">
        <f>IFERROR(IFERROR(VLOOKUP(D229,Кат!$I:$J,2,0),VLOOKUP(A229,Кат!$I:$J,2,0)),"")</f>
        <v>сергей проводка</v>
      </c>
      <c r="G229" s="105">
        <f>IFERROR(IFERROR(INDEX(Кат!$A:$A,MATCH(Прайс!D229,Кат!$I:$I,0)),INDEX(Кат!$A:$A,MATCH(A229,Кат!$I:$I,0))),"")</f>
        <v>164580</v>
      </c>
      <c r="H229" s="105">
        <f>IFERROR(IFERROR(INDEX(Кат!$B:$B,MATCH(Прайс!D229,Кат!$I:$I,0)),INDEX(Кат!$B:$B,MATCH(A229,Кат!$I:$I,0))),"")</f>
        <v>13362</v>
      </c>
      <c r="I229" s="2" t="str">
        <f t="shared" si="7"/>
        <v>"Приора"Монтажный набор для подключения лобового стекла с подогревомВАЗ 2170</v>
      </c>
    </row>
    <row r="230" spans="1:9" s="2" customFormat="1" ht="12.75" x14ac:dyDescent="0.2">
      <c r="A230" s="40" t="str">
        <f t="shared" si="6"/>
        <v>"Гранта"Жгут проводов фар и генератораВАЗ 2190-3724010</v>
      </c>
      <c r="B230" s="83" t="s">
        <v>353</v>
      </c>
      <c r="C230" s="28" t="s">
        <v>276</v>
      </c>
      <c r="D230" s="28" t="s">
        <v>158</v>
      </c>
      <c r="E230" s="27">
        <v>7000</v>
      </c>
      <c r="F230" s="105" t="str">
        <f>IFERROR(IFERROR(VLOOKUP(D230,Кат!$I:$J,2,0),VLOOKUP(A230,Кат!$I:$J,2,0)),"")</f>
        <v>сергей проводка</v>
      </c>
      <c r="G230" s="105">
        <f>IFERROR(IFERROR(INDEX(Кат!$A:$A,MATCH(Прайс!D230,Кат!$I:$I,0)),INDEX(Кат!$A:$A,MATCH(A230,Кат!$I:$I,0))),"")</f>
        <v>144994</v>
      </c>
      <c r="H230" s="105">
        <f>IFERROR(IFERROR(INDEX(Кат!$B:$B,MATCH(Прайс!D230,Кат!$I:$I,0)),INDEX(Кат!$B:$B,MATCH(A230,Кат!$I:$I,0))),"")</f>
        <v>13392</v>
      </c>
      <c r="I230" s="2" t="str">
        <f t="shared" si="7"/>
        <v>"Гранта"Жгут проводов фар и генератораВАЗ 2190-3724010</v>
      </c>
    </row>
    <row r="231" spans="1:9" s="2" customFormat="1" ht="12.75" x14ac:dyDescent="0.2">
      <c r="A231" s="40" t="str">
        <f t="shared" si="6"/>
        <v>"Гранта"Жгут проводов системы зажиганияВАЗ 2190-3724026-40</v>
      </c>
      <c r="B231" s="83" t="s">
        <v>353</v>
      </c>
      <c r="C231" s="26" t="s">
        <v>271</v>
      </c>
      <c r="D231" s="26" t="s">
        <v>137</v>
      </c>
      <c r="E231" s="23">
        <v>11000</v>
      </c>
      <c r="F231" s="105" t="str">
        <f>IFERROR(IFERROR(VLOOKUP(D231,Кат!$I:$J,2,0),VLOOKUP(A231,Кат!$I:$J,2,0)),"")</f>
        <v>сергей проводка</v>
      </c>
      <c r="G231" s="105">
        <f>IFERROR(IFERROR(INDEX(Кат!$A:$A,MATCH(Прайс!D231,Кат!$I:$I,0)),INDEX(Кат!$A:$A,MATCH(A231,Кат!$I:$I,0))),"")</f>
        <v>144973</v>
      </c>
      <c r="H231" s="105">
        <f>IFERROR(IFERROR(INDEX(Кат!$B:$B,MATCH(Прайс!D231,Кат!$I:$I,0)),INDEX(Кат!$B:$B,MATCH(A231,Кат!$I:$I,0))),"")</f>
        <v>13364</v>
      </c>
      <c r="I231" s="2" t="str">
        <f t="shared" si="7"/>
        <v>"Гранта"Жгут проводов системы зажиганияВАЗ 2190-3724026-40</v>
      </c>
    </row>
    <row r="232" spans="1:9" s="2" customFormat="1" ht="12.75" x14ac:dyDescent="0.2">
      <c r="A232" s="40" t="str">
        <f t="shared" si="6"/>
        <v>"Гранта"Жгут проводов панели приборовВАЗ 2190-3724030</v>
      </c>
      <c r="B232" s="83" t="s">
        <v>353</v>
      </c>
      <c r="C232" s="26" t="s">
        <v>283</v>
      </c>
      <c r="D232" s="26" t="s">
        <v>139</v>
      </c>
      <c r="E232" s="27">
        <v>15000</v>
      </c>
      <c r="F232" s="105" t="str">
        <f>IFERROR(IFERROR(VLOOKUP(D232,Кат!$I:$J,2,0),VLOOKUP(A232,Кат!$I:$J,2,0)),"")</f>
        <v>сергей проводка</v>
      </c>
      <c r="G232" s="105">
        <f>IFERROR(IFERROR(INDEX(Кат!$A:$A,MATCH(Прайс!D232,Кат!$I:$I,0)),INDEX(Кат!$A:$A,MATCH(A232,Кат!$I:$I,0))),"")</f>
        <v>144914</v>
      </c>
      <c r="H232" s="105">
        <f>IFERROR(IFERROR(INDEX(Кат!$B:$B,MATCH(Прайс!D232,Кат!$I:$I,0)),INDEX(Кат!$B:$B,MATCH(A232,Кат!$I:$I,0))),"")</f>
        <v>13365</v>
      </c>
      <c r="I232" s="2" t="str">
        <f t="shared" si="7"/>
        <v>"Гранта"Жгут проводов панели приборовВАЗ 2190-3724030</v>
      </c>
    </row>
    <row r="233" spans="1:9" s="2" customFormat="1" ht="12.75" x14ac:dyDescent="0.2">
      <c r="A233" s="40" t="str">
        <f t="shared" si="6"/>
        <v>"Гранта"Жгут проводов заднийВАЗ 2190-3724210</v>
      </c>
      <c r="B233" s="83" t="s">
        <v>353</v>
      </c>
      <c r="C233" s="26" t="s">
        <v>200</v>
      </c>
      <c r="D233" s="26" t="s">
        <v>118</v>
      </c>
      <c r="E233" s="27">
        <v>5500</v>
      </c>
      <c r="F233" s="105" t="str">
        <f>IFERROR(IFERROR(VLOOKUP(D233,Кат!$I:$J,2,0),VLOOKUP(A233,Кат!$I:$J,2,0)),"")</f>
        <v>сергей проводка</v>
      </c>
      <c r="G233" s="105">
        <f>IFERROR(IFERROR(INDEX(Кат!$A:$A,MATCH(Прайс!D233,Кат!$I:$I,0)),INDEX(Кат!$A:$A,MATCH(A233,Кат!$I:$I,0))),"")</f>
        <v>144860</v>
      </c>
      <c r="H233" s="105">
        <f>IFERROR(IFERROR(INDEX(Кат!$B:$B,MATCH(Прайс!D233,Кат!$I:$I,0)),INDEX(Кат!$B:$B,MATCH(A233,Кат!$I:$I,0))),"")</f>
        <v>13366</v>
      </c>
      <c r="I233" s="2" t="str">
        <f t="shared" si="7"/>
        <v>"Гранта"Жгут проводов заднийВАЗ 2190-3724210</v>
      </c>
    </row>
    <row r="234" spans="1:9" s="2" customFormat="1" ht="12.75" x14ac:dyDescent="0.2">
      <c r="A234" s="40" t="str">
        <f t="shared" si="6"/>
        <v>"Гранта"Жгут проводов системы зажиганияВАЗ 21903-3724026-45</v>
      </c>
      <c r="B234" s="83" t="s">
        <v>353</v>
      </c>
      <c r="C234" s="26" t="s">
        <v>271</v>
      </c>
      <c r="D234" s="26" t="s">
        <v>9</v>
      </c>
      <c r="E234" s="27">
        <v>15000</v>
      </c>
      <c r="F234" s="105" t="str">
        <f>IFERROR(IFERROR(VLOOKUP(D234,Кат!$I:$J,2,0),VLOOKUP(A234,Кат!$I:$J,2,0)),"")</f>
        <v>сергей проводка</v>
      </c>
      <c r="G234" s="105">
        <f>IFERROR(IFERROR(INDEX(Кат!$A:$A,MATCH(Прайс!D234,Кат!$I:$I,0)),INDEX(Кат!$A:$A,MATCH(A234,Кат!$I:$I,0))),"")</f>
        <v>144974</v>
      </c>
      <c r="H234" s="105">
        <f>IFERROR(IFERROR(INDEX(Кат!$B:$B,MATCH(Прайс!D234,Кат!$I:$I,0)),INDEX(Кат!$B:$B,MATCH(A234,Кат!$I:$I,0))),"")</f>
        <v>13367</v>
      </c>
      <c r="I234" s="2" t="str">
        <f t="shared" si="7"/>
        <v>"Гранта"Жгут проводов системы зажиганияВАЗ 21903-3724026-45</v>
      </c>
    </row>
    <row r="235" spans="1:9" s="2" customFormat="1" ht="12.75" x14ac:dyDescent="0.2">
      <c r="A235" s="40" t="str">
        <f t="shared" si="6"/>
        <v>"Гранта"Жгут проводов противотуманных фарВАЗ 2190</v>
      </c>
      <c r="B235" s="83" t="s">
        <v>353</v>
      </c>
      <c r="C235" s="26" t="s">
        <v>354</v>
      </c>
      <c r="D235" s="26" t="s">
        <v>355</v>
      </c>
      <c r="E235" s="27">
        <v>750</v>
      </c>
      <c r="F235" s="105" t="str">
        <f>IFERROR(IFERROR(VLOOKUP(D235,Кат!$I:$J,2,0),VLOOKUP(A235,Кат!$I:$J,2,0)),"")</f>
        <v/>
      </c>
      <c r="G235" s="105" t="str">
        <f>IFERROR(IFERROR(INDEX(Кат!$A:$A,MATCH(Прайс!D235,Кат!$I:$I,0)),INDEX(Кат!$A:$A,MATCH(A235,Кат!$I:$I,0))),"")</f>
        <v/>
      </c>
      <c r="H235" s="105" t="str">
        <f>IFERROR(IFERROR(INDEX(Кат!$B:$B,MATCH(Прайс!D235,Кат!$I:$I,0)),INDEX(Кат!$B:$B,MATCH(A235,Кат!$I:$I,0))),"")</f>
        <v/>
      </c>
      <c r="I235" s="2" t="str">
        <f t="shared" si="7"/>
        <v>"Гранта"Жгут проводов противотуманных фарВАЗ 2190</v>
      </c>
    </row>
    <row r="236" spans="1:9" s="2" customFormat="1" ht="12.75" x14ac:dyDescent="0.2">
      <c r="A236" s="40" t="str">
        <f t="shared" si="6"/>
        <v>"Гранта"Жгут проводов передней левой двериВАЗ 2190-3724545-10</v>
      </c>
      <c r="B236" s="83" t="s">
        <v>353</v>
      </c>
      <c r="C236" s="26" t="s">
        <v>356</v>
      </c>
      <c r="D236" s="26" t="s">
        <v>57</v>
      </c>
      <c r="E236" s="27">
        <v>2000</v>
      </c>
      <c r="F236" s="105" t="str">
        <f>IFERROR(IFERROR(VLOOKUP(D236,Кат!$I:$J,2,0),VLOOKUP(A236,Кат!$I:$J,2,0)),"")</f>
        <v>сергей проводка</v>
      </c>
      <c r="G236" s="105">
        <f>IFERROR(IFERROR(INDEX(Кат!$A:$A,MATCH(Прайс!D236,Кат!$I:$I,0)),INDEX(Кат!$A:$A,MATCH(A236,Кат!$I:$I,0))),"")</f>
        <v>144932</v>
      </c>
      <c r="H236" s="105">
        <f>IFERROR(IFERROR(INDEX(Кат!$B:$B,MATCH(Прайс!D236,Кат!$I:$I,0)),INDEX(Кат!$B:$B,MATCH(A236,Кат!$I:$I,0))),"")</f>
        <v>13327</v>
      </c>
      <c r="I236" s="2" t="str">
        <f t="shared" si="7"/>
        <v>"Гранта"Жгут проводов передней левой двериВАЗ 2190-3724545-10</v>
      </c>
    </row>
    <row r="237" spans="1:9" s="2" customFormat="1" ht="12.75" x14ac:dyDescent="0.2">
      <c r="A237" s="40" t="str">
        <f t="shared" si="6"/>
        <v>"Гранта"Жгут проводов передней правой двериВАЗ 2190-3724544-10</v>
      </c>
      <c r="B237" s="83" t="s">
        <v>353</v>
      </c>
      <c r="C237" s="26" t="s">
        <v>357</v>
      </c>
      <c r="D237" s="26" t="s">
        <v>140</v>
      </c>
      <c r="E237" s="27">
        <v>2000</v>
      </c>
      <c r="F237" s="105" t="str">
        <f>IFERROR(IFERROR(VLOOKUP(D237,Кат!$I:$J,2,0),VLOOKUP(A237,Кат!$I:$J,2,0)),"")</f>
        <v>сергей проводка</v>
      </c>
      <c r="G237" s="105">
        <f>IFERROR(IFERROR(INDEX(Кат!$A:$A,MATCH(Прайс!D237,Кат!$I:$I,0)),INDEX(Кат!$A:$A,MATCH(A237,Кат!$I:$I,0))),"")</f>
        <v>144936</v>
      </c>
      <c r="H237" s="105">
        <f>IFERROR(IFERROR(INDEX(Кат!$B:$B,MATCH(Прайс!D237,Кат!$I:$I,0)),INDEX(Кат!$B:$B,MATCH(A237,Кат!$I:$I,0))),"")</f>
        <v>13328</v>
      </c>
      <c r="I237" s="2" t="str">
        <f t="shared" si="7"/>
        <v>"Гранта"Жгут проводов передней правой двериВАЗ 2190-3724544-10</v>
      </c>
    </row>
    <row r="238" spans="1:9" s="2" customFormat="1" ht="12.75" x14ac:dyDescent="0.2">
      <c r="A238" s="40" t="str">
        <f t="shared" si="6"/>
        <v>"Гранта"Монтажный набор для подключения лобового стекла с подогревомВАЗ 2190</v>
      </c>
      <c r="B238" s="83" t="s">
        <v>353</v>
      </c>
      <c r="C238" s="26" t="s">
        <v>309</v>
      </c>
      <c r="D238" s="26" t="s">
        <v>355</v>
      </c>
      <c r="E238" s="27">
        <v>4000</v>
      </c>
      <c r="F238" s="105" t="str">
        <f>IFERROR(IFERROR(VLOOKUP(D238,Кат!$I:$J,2,0),VLOOKUP(A238,Кат!$I:$J,2,0)),"")</f>
        <v>сергей проводка</v>
      </c>
      <c r="G238" s="105">
        <f>IFERROR(IFERROR(INDEX(Кат!$A:$A,MATCH(Прайс!D238,Кат!$I:$I,0)),INDEX(Кат!$A:$A,MATCH(A238,Кат!$I:$I,0))),"")</f>
        <v>164579</v>
      </c>
      <c r="H238" s="105">
        <f>IFERROR(IFERROR(INDEX(Кат!$B:$B,MATCH(Прайс!D238,Кат!$I:$I,0)),INDEX(Кат!$B:$B,MATCH(A238,Кат!$I:$I,0))),"")</f>
        <v>13370</v>
      </c>
      <c r="I238" s="2" t="str">
        <f t="shared" si="7"/>
        <v>"Гранта"Монтажный набор для подключения лобового стекла с подогревомВАЗ 2190</v>
      </c>
    </row>
    <row r="239" spans="1:9" s="2" customFormat="1" ht="12.75" x14ac:dyDescent="0.2">
      <c r="A239" s="40" t="str">
        <f t="shared" si="6"/>
        <v>"Гранта"Жгут проводов панели приборов ВАЗ 21922-3724030-50</v>
      </c>
      <c r="B239" s="83" t="s">
        <v>353</v>
      </c>
      <c r="C239" s="26" t="s">
        <v>358</v>
      </c>
      <c r="D239" s="26" t="s">
        <v>141</v>
      </c>
      <c r="E239" s="27">
        <v>20000</v>
      </c>
      <c r="F239" s="105" t="str">
        <f>IFERROR(IFERROR(VLOOKUP(D239,Кат!$I:$J,2,0),VLOOKUP(A239,Кат!$I:$J,2,0)),"")</f>
        <v>сергей проводка</v>
      </c>
      <c r="G239" s="105">
        <f>IFERROR(IFERROR(INDEX(Кат!$A:$A,MATCH(Прайс!D239,Кат!$I:$I,0)),INDEX(Кат!$A:$A,MATCH(A239,Кат!$I:$I,0))),"")</f>
        <v>144925</v>
      </c>
      <c r="H239" s="105">
        <f>IFERROR(IFERROR(INDEX(Кат!$B:$B,MATCH(Прайс!D239,Кат!$I:$I,0)),INDEX(Кат!$B:$B,MATCH(A239,Кат!$I:$I,0))),"")</f>
        <v>13371</v>
      </c>
      <c r="I239" s="2" t="str">
        <f t="shared" si="7"/>
        <v>"Гранта"Жгут проводов панели приборов ВАЗ 21922-3724030-50</v>
      </c>
    </row>
    <row r="240" spans="1:9" s="2" customFormat="1" ht="12.75" x14ac:dyDescent="0.2">
      <c r="A240" s="40" t="str">
        <f t="shared" si="6"/>
        <v>"Гранта"Жгут проводов панели приборов ВАЗ 2191-3724030-61</v>
      </c>
      <c r="B240" s="83" t="s">
        <v>353</v>
      </c>
      <c r="C240" s="26" t="s">
        <v>358</v>
      </c>
      <c r="D240" s="26" t="s">
        <v>142</v>
      </c>
      <c r="E240" s="27">
        <v>20000</v>
      </c>
      <c r="F240" s="105" t="str">
        <f>IFERROR(IFERROR(VLOOKUP(D240,Кат!$I:$J,2,0),VLOOKUP(A240,Кат!$I:$J,2,0)),"")</f>
        <v>сергей проводка</v>
      </c>
      <c r="G240" s="105">
        <f>IFERROR(IFERROR(INDEX(Кат!$A:$A,MATCH(Прайс!D240,Кат!$I:$I,0)),INDEX(Кат!$A:$A,MATCH(A240,Кат!$I:$I,0))),"")</f>
        <v>144917</v>
      </c>
      <c r="H240" s="105">
        <f>IFERROR(IFERROR(INDEX(Кат!$B:$B,MATCH(Прайс!D240,Кат!$I:$I,0)),INDEX(Кат!$B:$B,MATCH(A240,Кат!$I:$I,0))),"")</f>
        <v>13372</v>
      </c>
      <c r="I240" s="2" t="str">
        <f t="shared" si="7"/>
        <v>"Гранта"Жгут проводов панели приборов ВАЗ 2191-3724030-61</v>
      </c>
    </row>
    <row r="241" spans="1:9" s="2" customFormat="1" ht="12.75" x14ac:dyDescent="0.2">
      <c r="A241" s="40" t="str">
        <f t="shared" si="6"/>
        <v>"Гранта"Жгут проводов панели приборов ВАЗ 21917-3724030-00</v>
      </c>
      <c r="B241" s="83" t="s">
        <v>353</v>
      </c>
      <c r="C241" s="26" t="s">
        <v>358</v>
      </c>
      <c r="D241" s="26" t="s">
        <v>143</v>
      </c>
      <c r="E241" s="27">
        <v>20000</v>
      </c>
      <c r="F241" s="105" t="str">
        <f>IFERROR(IFERROR(VLOOKUP(D241,Кат!$I:$J,2,0),VLOOKUP(A241,Кат!$I:$J,2,0)),"")</f>
        <v>сергей проводка</v>
      </c>
      <c r="G241" s="105">
        <f>IFERROR(IFERROR(INDEX(Кат!$A:$A,MATCH(Прайс!D241,Кат!$I:$I,0)),INDEX(Кат!$A:$A,MATCH(A241,Кат!$I:$I,0))),"")</f>
        <v>144920</v>
      </c>
      <c r="H241" s="105">
        <f>IFERROR(IFERROR(INDEX(Кат!$B:$B,MATCH(Прайс!D241,Кат!$I:$I,0)),INDEX(Кат!$B:$B,MATCH(A241,Кат!$I:$I,0))),"")</f>
        <v>13373</v>
      </c>
      <c r="I241" s="2" t="str">
        <f t="shared" si="7"/>
        <v>"Гранта"Жгут проводов панели приборов ВАЗ 21917-3724030-00</v>
      </c>
    </row>
    <row r="242" spans="1:9" s="2" customFormat="1" ht="12.75" x14ac:dyDescent="0.2">
      <c r="A242" s="40" t="str">
        <f t="shared" si="6"/>
        <v>"Гранта"Жгут проводов панели приборов ВАЗ 2191-3724030-63</v>
      </c>
      <c r="B242" s="83" t="s">
        <v>353</v>
      </c>
      <c r="C242" s="26" t="s">
        <v>358</v>
      </c>
      <c r="D242" s="26" t="s">
        <v>144</v>
      </c>
      <c r="E242" s="27">
        <v>20000</v>
      </c>
      <c r="F242" s="105" t="str">
        <f>IFERROR(IFERROR(VLOOKUP(D242,Кат!$I:$J,2,0),VLOOKUP(A242,Кат!$I:$J,2,0)),"")</f>
        <v>сергей проводка</v>
      </c>
      <c r="G242" s="105">
        <f>IFERROR(IFERROR(INDEX(Кат!$A:$A,MATCH(Прайс!D242,Кат!$I:$I,0)),INDEX(Кат!$A:$A,MATCH(A242,Кат!$I:$I,0))),"")</f>
        <v>144918</v>
      </c>
      <c r="H242" s="105">
        <f>IFERROR(IFERROR(INDEX(Кат!$B:$B,MATCH(Прайс!D242,Кат!$I:$I,0)),INDEX(Кат!$B:$B,MATCH(A242,Кат!$I:$I,0))),"")</f>
        <v>13374</v>
      </c>
      <c r="I242" s="2" t="str">
        <f t="shared" si="7"/>
        <v>"Гранта"Жгут проводов панели приборов ВАЗ 2191-3724030-63</v>
      </c>
    </row>
    <row r="243" spans="1:9" s="2" customFormat="1" ht="12.75" x14ac:dyDescent="0.2">
      <c r="A243" s="40" t="str">
        <f t="shared" si="6"/>
        <v>"Гранта"Жгут проводов панели приборов ВАЗ 2190-3724030-51</v>
      </c>
      <c r="B243" s="83" t="s">
        <v>353</v>
      </c>
      <c r="C243" s="26" t="s">
        <v>358</v>
      </c>
      <c r="D243" s="26" t="s">
        <v>145</v>
      </c>
      <c r="E243" s="27">
        <v>20000</v>
      </c>
      <c r="F243" s="105" t="str">
        <f>IFERROR(IFERROR(VLOOKUP(D243,Кат!$I:$J,2,0),VLOOKUP(A243,Кат!$I:$J,2,0)),"")</f>
        <v>сергей проводка</v>
      </c>
      <c r="G243" s="105">
        <f>IFERROR(IFERROR(INDEX(Кат!$A:$A,MATCH(Прайс!D243,Кат!$I:$I,0)),INDEX(Кат!$A:$A,MATCH(A243,Кат!$I:$I,0))),"")</f>
        <v>144915</v>
      </c>
      <c r="H243" s="105">
        <f>IFERROR(IFERROR(INDEX(Кат!$B:$B,MATCH(Прайс!D243,Кат!$I:$I,0)),INDEX(Кат!$B:$B,MATCH(A243,Кат!$I:$I,0))),"")</f>
        <v>13375</v>
      </c>
      <c r="I243" s="2" t="str">
        <f t="shared" si="7"/>
        <v>"Гранта"Жгут проводов панели приборов ВАЗ 2190-3724030-51</v>
      </c>
    </row>
    <row r="244" spans="1:9" s="2" customFormat="1" ht="12.75" x14ac:dyDescent="0.2">
      <c r="A244" s="40" t="str">
        <f t="shared" si="6"/>
        <v>"Гранта"Жгут проводов панели приборов ВАЗ 21912-3724030-53</v>
      </c>
      <c r="B244" s="83" t="s">
        <v>353</v>
      </c>
      <c r="C244" s="26" t="s">
        <v>358</v>
      </c>
      <c r="D244" s="26" t="s">
        <v>146</v>
      </c>
      <c r="E244" s="27">
        <v>20000</v>
      </c>
      <c r="F244" s="105" t="str">
        <f>IFERROR(IFERROR(VLOOKUP(D244,Кат!$I:$J,2,0),VLOOKUP(A244,Кат!$I:$J,2,0)),"")</f>
        <v>сергей проводка</v>
      </c>
      <c r="G244" s="105">
        <f>IFERROR(IFERROR(INDEX(Кат!$A:$A,MATCH(Прайс!D244,Кат!$I:$I,0)),INDEX(Кат!$A:$A,MATCH(A244,Кат!$I:$I,0))),"")</f>
        <v>144919</v>
      </c>
      <c r="H244" s="105">
        <f>IFERROR(IFERROR(INDEX(Кат!$B:$B,MATCH(Прайс!D244,Кат!$I:$I,0)),INDEX(Кат!$B:$B,MATCH(A244,Кат!$I:$I,0))),"")</f>
        <v>13376</v>
      </c>
      <c r="I244" s="2" t="str">
        <f t="shared" si="7"/>
        <v>"Гранта"Жгут проводов панели приборов ВАЗ 21912-3724030-53</v>
      </c>
    </row>
    <row r="245" spans="1:9" s="2" customFormat="1" ht="12.75" x14ac:dyDescent="0.2">
      <c r="A245" s="40" t="str">
        <f t="shared" si="6"/>
        <v>"Гранта"Жгут проводов панели приборов ВАЗ 21917-3724030-03</v>
      </c>
      <c r="B245" s="83" t="s">
        <v>353</v>
      </c>
      <c r="C245" s="26" t="s">
        <v>358</v>
      </c>
      <c r="D245" s="26" t="s">
        <v>147</v>
      </c>
      <c r="E245" s="27">
        <v>20000</v>
      </c>
      <c r="F245" s="105" t="str">
        <f>IFERROR(IFERROR(VLOOKUP(D245,Кат!$I:$J,2,0),VLOOKUP(A245,Кат!$I:$J,2,0)),"")</f>
        <v>сергей проводка</v>
      </c>
      <c r="G245" s="105">
        <f>IFERROR(IFERROR(INDEX(Кат!$A:$A,MATCH(Прайс!D245,Кат!$I:$I,0)),INDEX(Кат!$A:$A,MATCH(A245,Кат!$I:$I,0))),"")</f>
        <v>144921</v>
      </c>
      <c r="H245" s="105">
        <f>IFERROR(IFERROR(INDEX(Кат!$B:$B,MATCH(Прайс!D245,Кат!$I:$I,0)),INDEX(Кат!$B:$B,MATCH(A245,Кат!$I:$I,0))),"")</f>
        <v>13377</v>
      </c>
      <c r="I245" s="2" t="str">
        <f t="shared" si="7"/>
        <v>"Гранта"Жгут проводов панели приборов ВАЗ 21917-3724030-03</v>
      </c>
    </row>
    <row r="246" spans="1:9" s="2" customFormat="1" ht="12.75" x14ac:dyDescent="0.2">
      <c r="A246" s="40" t="str">
        <f t="shared" si="6"/>
        <v>"Гранта"Жгут проводов панели приборов ВАЗ 21920-3724030-63</v>
      </c>
      <c r="B246" s="83" t="s">
        <v>353</v>
      </c>
      <c r="C246" s="26" t="s">
        <v>358</v>
      </c>
      <c r="D246" s="26" t="s">
        <v>148</v>
      </c>
      <c r="E246" s="27">
        <v>20000</v>
      </c>
      <c r="F246" s="105" t="str">
        <f>IFERROR(IFERROR(VLOOKUP(D246,Кат!$I:$J,2,0),VLOOKUP(A246,Кат!$I:$J,2,0)),"")</f>
        <v>сергей проводка</v>
      </c>
      <c r="G246" s="105">
        <f>IFERROR(IFERROR(INDEX(Кат!$A:$A,MATCH(Прайс!D246,Кат!$I:$I,0)),INDEX(Кат!$A:$A,MATCH(A246,Кат!$I:$I,0))),"")</f>
        <v>144923</v>
      </c>
      <c r="H246" s="105">
        <f>IFERROR(IFERROR(INDEX(Кат!$B:$B,MATCH(Прайс!D246,Кат!$I:$I,0)),INDEX(Кат!$B:$B,MATCH(A246,Кат!$I:$I,0))),"")</f>
        <v>13378</v>
      </c>
      <c r="I246" s="2" t="str">
        <f t="shared" si="7"/>
        <v>"Гранта"Жгут проводов панели приборов ВАЗ 21920-3724030-63</v>
      </c>
    </row>
    <row r="247" spans="1:9" s="2" customFormat="1" ht="12.75" x14ac:dyDescent="0.2">
      <c r="A247" s="40" t="str">
        <f t="shared" si="6"/>
        <v>"Гранта"Жгут проводов панели приборов ВАЗ 21920-3724030-60</v>
      </c>
      <c r="B247" s="83" t="s">
        <v>353</v>
      </c>
      <c r="C247" s="26" t="s">
        <v>358</v>
      </c>
      <c r="D247" s="26" t="s">
        <v>149</v>
      </c>
      <c r="E247" s="27">
        <v>20000</v>
      </c>
      <c r="F247" s="105" t="str">
        <f>IFERROR(IFERROR(VLOOKUP(D247,Кат!$I:$J,2,0),VLOOKUP(A247,Кат!$I:$J,2,0)),"")</f>
        <v>сергей проводка</v>
      </c>
      <c r="G247" s="105">
        <f>IFERROR(IFERROR(INDEX(Кат!$A:$A,MATCH(Прайс!D247,Кат!$I:$I,0)),INDEX(Кат!$A:$A,MATCH(A247,Кат!$I:$I,0))),"")</f>
        <v>144922</v>
      </c>
      <c r="H247" s="105">
        <f>IFERROR(IFERROR(INDEX(Кат!$B:$B,MATCH(Прайс!D247,Кат!$I:$I,0)),INDEX(Кат!$B:$B,MATCH(A247,Кат!$I:$I,0))),"")</f>
        <v>13379</v>
      </c>
      <c r="I247" s="2" t="str">
        <f t="shared" si="7"/>
        <v>"Гранта"Жгут проводов панели приборов ВАЗ 21920-3724030-60</v>
      </c>
    </row>
    <row r="248" spans="1:9" s="2" customFormat="1" ht="12.75" x14ac:dyDescent="0.2">
      <c r="A248" s="40" t="str">
        <f t="shared" si="6"/>
        <v>"Гранта"Жгут проводов панели приборов ВАЗ 21920-3724030-70</v>
      </c>
      <c r="B248" s="83" t="s">
        <v>353</v>
      </c>
      <c r="C248" s="26" t="s">
        <v>358</v>
      </c>
      <c r="D248" s="26" t="s">
        <v>150</v>
      </c>
      <c r="E248" s="27">
        <v>20000</v>
      </c>
      <c r="F248" s="105" t="str">
        <f>IFERROR(IFERROR(VLOOKUP(D248,Кат!$I:$J,2,0),VLOOKUP(A248,Кат!$I:$J,2,0)),"")</f>
        <v>сергей проводка</v>
      </c>
      <c r="G248" s="105">
        <f>IFERROR(IFERROR(INDEX(Кат!$A:$A,MATCH(Прайс!D248,Кат!$I:$I,0)),INDEX(Кат!$A:$A,MATCH(A248,Кат!$I:$I,0))),"")</f>
        <v>144924</v>
      </c>
      <c r="H248" s="105">
        <f>IFERROR(IFERROR(INDEX(Кат!$B:$B,MATCH(Прайс!D248,Кат!$I:$I,0)),INDEX(Кат!$B:$B,MATCH(A248,Кат!$I:$I,0))),"")</f>
        <v>13380</v>
      </c>
      <c r="I248" s="2" t="str">
        <f t="shared" si="7"/>
        <v>"Гранта"Жгут проводов панели приборов ВАЗ 21920-3724030-70</v>
      </c>
    </row>
    <row r="249" spans="1:9" s="2" customFormat="1" ht="12.75" x14ac:dyDescent="0.2">
      <c r="A249" s="40" t="str">
        <f t="shared" si="6"/>
        <v>"Гранта"Жгут проводов панели приборов ВАЗ 21922-3724030-73</v>
      </c>
      <c r="B249" s="83" t="s">
        <v>353</v>
      </c>
      <c r="C249" s="26" t="s">
        <v>358</v>
      </c>
      <c r="D249" s="26" t="s">
        <v>151</v>
      </c>
      <c r="E249" s="27">
        <v>20000</v>
      </c>
      <c r="F249" s="105" t="str">
        <f>IFERROR(IFERROR(VLOOKUP(D249,Кат!$I:$J,2,0),VLOOKUP(A249,Кат!$I:$J,2,0)),"")</f>
        <v>сергей проводка</v>
      </c>
      <c r="G249" s="105">
        <f>IFERROR(IFERROR(INDEX(Кат!$A:$A,MATCH(Прайс!D249,Кат!$I:$I,0)),INDEX(Кат!$A:$A,MATCH(A249,Кат!$I:$I,0))),"")</f>
        <v>144926</v>
      </c>
      <c r="H249" s="105">
        <f>IFERROR(IFERROR(INDEX(Кат!$B:$B,MATCH(Прайс!D249,Кат!$I:$I,0)),INDEX(Кат!$B:$B,MATCH(A249,Кат!$I:$I,0))),"")</f>
        <v>13381</v>
      </c>
      <c r="I249" s="2" t="str">
        <f t="shared" si="7"/>
        <v>"Гранта"Жгут проводов панели приборов ВАЗ 21922-3724030-73</v>
      </c>
    </row>
    <row r="250" spans="1:9" s="2" customFormat="1" ht="12.75" x14ac:dyDescent="0.2">
      <c r="A250" s="40" t="str">
        <f t="shared" si="6"/>
        <v>"Гранта"Жгут проводов панели приборов ВАЗ 21902-3724030-54</v>
      </c>
      <c r="B250" s="83" t="s">
        <v>353</v>
      </c>
      <c r="C250" s="26" t="s">
        <v>358</v>
      </c>
      <c r="D250" s="26" t="s">
        <v>152</v>
      </c>
      <c r="E250" s="27">
        <v>20000</v>
      </c>
      <c r="F250" s="105" t="str">
        <f>IFERROR(IFERROR(VLOOKUP(D250,Кат!$I:$J,2,0),VLOOKUP(A250,Кат!$I:$J,2,0)),"")</f>
        <v>сергей проводка</v>
      </c>
      <c r="G250" s="105">
        <f>IFERROR(IFERROR(INDEX(Кат!$A:$A,MATCH(Прайс!D250,Кат!$I:$I,0)),INDEX(Кат!$A:$A,MATCH(A250,Кат!$I:$I,0))),"")</f>
        <v>144916</v>
      </c>
      <c r="H250" s="105">
        <f>IFERROR(IFERROR(INDEX(Кат!$B:$B,MATCH(Прайс!D250,Кат!$I:$I,0)),INDEX(Кат!$B:$B,MATCH(A250,Кат!$I:$I,0))),"")</f>
        <v>13382</v>
      </c>
      <c r="I250" s="2" t="str">
        <f t="shared" si="7"/>
        <v>"Гранта"Жгут проводов панели приборов ВАЗ 21902-3724030-54</v>
      </c>
    </row>
    <row r="251" spans="1:9" s="2" customFormat="1" ht="12.75" x14ac:dyDescent="0.2">
      <c r="A251" s="40" t="str">
        <f t="shared" si="6"/>
        <v>"Гранта"Жгут проводов фар и генератораВАЗ 2190-3724010-03</v>
      </c>
      <c r="B251" s="83" t="s">
        <v>353</v>
      </c>
      <c r="C251" s="26" t="s">
        <v>276</v>
      </c>
      <c r="D251" s="26" t="s">
        <v>153</v>
      </c>
      <c r="E251" s="27">
        <v>8000</v>
      </c>
      <c r="F251" s="105" t="str">
        <f>IFERROR(IFERROR(VLOOKUP(D251,Кат!$I:$J,2,0),VLOOKUP(A251,Кат!$I:$J,2,0)),"")</f>
        <v>сергей проводка</v>
      </c>
      <c r="G251" s="105">
        <f>IFERROR(IFERROR(INDEX(Кат!$A:$A,MATCH(Прайс!D251,Кат!$I:$I,0)),INDEX(Кат!$A:$A,MATCH(A251,Кат!$I:$I,0))),"")</f>
        <v>144995</v>
      </c>
      <c r="H251" s="105">
        <f>IFERROR(IFERROR(INDEX(Кат!$B:$B,MATCH(Прайс!D251,Кат!$I:$I,0)),INDEX(Кат!$B:$B,MATCH(A251,Кат!$I:$I,0))),"")</f>
        <v>13383</v>
      </c>
      <c r="I251" s="2" t="str">
        <f t="shared" si="7"/>
        <v>"Гранта"Жгут проводов фар и генератораВАЗ 2190-3724010-03</v>
      </c>
    </row>
    <row r="252" spans="1:9" s="2" customFormat="1" ht="12.75" x14ac:dyDescent="0.2">
      <c r="A252" s="40" t="str">
        <f t="shared" si="6"/>
        <v>"Гранта"Жгут проводов фар и генератора АКППВаз 21922-3724010-20</v>
      </c>
      <c r="B252" s="83" t="s">
        <v>353</v>
      </c>
      <c r="C252" s="26" t="s">
        <v>359</v>
      </c>
      <c r="D252" s="26" t="s">
        <v>154</v>
      </c>
      <c r="E252" s="27">
        <v>15000</v>
      </c>
      <c r="F252" s="105" t="str">
        <f>IFERROR(IFERROR(VLOOKUP(D252,Кат!$I:$J,2,0),VLOOKUP(A252,Кат!$I:$J,2,0)),"")</f>
        <v>сергей проводка</v>
      </c>
      <c r="G252" s="105">
        <f>IFERROR(IFERROR(INDEX(Кат!$A:$A,MATCH(Прайс!D252,Кат!$I:$I,0)),INDEX(Кат!$A:$A,MATCH(A252,Кат!$I:$I,0))),"")</f>
        <v>145001</v>
      </c>
      <c r="H252" s="105">
        <f>IFERROR(IFERROR(INDEX(Кат!$B:$B,MATCH(Прайс!D252,Кат!$I:$I,0)),INDEX(Кат!$B:$B,MATCH(A252,Кат!$I:$I,0))),"")</f>
        <v>13384</v>
      </c>
      <c r="I252" s="2" t="str">
        <f t="shared" si="7"/>
        <v>"Гранта"Жгут проводов фар и генератора АКППВаз 21922-3724010-20</v>
      </c>
    </row>
    <row r="253" spans="1:9" s="2" customFormat="1" ht="12.75" x14ac:dyDescent="0.2">
      <c r="A253" s="40" t="str">
        <f t="shared" si="6"/>
        <v>"Гранта"Жгут проводов фар и генератора АКППВАЗ 21924-3724010-20</v>
      </c>
      <c r="B253" s="83" t="s">
        <v>353</v>
      </c>
      <c r="C253" s="26" t="s">
        <v>359</v>
      </c>
      <c r="D253" s="26" t="s">
        <v>156</v>
      </c>
      <c r="E253" s="27">
        <v>15000</v>
      </c>
      <c r="F253" s="105" t="str">
        <f>IFERROR(IFERROR(VLOOKUP(D253,Кат!$I:$J,2,0),VLOOKUP(A253,Кат!$I:$J,2,0)),"")</f>
        <v>сергей проводка</v>
      </c>
      <c r="G253" s="105">
        <f>IFERROR(IFERROR(INDEX(Кат!$A:$A,MATCH(Прайс!D253,Кат!$I:$I,0)),INDEX(Кат!$A:$A,MATCH(A253,Кат!$I:$I,0))),"")</f>
        <v>145002</v>
      </c>
      <c r="H253" s="105">
        <f>IFERROR(IFERROR(INDEX(Кат!$B:$B,MATCH(Прайс!D253,Кат!$I:$I,0)),INDEX(Кат!$B:$B,MATCH(A253,Кат!$I:$I,0))),"")</f>
        <v>13385</v>
      </c>
      <c r="I253" s="2" t="str">
        <f t="shared" si="7"/>
        <v>"Гранта"Жгут проводов фар и генератора АКППВАЗ 21924-3724010-20</v>
      </c>
    </row>
    <row r="254" spans="1:9" s="2" customFormat="1" ht="12.75" x14ac:dyDescent="0.2">
      <c r="A254" s="40" t="str">
        <f t="shared" si="6"/>
        <v>"Гранта"Жгут проводов фар и генератораВаз 21901-3724010-00</v>
      </c>
      <c r="B254" s="83" t="s">
        <v>353</v>
      </c>
      <c r="C254" s="26" t="s">
        <v>276</v>
      </c>
      <c r="D254" s="26" t="s">
        <v>762</v>
      </c>
      <c r="E254" s="27">
        <v>6000</v>
      </c>
      <c r="F254" s="105" t="str">
        <f>IFERROR(IFERROR(VLOOKUP(D254,Кат!$I:$J,2,0),VLOOKUP(A254,Кат!$I:$J,2,0)),"")</f>
        <v>сергей проводка</v>
      </c>
      <c r="G254" s="105">
        <f>IFERROR(IFERROR(INDEX(Кат!$A:$A,MATCH(Прайс!D254,Кат!$I:$I,0)),INDEX(Кат!$A:$A,MATCH(A254,Кат!$I:$I,0))),"")</f>
        <v>144996</v>
      </c>
      <c r="H254" s="105">
        <f>IFERROR(IFERROR(INDEX(Кат!$B:$B,MATCH(Прайс!D254,Кат!$I:$I,0)),INDEX(Кат!$B:$B,MATCH(A254,Кат!$I:$I,0))),"")</f>
        <v>13386</v>
      </c>
      <c r="I254" s="2" t="str">
        <f t="shared" si="7"/>
        <v>"Гранта"Жгут проводов фар и генератораВаз 21901-3724010-00</v>
      </c>
    </row>
    <row r="255" spans="1:9" s="2" customFormat="1" ht="12.75" x14ac:dyDescent="0.2">
      <c r="A255" s="40" t="str">
        <f t="shared" si="6"/>
        <v>"Гранта"Жгут проводов фар и генератораВАЗ 21920-010-01</v>
      </c>
      <c r="B255" s="83" t="s">
        <v>353</v>
      </c>
      <c r="C255" s="26" t="s">
        <v>276</v>
      </c>
      <c r="D255" s="26" t="s">
        <v>360</v>
      </c>
      <c r="E255" s="27">
        <v>8000</v>
      </c>
      <c r="F255" s="105" t="str">
        <f>IFERROR(IFERROR(VLOOKUP(D255,Кат!$I:$J,2,0),VLOOKUP(A255,Кат!$I:$J,2,0)),"")</f>
        <v>сергей проводка</v>
      </c>
      <c r="G255" s="105">
        <f>IFERROR(IFERROR(INDEX(Кат!$A:$A,MATCH(Прайс!D255,Кат!$I:$I,0)),INDEX(Кат!$A:$A,MATCH(A255,Кат!$I:$I,0))),"")</f>
        <v>144998</v>
      </c>
      <c r="H255" s="105">
        <f>IFERROR(IFERROR(INDEX(Кат!$B:$B,MATCH(Прайс!D255,Кат!$I:$I,0)),INDEX(Кат!$B:$B,MATCH(A255,Кат!$I:$I,0))),"")</f>
        <v>13387</v>
      </c>
      <c r="I255" s="2" t="str">
        <f t="shared" si="7"/>
        <v>"Гранта"Жгут проводов фар и генератораВАЗ 21920-010-01</v>
      </c>
    </row>
    <row r="256" spans="1:9" s="2" customFormat="1" ht="12.75" x14ac:dyDescent="0.2">
      <c r="A256" s="40" t="str">
        <f t="shared" si="6"/>
        <v>"Гранта"Жгут проводов фар и генератораВАЗ 21920-010-12</v>
      </c>
      <c r="B256" s="83" t="s">
        <v>353</v>
      </c>
      <c r="C256" s="26" t="s">
        <v>276</v>
      </c>
      <c r="D256" s="26" t="s">
        <v>361</v>
      </c>
      <c r="E256" s="27">
        <v>8000</v>
      </c>
      <c r="F256" s="105" t="str">
        <f>IFERROR(IFERROR(VLOOKUP(D256,Кат!$I:$J,2,0),VLOOKUP(A256,Кат!$I:$J,2,0)),"")</f>
        <v>сергей проводка</v>
      </c>
      <c r="G256" s="105">
        <f>IFERROR(IFERROR(INDEX(Кат!$A:$A,MATCH(Прайс!D256,Кат!$I:$I,0)),INDEX(Кат!$A:$A,MATCH(A256,Кат!$I:$I,0))),"")</f>
        <v>144999</v>
      </c>
      <c r="H256" s="105">
        <f>IFERROR(IFERROR(INDEX(Кат!$B:$B,MATCH(Прайс!D256,Кат!$I:$I,0)),INDEX(Кат!$B:$B,MATCH(A256,Кат!$I:$I,0))),"")</f>
        <v>13388</v>
      </c>
      <c r="I256" s="2" t="str">
        <f t="shared" si="7"/>
        <v>"Гранта"Жгут проводов фар и генератораВАЗ 21920-010-12</v>
      </c>
    </row>
    <row r="257" spans="1:9" s="2" customFormat="1" ht="12.75" x14ac:dyDescent="0.2">
      <c r="A257" s="40" t="str">
        <f t="shared" si="6"/>
        <v>"Гранта"Жгут проводов фар и генератораВАЗ 21904-010-00</v>
      </c>
      <c r="B257" s="83" t="s">
        <v>353</v>
      </c>
      <c r="C257" s="26" t="s">
        <v>276</v>
      </c>
      <c r="D257" s="26" t="s">
        <v>362</v>
      </c>
      <c r="E257" s="27">
        <v>8000</v>
      </c>
      <c r="F257" s="105" t="str">
        <f>IFERROR(IFERROR(VLOOKUP(D257,Кат!$I:$J,2,0),VLOOKUP(A257,Кат!$I:$J,2,0)),"")</f>
        <v>сергей проводка</v>
      </c>
      <c r="G257" s="105">
        <f>IFERROR(IFERROR(INDEX(Кат!$A:$A,MATCH(Прайс!D257,Кат!$I:$I,0)),INDEX(Кат!$A:$A,MATCH(A257,Кат!$I:$I,0))),"")</f>
        <v>144997</v>
      </c>
      <c r="H257" s="105">
        <f>IFERROR(IFERROR(INDEX(Кат!$B:$B,MATCH(Прайс!D257,Кат!$I:$I,0)),INDEX(Кат!$B:$B,MATCH(A257,Кат!$I:$I,0))),"")</f>
        <v>13389</v>
      </c>
      <c r="I257" s="2" t="str">
        <f t="shared" si="7"/>
        <v>"Гранта"Жгут проводов фар и генератораВАЗ 21904-010-00</v>
      </c>
    </row>
    <row r="258" spans="1:9" s="2" customFormat="1" ht="12.75" x14ac:dyDescent="0.2">
      <c r="A258" s="40" t="str">
        <f t="shared" si="6"/>
        <v>"Гранта"Жгут проводов фар и генератораВАЗ 21921-010-00</v>
      </c>
      <c r="B258" s="83" t="s">
        <v>353</v>
      </c>
      <c r="C258" s="26" t="s">
        <v>276</v>
      </c>
      <c r="D258" s="26" t="s">
        <v>363</v>
      </c>
      <c r="E258" s="27">
        <v>8000</v>
      </c>
      <c r="F258" s="105" t="str">
        <f>IFERROR(IFERROR(VLOOKUP(D258,Кат!$I:$J,2,0),VLOOKUP(A258,Кат!$I:$J,2,0)),"")</f>
        <v>сергей проводка</v>
      </c>
      <c r="G258" s="105">
        <f>IFERROR(IFERROR(INDEX(Кат!$A:$A,MATCH(Прайс!D258,Кат!$I:$I,0)),INDEX(Кат!$A:$A,MATCH(A258,Кат!$I:$I,0))),"")</f>
        <v>145000</v>
      </c>
      <c r="H258" s="105">
        <f>IFERROR(IFERROR(INDEX(Кат!$B:$B,MATCH(Прайс!D258,Кат!$I:$I,0)),INDEX(Кат!$B:$B,MATCH(A258,Кат!$I:$I,0))),"")</f>
        <v>13390</v>
      </c>
      <c r="I258" s="2" t="str">
        <f t="shared" si="7"/>
        <v>"Гранта"Жгут проводов фар и генератораВАЗ 21921-010-00</v>
      </c>
    </row>
    <row r="259" spans="1:9" s="2" customFormat="1" ht="12.75" x14ac:dyDescent="0.2">
      <c r="A259" s="40" t="str">
        <f t="shared" ref="A259:A322" si="8">_xlfn.CONCAT(B259:D259)</f>
        <v>Лада LargusКонтроллер</v>
      </c>
      <c r="B259" s="83" t="s">
        <v>364</v>
      </c>
      <c r="C259" s="28" t="s">
        <v>365</v>
      </c>
      <c r="D259" s="82"/>
      <c r="E259" s="23">
        <v>15000</v>
      </c>
      <c r="F259" s="105" t="str">
        <f>IFERROR(IFERROR(VLOOKUP(D259,Кат!$I:$J,2,0),VLOOKUP(A259,Кат!$I:$J,2,0)),"")</f>
        <v/>
      </c>
      <c r="G259" s="105" t="str">
        <f>IFERROR(IFERROR(INDEX(Кат!$A:$A,MATCH(Прайс!D259,Кат!$I:$I,0)),INDEX(Кат!$A:$A,MATCH(A259,Кат!$I:$I,0))),"")</f>
        <v/>
      </c>
      <c r="H259" s="105" t="str">
        <f>IFERROR(IFERROR(INDEX(Кат!$B:$B,MATCH(Прайс!D259,Кат!$I:$I,0)),INDEX(Кат!$B:$B,MATCH(A259,Кат!$I:$I,0))),"")</f>
        <v/>
      </c>
      <c r="I259" s="2" t="str">
        <f t="shared" ref="I259:I322" si="9">_xlfn.CONCAT(B259:D259)</f>
        <v>Лада LargusКонтроллер</v>
      </c>
    </row>
    <row r="260" spans="1:9" s="2" customFormat="1" ht="12.75" x14ac:dyDescent="0.2">
      <c r="A260" s="40" t="str">
        <f t="shared" si="8"/>
        <v>Лада LargusСопротивление печки</v>
      </c>
      <c r="B260" s="83" t="s">
        <v>364</v>
      </c>
      <c r="C260" s="28" t="s">
        <v>366</v>
      </c>
      <c r="D260" s="82"/>
      <c r="E260" s="23">
        <v>600</v>
      </c>
      <c r="F260" s="105" t="str">
        <f>IFERROR(IFERROR(VLOOKUP(D260,Кат!$I:$J,2,0),VLOOKUP(A260,Кат!$I:$J,2,0)),"")</f>
        <v/>
      </c>
      <c r="G260" s="105" t="str">
        <f>IFERROR(IFERROR(INDEX(Кат!$A:$A,MATCH(Прайс!D260,Кат!$I:$I,0)),INDEX(Кат!$A:$A,MATCH(A260,Кат!$I:$I,0))),"")</f>
        <v/>
      </c>
      <c r="H260" s="105" t="str">
        <f>IFERROR(IFERROR(INDEX(Кат!$B:$B,MATCH(Прайс!D260,Кат!$I:$I,0)),INDEX(Кат!$B:$B,MATCH(A260,Кат!$I:$I,0))),"")</f>
        <v/>
      </c>
      <c r="I260" s="2" t="str">
        <f t="shared" si="9"/>
        <v>Лада LargusСопротивление печки</v>
      </c>
    </row>
    <row r="261" spans="1:9" s="2" customFormat="1" ht="12.75" x14ac:dyDescent="0.2">
      <c r="A261" s="40" t="str">
        <f t="shared" si="8"/>
        <v>Лада LargusЖгут ABS</v>
      </c>
      <c r="B261" s="83" t="s">
        <v>364</v>
      </c>
      <c r="C261" s="28" t="s">
        <v>367</v>
      </c>
      <c r="D261" s="82"/>
      <c r="E261" s="23">
        <v>1500</v>
      </c>
      <c r="F261" s="105" t="str">
        <f>IFERROR(IFERROR(VLOOKUP(D261,Кат!$I:$J,2,0),VLOOKUP(A261,Кат!$I:$J,2,0)),"")</f>
        <v>сергей проводка</v>
      </c>
      <c r="G261" s="105">
        <f>IFERROR(IFERROR(INDEX(Кат!$A:$A,MATCH(Прайс!D261,Кат!$I:$I,0)),INDEX(Кат!$A:$A,MATCH(A261,Кат!$I:$I,0))),"")</f>
        <v>426967</v>
      </c>
      <c r="H261" s="105">
        <f>IFERROR(IFERROR(INDEX(Кат!$B:$B,MATCH(Прайс!D261,Кат!$I:$I,0)),INDEX(Кат!$B:$B,MATCH(A261,Кат!$I:$I,0))),"")</f>
        <v>426967</v>
      </c>
      <c r="I261" s="2" t="str">
        <f t="shared" si="9"/>
        <v>Лада LargusЖгут ABS</v>
      </c>
    </row>
    <row r="262" spans="1:9" s="2" customFormat="1" ht="12.75" x14ac:dyDescent="0.2">
      <c r="A262" s="40" t="str">
        <f t="shared" si="8"/>
        <v>Лада LargusИспаритель отопителя</v>
      </c>
      <c r="B262" s="83" t="s">
        <v>364</v>
      </c>
      <c r="C262" s="28" t="s">
        <v>368</v>
      </c>
      <c r="D262" s="82"/>
      <c r="E262" s="23">
        <v>5000</v>
      </c>
      <c r="F262" s="105" t="str">
        <f>IFERROR(IFERROR(VLOOKUP(D262,Кат!$I:$J,2,0),VLOOKUP(A262,Кат!$I:$J,2,0)),"")</f>
        <v/>
      </c>
      <c r="G262" s="105" t="str">
        <f>IFERROR(IFERROR(INDEX(Кат!$A:$A,MATCH(Прайс!D262,Кат!$I:$I,0)),INDEX(Кат!$A:$A,MATCH(A262,Кат!$I:$I,0))),"")</f>
        <v/>
      </c>
      <c r="H262" s="105" t="str">
        <f>IFERROR(IFERROR(INDEX(Кат!$B:$B,MATCH(Прайс!D262,Кат!$I:$I,0)),INDEX(Кат!$B:$B,MATCH(A262,Кат!$I:$I,0))),"")</f>
        <v/>
      </c>
      <c r="I262" s="2" t="str">
        <f t="shared" si="9"/>
        <v>Лада LargusИспаритель отопителя</v>
      </c>
    </row>
    <row r="263" spans="1:9" s="2" customFormat="1" ht="12.75" x14ac:dyDescent="0.2">
      <c r="A263" s="40" t="str">
        <f t="shared" si="8"/>
        <v>Лада LargusКнопка подогрева сидений</v>
      </c>
      <c r="B263" s="83" t="s">
        <v>364</v>
      </c>
      <c r="C263" s="28" t="s">
        <v>369</v>
      </c>
      <c r="D263" s="82"/>
      <c r="E263" s="23">
        <v>0</v>
      </c>
      <c r="F263" s="105" t="str">
        <f>IFERROR(IFERROR(VLOOKUP(D263,Кат!$I:$J,2,0),VLOOKUP(A263,Кат!$I:$J,2,0)),"")</f>
        <v/>
      </c>
      <c r="G263" s="105" t="str">
        <f>IFERROR(IFERROR(INDEX(Кат!$A:$A,MATCH(Прайс!D263,Кат!$I:$I,0)),INDEX(Кат!$A:$A,MATCH(A263,Кат!$I:$I,0))),"")</f>
        <v/>
      </c>
      <c r="H263" s="105" t="str">
        <f>IFERROR(IFERROR(INDEX(Кат!$B:$B,MATCH(Прайс!D263,Кат!$I:$I,0)),INDEX(Кат!$B:$B,MATCH(A263,Кат!$I:$I,0))),"")</f>
        <v/>
      </c>
      <c r="I263" s="2" t="str">
        <f t="shared" si="9"/>
        <v>Лада LargusКнопка подогрева сидений</v>
      </c>
    </row>
    <row r="264" spans="1:9" s="2" customFormat="1" ht="12.75" x14ac:dyDescent="0.2">
      <c r="A264" s="40" t="str">
        <f t="shared" si="8"/>
        <v>Лада LargusФорсунки(16-кл) штука</v>
      </c>
      <c r="B264" s="83" t="s">
        <v>364</v>
      </c>
      <c r="C264" s="28" t="s">
        <v>370</v>
      </c>
      <c r="D264" s="82"/>
      <c r="E264" s="23">
        <v>2500</v>
      </c>
      <c r="F264" s="105" t="str">
        <f>IFERROR(IFERROR(VLOOKUP(D264,Кат!$I:$J,2,0),VLOOKUP(A264,Кат!$I:$J,2,0)),"")</f>
        <v/>
      </c>
      <c r="G264" s="105" t="str">
        <f>IFERROR(IFERROR(INDEX(Кат!$A:$A,MATCH(Прайс!D264,Кат!$I:$I,0)),INDEX(Кат!$A:$A,MATCH(A264,Кат!$I:$I,0))),"")</f>
        <v/>
      </c>
      <c r="H264" s="105" t="str">
        <f>IFERROR(IFERROR(INDEX(Кат!$B:$B,MATCH(Прайс!D264,Кат!$I:$I,0)),INDEX(Кат!$B:$B,MATCH(A264,Кат!$I:$I,0))),"")</f>
        <v/>
      </c>
      <c r="I264" s="2" t="str">
        <f t="shared" si="9"/>
        <v>Лада LargusФорсунки(16-кл) штука</v>
      </c>
    </row>
    <row r="265" spans="1:9" s="2" customFormat="1" ht="12.75" x14ac:dyDescent="0.2">
      <c r="A265" s="40" t="str">
        <f t="shared" si="8"/>
        <v>Лада LargusОбогрев сидений(штатный), компл. На 2 сидения</v>
      </c>
      <c r="B265" s="83" t="s">
        <v>364</v>
      </c>
      <c r="C265" s="28" t="s">
        <v>371</v>
      </c>
      <c r="D265" s="82"/>
      <c r="E265" s="23">
        <v>0</v>
      </c>
      <c r="F265" s="105" t="str">
        <f>IFERROR(IFERROR(VLOOKUP(D265,Кат!$I:$J,2,0),VLOOKUP(A265,Кат!$I:$J,2,0)),"")</f>
        <v/>
      </c>
      <c r="G265" s="105" t="str">
        <f>IFERROR(IFERROR(INDEX(Кат!$A:$A,MATCH(Прайс!D265,Кат!$I:$I,0)),INDEX(Кат!$A:$A,MATCH(A265,Кат!$I:$I,0))),"")</f>
        <v/>
      </c>
      <c r="H265" s="105" t="str">
        <f>IFERROR(IFERROR(INDEX(Кат!$B:$B,MATCH(Прайс!D265,Кат!$I:$I,0)),INDEX(Кат!$B:$B,MATCH(A265,Кат!$I:$I,0))),"")</f>
        <v/>
      </c>
      <c r="I265" s="2" t="str">
        <f t="shared" si="9"/>
        <v>Лада LargusОбогрев сидений(штатный), компл. На 2 сидения</v>
      </c>
    </row>
    <row r="266" spans="1:9" s="2" customFormat="1" ht="12.75" x14ac:dyDescent="0.2">
      <c r="A266" s="40" t="str">
        <f t="shared" si="8"/>
        <v>Лада LargusМотор отопителя</v>
      </c>
      <c r="B266" s="83" t="s">
        <v>364</v>
      </c>
      <c r="C266" s="28" t="s">
        <v>372</v>
      </c>
      <c r="D266" s="82"/>
      <c r="E266" s="23">
        <v>3000</v>
      </c>
      <c r="F266" s="105" t="str">
        <f>IFERROR(IFERROR(VLOOKUP(D266,Кат!$I:$J,2,0),VLOOKUP(A266,Кат!$I:$J,2,0)),"")</f>
        <v/>
      </c>
      <c r="G266" s="105" t="str">
        <f>IFERROR(IFERROR(INDEX(Кат!$A:$A,MATCH(Прайс!D266,Кат!$I:$I,0)),INDEX(Кат!$A:$A,MATCH(A266,Кат!$I:$I,0))),"")</f>
        <v/>
      </c>
      <c r="H266" s="105" t="str">
        <f>IFERROR(IFERROR(INDEX(Кат!$B:$B,MATCH(Прайс!D266,Кат!$I:$I,0)),INDEX(Кат!$B:$B,MATCH(A266,Кат!$I:$I,0))),"")</f>
        <v/>
      </c>
      <c r="I266" s="2" t="str">
        <f t="shared" si="9"/>
        <v>Лада LargusМотор отопителя</v>
      </c>
    </row>
    <row r="267" spans="1:9" s="2" customFormat="1" ht="12.75" x14ac:dyDescent="0.2">
      <c r="A267" s="40" t="str">
        <f t="shared" si="8"/>
        <v>Лада LargusДатчик парктроника</v>
      </c>
      <c r="B267" s="83" t="s">
        <v>364</v>
      </c>
      <c r="C267" s="28" t="s">
        <v>373</v>
      </c>
      <c r="D267" s="82"/>
      <c r="E267" s="23">
        <v>1600</v>
      </c>
      <c r="F267" s="105" t="str">
        <f>IFERROR(IFERROR(VLOOKUP(D267,Кат!$I:$J,2,0),VLOOKUP(A267,Кат!$I:$J,2,0)),"")</f>
        <v/>
      </c>
      <c r="G267" s="105" t="str">
        <f>IFERROR(IFERROR(INDEX(Кат!$A:$A,MATCH(Прайс!D267,Кат!$I:$I,0)),INDEX(Кат!$A:$A,MATCH(A267,Кат!$I:$I,0))),"")</f>
        <v/>
      </c>
      <c r="H267" s="105" t="str">
        <f>IFERROR(IFERROR(INDEX(Кат!$B:$B,MATCH(Прайс!D267,Кат!$I:$I,0)),INDEX(Кат!$B:$B,MATCH(A267,Кат!$I:$I,0))),"")</f>
        <v/>
      </c>
      <c r="I267" s="2" t="str">
        <f t="shared" si="9"/>
        <v>Лада LargusДатчик парктроника</v>
      </c>
    </row>
    <row r="268" spans="1:9" s="2" customFormat="1" ht="12.75" x14ac:dyDescent="0.2">
      <c r="A268" s="40" t="str">
        <f t="shared" si="8"/>
        <v>Лада LargusМотор стеклоочистителя(VALEO)</v>
      </c>
      <c r="B268" s="83" t="s">
        <v>364</v>
      </c>
      <c r="C268" s="28" t="s">
        <v>374</v>
      </c>
      <c r="D268" s="82"/>
      <c r="E268" s="23">
        <v>3500</v>
      </c>
      <c r="F268" s="105" t="str">
        <f>IFERROR(IFERROR(VLOOKUP(D268,Кат!$I:$J,2,0),VLOOKUP(A268,Кат!$I:$J,2,0)),"")</f>
        <v/>
      </c>
      <c r="G268" s="105" t="str">
        <f>IFERROR(IFERROR(INDEX(Кат!$A:$A,MATCH(Прайс!D268,Кат!$I:$I,0)),INDEX(Кат!$A:$A,MATCH(A268,Кат!$I:$I,0))),"")</f>
        <v/>
      </c>
      <c r="H268" s="105" t="str">
        <f>IFERROR(IFERROR(INDEX(Кат!$B:$B,MATCH(Прайс!D268,Кат!$I:$I,0)),INDEX(Кат!$B:$B,MATCH(A268,Кат!$I:$I,0))),"")</f>
        <v/>
      </c>
      <c r="I268" s="2" t="str">
        <f t="shared" si="9"/>
        <v>Лада LargusМотор стеклоочистителя(VALEO)</v>
      </c>
    </row>
    <row r="269" spans="1:9" s="2" customFormat="1" ht="12.75" x14ac:dyDescent="0.2">
      <c r="A269" s="40" t="str">
        <f t="shared" si="8"/>
        <v>Лада LargusДатчик коленвала 8-ми кл.</v>
      </c>
      <c r="B269" s="83" t="s">
        <v>364</v>
      </c>
      <c r="C269" s="28" t="s">
        <v>375</v>
      </c>
      <c r="D269" s="82"/>
      <c r="E269" s="23">
        <v>1000</v>
      </c>
      <c r="F269" s="105" t="str">
        <f>IFERROR(IFERROR(VLOOKUP(D269,Кат!$I:$J,2,0),VLOOKUP(A269,Кат!$I:$J,2,0)),"")</f>
        <v/>
      </c>
      <c r="G269" s="105" t="str">
        <f>IFERROR(IFERROR(INDEX(Кат!$A:$A,MATCH(Прайс!D269,Кат!$I:$I,0)),INDEX(Кат!$A:$A,MATCH(A269,Кат!$I:$I,0))),"")</f>
        <v/>
      </c>
      <c r="H269" s="105" t="str">
        <f>IFERROR(IFERROR(INDEX(Кат!$B:$B,MATCH(Прайс!D269,Кат!$I:$I,0)),INDEX(Кат!$B:$B,MATCH(A269,Кат!$I:$I,0))),"")</f>
        <v/>
      </c>
      <c r="I269" s="2" t="str">
        <f t="shared" si="9"/>
        <v>Лада LargusДатчик коленвала 8-ми кл.</v>
      </c>
    </row>
    <row r="270" spans="1:9" s="2" customFormat="1" ht="12.75" x14ac:dyDescent="0.2">
      <c r="A270" s="40" t="str">
        <f t="shared" si="8"/>
        <v>Лада LargusДатчик коленвала 16-ти кл.</v>
      </c>
      <c r="B270" s="83" t="s">
        <v>364</v>
      </c>
      <c r="C270" s="28" t="s">
        <v>376</v>
      </c>
      <c r="D270" s="82"/>
      <c r="E270" s="23">
        <v>1000</v>
      </c>
      <c r="F270" s="105" t="str">
        <f>IFERROR(IFERROR(VLOOKUP(D270,Кат!$I:$J,2,0),VLOOKUP(A270,Кат!$I:$J,2,0)),"")</f>
        <v/>
      </c>
      <c r="G270" s="105" t="str">
        <f>IFERROR(IFERROR(INDEX(Кат!$A:$A,MATCH(Прайс!D270,Кат!$I:$I,0)),INDEX(Кат!$A:$A,MATCH(A270,Кат!$I:$I,0))),"")</f>
        <v/>
      </c>
      <c r="H270" s="105" t="str">
        <f>IFERROR(IFERROR(INDEX(Кат!$B:$B,MATCH(Прайс!D270,Кат!$I:$I,0)),INDEX(Кат!$B:$B,MATCH(A270,Кат!$I:$I,0))),"")</f>
        <v/>
      </c>
      <c r="I270" s="2" t="str">
        <f t="shared" si="9"/>
        <v>Лада LargusДатчик коленвала 16-ти кл.</v>
      </c>
    </row>
    <row r="271" spans="1:9" s="2" customFormat="1" ht="12.75" x14ac:dyDescent="0.2">
      <c r="A271" s="40" t="str">
        <f t="shared" si="8"/>
        <v>Лада LargusЖгут контроллера 8-ми кл</v>
      </c>
      <c r="B271" s="83" t="s">
        <v>364</v>
      </c>
      <c r="C271" s="28" t="s">
        <v>377</v>
      </c>
      <c r="D271" s="82"/>
      <c r="E271" s="23">
        <v>0</v>
      </c>
      <c r="F271" s="105" t="str">
        <f>IFERROR(IFERROR(VLOOKUP(D271,Кат!$I:$J,2,0),VLOOKUP(A271,Кат!$I:$J,2,0)),"")</f>
        <v/>
      </c>
      <c r="G271" s="105" t="str">
        <f>IFERROR(IFERROR(INDEX(Кат!$A:$A,MATCH(Прайс!D271,Кат!$I:$I,0)),INDEX(Кат!$A:$A,MATCH(A271,Кат!$I:$I,0))),"")</f>
        <v/>
      </c>
      <c r="H271" s="105" t="str">
        <f>IFERROR(IFERROR(INDEX(Кат!$B:$B,MATCH(Прайс!D271,Кат!$I:$I,0)),INDEX(Кат!$B:$B,MATCH(A271,Кат!$I:$I,0))),"")</f>
        <v/>
      </c>
      <c r="I271" s="2" t="str">
        <f t="shared" si="9"/>
        <v>Лада LargusЖгут контроллера 8-ми кл</v>
      </c>
    </row>
    <row r="272" spans="1:9" s="2" customFormat="1" ht="12.75" x14ac:dyDescent="0.2">
      <c r="A272" s="40" t="str">
        <f t="shared" si="8"/>
        <v>Лада LargusЖгут контроллера 16-ти кл</v>
      </c>
      <c r="B272" s="83" t="s">
        <v>364</v>
      </c>
      <c r="C272" s="28" t="s">
        <v>378</v>
      </c>
      <c r="D272" s="82"/>
      <c r="E272" s="23" t="s">
        <v>763</v>
      </c>
      <c r="F272" s="105" t="str">
        <f>IFERROR(IFERROR(VLOOKUP(D272,Кат!$I:$J,2,0),VLOOKUP(A272,Кат!$I:$J,2,0)),"")</f>
        <v/>
      </c>
      <c r="G272" s="105" t="str">
        <f>IFERROR(IFERROR(INDEX(Кат!$A:$A,MATCH(Прайс!D272,Кат!$I:$I,0)),INDEX(Кат!$A:$A,MATCH(A272,Кат!$I:$I,0))),"")</f>
        <v/>
      </c>
      <c r="H272" s="105" t="str">
        <f>IFERROR(IFERROR(INDEX(Кат!$B:$B,MATCH(Прайс!D272,Кат!$I:$I,0)),INDEX(Кат!$B:$B,MATCH(A272,Кат!$I:$I,0))),"")</f>
        <v/>
      </c>
      <c r="I272" s="2" t="str">
        <f t="shared" si="9"/>
        <v>Лада LargusЖгут контроллера 16-ти кл</v>
      </c>
    </row>
    <row r="273" spans="1:9" s="2" customFormat="1" ht="12.75" x14ac:dyDescent="0.2">
      <c r="A273" s="40" t="str">
        <f t="shared" si="8"/>
        <v>Лада LargusЖгут панели приборов</v>
      </c>
      <c r="B273" s="83" t="s">
        <v>364</v>
      </c>
      <c r="C273" s="28" t="s">
        <v>205</v>
      </c>
      <c r="D273" s="82"/>
      <c r="E273" s="23">
        <v>25000</v>
      </c>
      <c r="F273" s="105" t="str">
        <f>IFERROR(IFERROR(VLOOKUP(D273,Кат!$I:$J,2,0),VLOOKUP(A273,Кат!$I:$J,2,0)),"")</f>
        <v>сергей проводка</v>
      </c>
      <c r="G273" s="105">
        <f>IFERROR(IFERROR(INDEX(Кат!$A:$A,MATCH(Прайс!D273,Кат!$I:$I,0)),INDEX(Кат!$A:$A,MATCH(A273,Кат!$I:$I,0))),"")</f>
        <v>426974</v>
      </c>
      <c r="H273" s="105">
        <f>IFERROR(IFERROR(INDEX(Кат!$B:$B,MATCH(Прайс!D273,Кат!$I:$I,0)),INDEX(Кат!$B:$B,MATCH(A273,Кат!$I:$I,0))),"")</f>
        <v>426974</v>
      </c>
      <c r="I273" s="2" t="str">
        <f t="shared" si="9"/>
        <v>Лада LargusЖгут панели приборов</v>
      </c>
    </row>
    <row r="274" spans="1:9" s="2" customFormat="1" ht="12.75" x14ac:dyDescent="0.2">
      <c r="A274" s="40" t="str">
        <f t="shared" si="8"/>
        <v>Лада "Vesta"Жгут проводов панели приборов8450031379</v>
      </c>
      <c r="B274" s="83" t="s">
        <v>379</v>
      </c>
      <c r="C274" s="28" t="s">
        <v>283</v>
      </c>
      <c r="D274" s="82">
        <v>8450031379</v>
      </c>
      <c r="E274" s="23">
        <v>20000</v>
      </c>
      <c r="F274" s="105" t="str">
        <f>IFERROR(IFERROR(VLOOKUP(D274,Кат!$I:$J,2,0),VLOOKUP(A274,Кат!$I:$J,2,0)),"")</f>
        <v>сергей проводка</v>
      </c>
      <c r="G274" s="105">
        <f>IFERROR(IFERROR(INDEX(Кат!$A:$A,MATCH(Прайс!D274,Кат!$I:$I,0)),INDEX(Кат!$A:$A,MATCH(A274,Кат!$I:$I,0))),"")</f>
        <v>426978</v>
      </c>
      <c r="H274" s="105">
        <f>IFERROR(IFERROR(INDEX(Кат!$B:$B,MATCH(Прайс!D274,Кат!$I:$I,0)),INDEX(Кат!$B:$B,MATCH(A274,Кат!$I:$I,0))),"")</f>
        <v>426978</v>
      </c>
      <c r="I274" s="2" t="str">
        <f t="shared" si="9"/>
        <v>Лада "Vesta"Жгут проводов панели приборов8450031379</v>
      </c>
    </row>
    <row r="275" spans="1:9" s="2" customFormat="1" ht="12.75" x14ac:dyDescent="0.2">
      <c r="A275" s="40" t="str">
        <f t="shared" si="8"/>
        <v>Лада "Vesta"Жгут проводов панели приборов8450030715</v>
      </c>
      <c r="B275" s="83" t="s">
        <v>379</v>
      </c>
      <c r="C275" s="28" t="s">
        <v>283</v>
      </c>
      <c r="D275" s="82">
        <v>8450030715</v>
      </c>
      <c r="E275" s="23">
        <v>20000</v>
      </c>
      <c r="F275" s="105" t="str">
        <f>IFERROR(IFERROR(VLOOKUP(D275,Кат!$I:$J,2,0),VLOOKUP(A275,Кат!$I:$J,2,0)),"")</f>
        <v>сергей проводка</v>
      </c>
      <c r="G275" s="105">
        <f>IFERROR(IFERROR(INDEX(Кат!$A:$A,MATCH(Прайс!D275,Кат!$I:$I,0)),INDEX(Кат!$A:$A,MATCH(A275,Кат!$I:$I,0))),"")</f>
        <v>426984</v>
      </c>
      <c r="H275" s="105">
        <f>IFERROR(IFERROR(INDEX(Кат!$B:$B,MATCH(Прайс!D275,Кат!$I:$I,0)),INDEX(Кат!$B:$B,MATCH(A275,Кат!$I:$I,0))),"")</f>
        <v>426984</v>
      </c>
      <c r="I275" s="2" t="str">
        <f t="shared" si="9"/>
        <v>Лада "Vesta"Жгут проводов панели приборов8450030715</v>
      </c>
    </row>
    <row r="276" spans="1:9" s="2" customFormat="1" ht="12.75" x14ac:dyDescent="0.2">
      <c r="A276" s="40" t="str">
        <f t="shared" si="8"/>
        <v>Лада "Vesta"Жгут проводов панели приборов8450031623</v>
      </c>
      <c r="B276" s="83" t="s">
        <v>379</v>
      </c>
      <c r="C276" s="28" t="s">
        <v>283</v>
      </c>
      <c r="D276" s="82">
        <v>8450031623</v>
      </c>
      <c r="E276" s="23">
        <v>20000</v>
      </c>
      <c r="F276" s="105" t="str">
        <f>IFERROR(IFERROR(VLOOKUP(D276,Кат!$I:$J,2,0),VLOOKUP(A276,Кат!$I:$J,2,0)),"")</f>
        <v>сергей проводка</v>
      </c>
      <c r="G276" s="105">
        <f>IFERROR(IFERROR(INDEX(Кат!$A:$A,MATCH(Прайс!D276,Кат!$I:$I,0)),INDEX(Кат!$A:$A,MATCH(A276,Кат!$I:$I,0))),"")</f>
        <v>426985</v>
      </c>
      <c r="H276" s="105">
        <f>IFERROR(IFERROR(INDEX(Кат!$B:$B,MATCH(Прайс!D276,Кат!$I:$I,0)),INDEX(Кат!$B:$B,MATCH(A276,Кат!$I:$I,0))),"")</f>
        <v>426985</v>
      </c>
      <c r="I276" s="2" t="str">
        <f t="shared" si="9"/>
        <v>Лада "Vesta"Жгут проводов панели приборов8450031623</v>
      </c>
    </row>
    <row r="277" spans="1:9" s="2" customFormat="1" ht="12.75" x14ac:dyDescent="0.2">
      <c r="A277" s="40" t="str">
        <f t="shared" si="8"/>
        <v>Лада "Vesta"Жгут проводов передний в сборе(HARN-FR LH)8450008432</v>
      </c>
      <c r="B277" s="83" t="s">
        <v>379</v>
      </c>
      <c r="C277" s="28" t="s">
        <v>380</v>
      </c>
      <c r="D277" s="82">
        <v>8450008432</v>
      </c>
      <c r="E277" s="23">
        <v>15000</v>
      </c>
      <c r="F277" s="105" t="str">
        <f>IFERROR(IFERROR(VLOOKUP(D277,Кат!$I:$J,2,0),VLOOKUP(A277,Кат!$I:$J,2,0)),"")</f>
        <v>сергей проводка</v>
      </c>
      <c r="G277" s="105">
        <f>IFERROR(IFERROR(INDEX(Кат!$A:$A,MATCH(Прайс!D277,Кат!$I:$I,0)),INDEX(Кат!$A:$A,MATCH(A277,Кат!$I:$I,0))),"")</f>
        <v>426986</v>
      </c>
      <c r="H277" s="105">
        <f>IFERROR(IFERROR(INDEX(Кат!$B:$B,MATCH(Прайс!D277,Кат!$I:$I,0)),INDEX(Кат!$B:$B,MATCH(A277,Кат!$I:$I,0))),"")</f>
        <v>426986</v>
      </c>
      <c r="I277" s="2" t="str">
        <f t="shared" si="9"/>
        <v>Лада "Vesta"Жгут проводов передний в сборе(HARN-FR LH)8450008432</v>
      </c>
    </row>
    <row r="278" spans="1:9" s="2" customFormat="1" ht="12.75" x14ac:dyDescent="0.2">
      <c r="A278" s="40" t="str">
        <f t="shared" si="8"/>
        <v>Лада "Vesta"Жгут проводов передний в сборе8450030782</v>
      </c>
      <c r="B278" s="83" t="s">
        <v>379</v>
      </c>
      <c r="C278" s="28" t="s">
        <v>381</v>
      </c>
      <c r="D278" s="82">
        <v>8450030782</v>
      </c>
      <c r="E278" s="23">
        <v>15000</v>
      </c>
      <c r="F278" s="105" t="str">
        <f>IFERROR(IFERROR(VLOOKUP(D278,Кат!$I:$J,2,0),VLOOKUP(A278,Кат!$I:$J,2,0)),"")</f>
        <v>сергей проводка</v>
      </c>
      <c r="G278" s="105">
        <f>IFERROR(IFERROR(INDEX(Кат!$A:$A,MATCH(Прайс!D278,Кат!$I:$I,0)),INDEX(Кат!$A:$A,MATCH(A278,Кат!$I:$I,0))),"")</f>
        <v>426988</v>
      </c>
      <c r="H278" s="105">
        <f>IFERROR(IFERROR(INDEX(Кат!$B:$B,MATCH(Прайс!D278,Кат!$I:$I,0)),INDEX(Кат!$B:$B,MATCH(A278,Кат!$I:$I,0))),"")</f>
        <v>426988</v>
      </c>
      <c r="I278" s="2" t="str">
        <f t="shared" si="9"/>
        <v>Лада "Vesta"Жгут проводов передний в сборе8450030782</v>
      </c>
    </row>
    <row r="279" spans="1:9" s="2" customFormat="1" ht="12.75" x14ac:dyDescent="0.2">
      <c r="A279" s="40" t="str">
        <f t="shared" si="8"/>
        <v>Лада "Vesta"Жгут проводов задний8450030721</v>
      </c>
      <c r="B279" s="83" t="s">
        <v>379</v>
      </c>
      <c r="C279" s="28" t="s">
        <v>200</v>
      </c>
      <c r="D279" s="82">
        <v>8450030721</v>
      </c>
      <c r="E279" s="23">
        <v>6000</v>
      </c>
      <c r="F279" s="105" t="str">
        <f>IFERROR(IFERROR(VLOOKUP(D279,Кат!$I:$J,2,0),VLOOKUP(A279,Кат!$I:$J,2,0)),"")</f>
        <v>сергей проводка</v>
      </c>
      <c r="G279" s="105">
        <f>IFERROR(IFERROR(INDEX(Кат!$A:$A,MATCH(Прайс!D279,Кат!$I:$I,0)),INDEX(Кат!$A:$A,MATCH(A279,Кат!$I:$I,0))),"")</f>
        <v>426994</v>
      </c>
      <c r="H279" s="105">
        <f>IFERROR(IFERROR(INDEX(Кат!$B:$B,MATCH(Прайс!D279,Кат!$I:$I,0)),INDEX(Кат!$B:$B,MATCH(A279,Кат!$I:$I,0))),"")</f>
        <v>426994</v>
      </c>
      <c r="I279" s="2" t="str">
        <f t="shared" si="9"/>
        <v>Лада "Vesta"Жгут проводов задний8450030721</v>
      </c>
    </row>
    <row r="280" spans="1:9" s="2" customFormat="1" ht="12.75" x14ac:dyDescent="0.2">
      <c r="A280" s="40" t="str">
        <f t="shared" si="8"/>
        <v>Лада "Vesta"Электроусилитель руля X-RAY</v>
      </c>
      <c r="B280" s="83" t="s">
        <v>379</v>
      </c>
      <c r="C280" s="28" t="s">
        <v>382</v>
      </c>
      <c r="D280" s="82"/>
      <c r="E280" s="23">
        <v>0</v>
      </c>
      <c r="F280" s="105" t="str">
        <f>IFERROR(IFERROR(VLOOKUP(D280,Кат!$I:$J,2,0),VLOOKUP(A280,Кат!$I:$J,2,0)),"")</f>
        <v/>
      </c>
      <c r="G280" s="105" t="str">
        <f>IFERROR(IFERROR(INDEX(Кат!$A:$A,MATCH(Прайс!D280,Кат!$I:$I,0)),INDEX(Кат!$A:$A,MATCH(A280,Кат!$I:$I,0))),"")</f>
        <v/>
      </c>
      <c r="H280" s="105" t="str">
        <f>IFERROR(IFERROR(INDEX(Кат!$B:$B,MATCH(Прайс!D280,Кат!$I:$I,0)),INDEX(Кат!$B:$B,MATCH(A280,Кат!$I:$I,0))),"")</f>
        <v/>
      </c>
      <c r="I280" s="2" t="str">
        <f t="shared" si="9"/>
        <v>Лада "Vesta"Электроусилитель руля X-RAY</v>
      </c>
    </row>
    <row r="281" spans="1:9" s="2" customFormat="1" ht="12.75" x14ac:dyDescent="0.2">
      <c r="A281" s="40" t="str">
        <f t="shared" si="8"/>
        <v>Лада "Vesta"КПП FDN8450030514</v>
      </c>
      <c r="B281" s="83" t="s">
        <v>379</v>
      </c>
      <c r="C281" s="28" t="s">
        <v>764</v>
      </c>
      <c r="D281" s="82">
        <v>8450030514</v>
      </c>
      <c r="E281" s="23">
        <v>0</v>
      </c>
      <c r="F281" s="105" t="str">
        <f>IFERROR(IFERROR(VLOOKUP(D281,Кат!$I:$J,2,0),VLOOKUP(A281,Кат!$I:$J,2,0)),"")</f>
        <v/>
      </c>
      <c r="G281" s="105" t="str">
        <f>IFERROR(IFERROR(INDEX(Кат!$A:$A,MATCH(Прайс!D281,Кат!$I:$I,0)),INDEX(Кат!$A:$A,MATCH(A281,Кат!$I:$I,0))),"")</f>
        <v/>
      </c>
      <c r="H281" s="105" t="str">
        <f>IFERROR(IFERROR(INDEX(Кат!$B:$B,MATCH(Прайс!D281,Кат!$I:$I,0)),INDEX(Кат!$B:$B,MATCH(A281,Кат!$I:$I,0))),"")</f>
        <v/>
      </c>
      <c r="I281" s="2" t="str">
        <f t="shared" si="9"/>
        <v>Лада "Vesta"КПП FDN8450030514</v>
      </c>
    </row>
    <row r="282" spans="1:9" s="2" customFormat="1" ht="12.75" x14ac:dyDescent="0.2">
      <c r="A282" s="40" t="str">
        <f t="shared" si="8"/>
        <v>УАЗ "Патриот"Жгут проводов панели приборов31631-3724010-10</v>
      </c>
      <c r="B282" s="83" t="s">
        <v>383</v>
      </c>
      <c r="C282" s="28" t="s">
        <v>283</v>
      </c>
      <c r="D282" s="28" t="s">
        <v>169</v>
      </c>
      <c r="E282" s="23">
        <v>0</v>
      </c>
      <c r="F282" s="105" t="str">
        <f>IFERROR(IFERROR(VLOOKUP(D282,Кат!$I:$J,2,0),VLOOKUP(A282,Кат!$I:$J,2,0)),"")</f>
        <v>сергей проводка</v>
      </c>
      <c r="G282" s="105">
        <f>IFERROR(IFERROR(INDEX(Кат!$A:$A,MATCH(Прайс!D282,Кат!$I:$I,0)),INDEX(Кат!$A:$A,MATCH(A282,Кат!$I:$I,0))),"")</f>
        <v>144927</v>
      </c>
      <c r="H282" s="105">
        <f>IFERROR(IFERROR(INDEX(Кат!$B:$B,MATCH(Прайс!D282,Кат!$I:$I,0)),INDEX(Кат!$B:$B,MATCH(A282,Кат!$I:$I,0))),"")</f>
        <v>13418</v>
      </c>
      <c r="I282" s="2" t="str">
        <f t="shared" si="9"/>
        <v>УАЗ "Патриот"Жгут проводов панели приборов31631-3724010-10</v>
      </c>
    </row>
    <row r="283" spans="1:9" s="2" customFormat="1" ht="12.75" x14ac:dyDescent="0.2">
      <c r="A283" s="40" t="str">
        <f t="shared" si="8"/>
        <v>УАЗ "Патриот"Жгут проводов фарный-генераторный(АБС+конд.)31631-3724020</v>
      </c>
      <c r="B283" s="83" t="s">
        <v>383</v>
      </c>
      <c r="C283" s="28" t="s">
        <v>384</v>
      </c>
      <c r="D283" s="28" t="s">
        <v>171</v>
      </c>
      <c r="E283" s="23">
        <v>10000</v>
      </c>
      <c r="F283" s="105" t="str">
        <f>IFERROR(IFERROR(VLOOKUP(D283,Кат!$I:$J,2,0),VLOOKUP(A283,Кат!$I:$J,2,0)),"")</f>
        <v>сергей проводка</v>
      </c>
      <c r="G283" s="105">
        <f>IFERROR(IFERROR(INDEX(Кат!$A:$A,MATCH(Прайс!D283,Кат!$I:$I,0)),INDEX(Кат!$A:$A,MATCH(A283,Кат!$I:$I,0))),"")</f>
        <v>145003</v>
      </c>
      <c r="H283" s="105">
        <f>IFERROR(IFERROR(INDEX(Кат!$B:$B,MATCH(Прайс!D283,Кат!$I:$I,0)),INDEX(Кат!$B:$B,MATCH(A283,Кат!$I:$I,0))),"")</f>
        <v>13419</v>
      </c>
      <c r="I283" s="2" t="str">
        <f t="shared" si="9"/>
        <v>УАЗ "Патриот"Жгут проводов фарный-генераторный(АБС+конд.)31631-3724020</v>
      </c>
    </row>
    <row r="284" spans="1:9" s="2" customFormat="1" ht="12.75" x14ac:dyDescent="0.2">
      <c r="A284" s="40" t="str">
        <f t="shared" si="8"/>
        <v>УАЗ "Патриот"Жгут проводов фарный-генераторный(конд.)3163-3724020-55</v>
      </c>
      <c r="B284" s="83" t="s">
        <v>383</v>
      </c>
      <c r="C284" s="28" t="s">
        <v>385</v>
      </c>
      <c r="D284" s="28" t="s">
        <v>386</v>
      </c>
      <c r="E284" s="23">
        <v>10000</v>
      </c>
      <c r="F284" s="105" t="str">
        <f>IFERROR(IFERROR(VLOOKUP(D284,Кат!$I:$J,2,0),VLOOKUP(A284,Кат!$I:$J,2,0)),"")</f>
        <v/>
      </c>
      <c r="G284" s="105" t="str">
        <f>IFERROR(IFERROR(INDEX(Кат!$A:$A,MATCH(Прайс!D284,Кат!$I:$I,0)),INDEX(Кат!$A:$A,MATCH(A284,Кат!$I:$I,0))),"")</f>
        <v/>
      </c>
      <c r="H284" s="105" t="str">
        <f>IFERROR(IFERROR(INDEX(Кат!$B:$B,MATCH(Прайс!D284,Кат!$I:$I,0)),INDEX(Кат!$B:$B,MATCH(A284,Кат!$I:$I,0))),"")</f>
        <v/>
      </c>
      <c r="I284" s="2" t="str">
        <f t="shared" si="9"/>
        <v>УАЗ "Патриот"Жгут проводов фарный-генераторный(конд.)3163-3724020-55</v>
      </c>
    </row>
    <row r="285" spans="1:9" s="2" customFormat="1" ht="12.75" x14ac:dyDescent="0.2">
      <c r="A285" s="40" t="str">
        <f t="shared" si="8"/>
        <v>УАЗ "Патриот"Салон-зад31631-3724030-45</v>
      </c>
      <c r="B285" s="83" t="s">
        <v>383</v>
      </c>
      <c r="C285" s="28" t="s">
        <v>387</v>
      </c>
      <c r="D285" s="28" t="s">
        <v>388</v>
      </c>
      <c r="E285" s="23">
        <v>5000</v>
      </c>
      <c r="F285" s="105" t="str">
        <f>IFERROR(IFERROR(VLOOKUP(D285,Кат!$I:$J,2,0),VLOOKUP(A285,Кат!$I:$J,2,0)),"")</f>
        <v/>
      </c>
      <c r="G285" s="105" t="str">
        <f>IFERROR(IFERROR(INDEX(Кат!$A:$A,MATCH(Прайс!D285,Кат!$I:$I,0)),INDEX(Кат!$A:$A,MATCH(A285,Кат!$I:$I,0))),"")</f>
        <v/>
      </c>
      <c r="H285" s="105" t="str">
        <f>IFERROR(IFERROR(INDEX(Кат!$B:$B,MATCH(Прайс!D285,Кат!$I:$I,0)),INDEX(Кат!$B:$B,MATCH(A285,Кат!$I:$I,0))),"")</f>
        <v/>
      </c>
      <c r="I285" s="2" t="str">
        <f t="shared" si="9"/>
        <v>УАЗ "Патриот"Салон-зад31631-3724030-45</v>
      </c>
    </row>
    <row r="286" spans="1:9" s="2" customFormat="1" ht="12.75" x14ac:dyDescent="0.2">
      <c r="A286" s="40" t="str">
        <f t="shared" si="8"/>
        <v>УАЗ "Патриот"КЛЕММА "-"3163-3724062-10</v>
      </c>
      <c r="B286" s="83" t="s">
        <v>383</v>
      </c>
      <c r="C286" s="28" t="s">
        <v>853</v>
      </c>
      <c r="D286" s="28" t="s">
        <v>389</v>
      </c>
      <c r="E286" s="23">
        <v>800</v>
      </c>
      <c r="F286" s="105" t="str">
        <f>IFERROR(IFERROR(VLOOKUP(D286,Кат!$I:$J,2,0),VLOOKUP(A286,Кат!$I:$J,2,0)),"")</f>
        <v/>
      </c>
      <c r="G286" s="105" t="str">
        <f>IFERROR(IFERROR(INDEX(Кат!$A:$A,MATCH(Прайс!D286,Кат!$I:$I,0)),INDEX(Кат!$A:$A,MATCH(A286,Кат!$I:$I,0))),"")</f>
        <v/>
      </c>
      <c r="H286" s="105" t="str">
        <f>IFERROR(IFERROR(INDEX(Кат!$B:$B,MATCH(Прайс!D286,Кат!$I:$I,0)),INDEX(Кат!$B:$B,MATCH(A286,Кат!$I:$I,0))),"")</f>
        <v/>
      </c>
      <c r="I286" s="2" t="str">
        <f t="shared" si="9"/>
        <v>УАЗ "Патриот"КЛЕММА "-"3163-3724062-10</v>
      </c>
    </row>
    <row r="287" spans="1:9" s="2" customFormat="1" ht="12.75" x14ac:dyDescent="0.2">
      <c r="A287" s="40" t="str">
        <f t="shared" si="8"/>
        <v>УАЗ "Патриот"КЛЕММА "+"31631-3724050</v>
      </c>
      <c r="B287" s="83" t="s">
        <v>383</v>
      </c>
      <c r="C287" s="28" t="s">
        <v>854</v>
      </c>
      <c r="D287" s="28" t="s">
        <v>390</v>
      </c>
      <c r="E287" s="23">
        <v>800</v>
      </c>
      <c r="F287" s="105" t="str">
        <f>IFERROR(IFERROR(VLOOKUP(D287,Кат!$I:$J,2,0),VLOOKUP(A287,Кат!$I:$J,2,0)),"")</f>
        <v/>
      </c>
      <c r="G287" s="105" t="str">
        <f>IFERROR(IFERROR(INDEX(Кат!$A:$A,MATCH(Прайс!D287,Кат!$I:$I,0)),INDEX(Кат!$A:$A,MATCH(A287,Кат!$I:$I,0))),"")</f>
        <v/>
      </c>
      <c r="H287" s="105" t="str">
        <f>IFERROR(IFERROR(INDEX(Кат!$B:$B,MATCH(Прайс!D287,Кат!$I:$I,0)),INDEX(Кат!$B:$B,MATCH(A287,Кат!$I:$I,0))),"")</f>
        <v/>
      </c>
      <c r="I287" s="2" t="str">
        <f t="shared" si="9"/>
        <v>УАЗ "Патриот"КЛЕММА "+"31631-3724050</v>
      </c>
    </row>
    <row r="288" spans="1:9" s="2" customFormat="1" ht="12.75" x14ac:dyDescent="0.2">
      <c r="A288" s="40" t="str">
        <f t="shared" si="8"/>
        <v>УАЗ "Патриот"КЛЕММА "+"3163-3724050</v>
      </c>
      <c r="B288" s="83" t="s">
        <v>383</v>
      </c>
      <c r="C288" s="28" t="s">
        <v>854</v>
      </c>
      <c r="D288" s="28" t="s">
        <v>391</v>
      </c>
      <c r="E288" s="23">
        <v>800</v>
      </c>
      <c r="F288" s="105" t="str">
        <f>IFERROR(IFERROR(VLOOKUP(D288,Кат!$I:$J,2,0),VLOOKUP(A288,Кат!$I:$J,2,0)),"")</f>
        <v/>
      </c>
      <c r="G288" s="105" t="str">
        <f>IFERROR(IFERROR(INDEX(Кат!$A:$A,MATCH(Прайс!D288,Кат!$I:$I,0)),INDEX(Кат!$A:$A,MATCH(A288,Кат!$I:$I,0))),"")</f>
        <v/>
      </c>
      <c r="H288" s="105" t="str">
        <f>IFERROR(IFERROR(INDEX(Кат!$B:$B,MATCH(Прайс!D288,Кат!$I:$I,0)),INDEX(Кат!$B:$B,MATCH(A288,Кат!$I:$I,0))),"")</f>
        <v/>
      </c>
      <c r="I288" s="2" t="str">
        <f t="shared" si="9"/>
        <v>УАЗ "Патриот"КЛЕММА "+"3163-3724050</v>
      </c>
    </row>
    <row r="289" spans="1:9" s="2" customFormat="1" ht="12.75" x14ac:dyDescent="0.2">
      <c r="A289" s="40" t="str">
        <f t="shared" si="8"/>
        <v>УАЗ "Патриот"Жгут31631-3724021</v>
      </c>
      <c r="B289" s="83" t="s">
        <v>383</v>
      </c>
      <c r="C289" s="28" t="s">
        <v>392</v>
      </c>
      <c r="D289" s="28" t="s">
        <v>393</v>
      </c>
      <c r="E289" s="23">
        <v>800</v>
      </c>
      <c r="F289" s="105" t="str">
        <f>IFERROR(IFERROR(VLOOKUP(D289,Кат!$I:$J,2,0),VLOOKUP(A289,Кат!$I:$J,2,0)),"")</f>
        <v/>
      </c>
      <c r="G289" s="105" t="str">
        <f>IFERROR(IFERROR(INDEX(Кат!$A:$A,MATCH(Прайс!D289,Кат!$I:$I,0)),INDEX(Кат!$A:$A,MATCH(A289,Кат!$I:$I,0))),"")</f>
        <v/>
      </c>
      <c r="H289" s="105" t="str">
        <f>IFERROR(IFERROR(INDEX(Кат!$B:$B,MATCH(Прайс!D289,Кат!$I:$I,0)),INDEX(Кат!$B:$B,MATCH(A289,Кат!$I:$I,0))),"")</f>
        <v/>
      </c>
      <c r="I289" s="2" t="str">
        <f t="shared" si="9"/>
        <v>УАЗ "Патриот"Жгут31631-3724021</v>
      </c>
    </row>
    <row r="290" spans="1:9" s="2" customFormat="1" ht="12.75" x14ac:dyDescent="0.2">
      <c r="A290" s="40" t="str">
        <f t="shared" si="8"/>
        <v>"Шевроле-Нива"Разъём в мотор печкиВАЗ 2123,2111</v>
      </c>
      <c r="B290" s="83" t="s">
        <v>327</v>
      </c>
      <c r="C290" s="29" t="s">
        <v>394</v>
      </c>
      <c r="D290" s="26" t="s">
        <v>105</v>
      </c>
      <c r="E290" s="27">
        <v>100</v>
      </c>
      <c r="F290" s="105" t="str">
        <f>IFERROR(IFERROR(VLOOKUP(D290,Кат!$I:$J,2,0),VLOOKUP(A290,Кат!$I:$J,2,0)),"")</f>
        <v>сергей проводка</v>
      </c>
      <c r="G290" s="105">
        <f>IFERROR(IFERROR(INDEX(Кат!$A:$A,MATCH(Прайс!D290,Кат!$I:$I,0)),INDEX(Кат!$A:$A,MATCH(A290,Кат!$I:$I,0))),"")</f>
        <v>222997</v>
      </c>
      <c r="H290" s="105">
        <f>IFERROR(IFERROR(INDEX(Кат!$B:$B,MATCH(Прайс!D290,Кат!$I:$I,0)),INDEX(Кат!$B:$B,MATCH(A290,Кат!$I:$I,0))),"")</f>
        <v>13302</v>
      </c>
      <c r="I290" s="2" t="str">
        <f t="shared" si="9"/>
        <v>"Шевроле-Нива"Разъём в мотор печкиВАЗ 2123,2111</v>
      </c>
    </row>
    <row r="291" spans="1:9" s="2" customFormat="1" ht="12.75" x14ac:dyDescent="0.2">
      <c r="A291" s="40" t="str">
        <f t="shared" si="8"/>
        <v>"Шевроле-Нива"Разъём прикуривателяВАЗ 2123,2114,2115</v>
      </c>
      <c r="B291" s="83" t="s">
        <v>327</v>
      </c>
      <c r="C291" s="29" t="s">
        <v>395</v>
      </c>
      <c r="D291" s="26" t="s">
        <v>396</v>
      </c>
      <c r="E291" s="27">
        <v>65</v>
      </c>
      <c r="F291" s="105" t="str">
        <f>IFERROR(IFERROR(VLOOKUP(D291,Кат!$I:$J,2,0),VLOOKUP(A291,Кат!$I:$J,2,0)),"")</f>
        <v/>
      </c>
      <c r="G291" s="105" t="str">
        <f>IFERROR(IFERROR(INDEX(Кат!$A:$A,MATCH(Прайс!D291,Кат!$I:$I,0)),INDEX(Кат!$A:$A,MATCH(A291,Кат!$I:$I,0))),"")</f>
        <v/>
      </c>
      <c r="H291" s="105" t="str">
        <f>IFERROR(IFERROR(INDEX(Кат!$B:$B,MATCH(Прайс!D291,Кат!$I:$I,0)),INDEX(Кат!$B:$B,MATCH(A291,Кат!$I:$I,0))),"")</f>
        <v/>
      </c>
      <c r="I291" s="2" t="str">
        <f t="shared" si="9"/>
        <v>"Шевроле-Нива"Разъём прикуривателяВАЗ 2123,2114,2115</v>
      </c>
    </row>
    <row r="292" spans="1:9" s="2" customFormat="1" ht="12.75" x14ac:dyDescent="0.2">
      <c r="A292" s="40" t="str">
        <f t="shared" si="8"/>
        <v>"Приора"Разъём в блок кнопок стеклоподъёмникаВАЗ 2170</v>
      </c>
      <c r="B292" s="83" t="s">
        <v>341</v>
      </c>
      <c r="C292" s="29" t="s">
        <v>397</v>
      </c>
      <c r="D292" s="26" t="s">
        <v>352</v>
      </c>
      <c r="E292" s="27">
        <v>200</v>
      </c>
      <c r="F292" s="105" t="str">
        <f>IFERROR(IFERROR(VLOOKUP(D292,Кат!$I:$J,2,0),VLOOKUP(A292,Кат!$I:$J,2,0)),"")</f>
        <v/>
      </c>
      <c r="G292" s="105" t="str">
        <f>IFERROR(IFERROR(INDEX(Кат!$A:$A,MATCH(Прайс!D292,Кат!$I:$I,0)),INDEX(Кат!$A:$A,MATCH(A292,Кат!$I:$I,0))),"")</f>
        <v/>
      </c>
      <c r="H292" s="105" t="str">
        <f>IFERROR(IFERROR(INDEX(Кат!$B:$B,MATCH(Прайс!D292,Кат!$I:$I,0)),INDEX(Кат!$B:$B,MATCH(A292,Кат!$I:$I,0))),"")</f>
        <v/>
      </c>
      <c r="I292" s="2" t="str">
        <f t="shared" si="9"/>
        <v>"Приора"Разъём в блок кнопок стеклоподъёмникаВАЗ 2170</v>
      </c>
    </row>
    <row r="293" spans="1:9" s="2" customFormat="1" ht="12.75" x14ac:dyDescent="0.2">
      <c r="A293" s="40" t="str">
        <f t="shared" si="8"/>
        <v>"Приора"Разъём в комбинации приборов(зеленый) в сборе с проводамиВАЗ 2170,1118</v>
      </c>
      <c r="B293" s="83" t="s">
        <v>341</v>
      </c>
      <c r="C293" s="29" t="s">
        <v>765</v>
      </c>
      <c r="D293" s="26" t="s">
        <v>398</v>
      </c>
      <c r="E293" s="27">
        <v>450</v>
      </c>
      <c r="F293" s="105" t="str">
        <f>IFERROR(IFERROR(VLOOKUP(D293,Кат!$I:$J,2,0),VLOOKUP(A293,Кат!$I:$J,2,0)),"")</f>
        <v/>
      </c>
      <c r="G293" s="105" t="str">
        <f>IFERROR(IFERROR(INDEX(Кат!$A:$A,MATCH(Прайс!D293,Кат!$I:$I,0)),INDEX(Кат!$A:$A,MATCH(A293,Кат!$I:$I,0))),"")</f>
        <v/>
      </c>
      <c r="H293" s="105" t="str">
        <f>IFERROR(IFERROR(INDEX(Кат!$B:$B,MATCH(Прайс!D293,Кат!$I:$I,0)),INDEX(Кат!$B:$B,MATCH(A293,Кат!$I:$I,0))),"")</f>
        <v/>
      </c>
      <c r="I293" s="2" t="str">
        <f t="shared" si="9"/>
        <v>"Приора"Разъём в комбинации приборов(зеленый) в сборе с проводамиВАЗ 2170,1118</v>
      </c>
    </row>
    <row r="294" spans="1:9" s="2" customFormat="1" ht="12.75" x14ac:dyDescent="0.2">
      <c r="A294" s="40" t="str">
        <f t="shared" si="8"/>
        <v>"Приора"Разъём кнопки стеклоподъёмникаВАЗ 2170(на одну кнопку)</v>
      </c>
      <c r="B294" s="83" t="s">
        <v>341</v>
      </c>
      <c r="C294" s="29" t="s">
        <v>399</v>
      </c>
      <c r="D294" s="26" t="s">
        <v>400</v>
      </c>
      <c r="E294" s="27">
        <v>70</v>
      </c>
      <c r="F294" s="105" t="str">
        <f>IFERROR(IFERROR(VLOOKUP(D294,Кат!$I:$J,2,0),VLOOKUP(A294,Кат!$I:$J,2,0)),"")</f>
        <v/>
      </c>
      <c r="G294" s="105" t="str">
        <f>IFERROR(IFERROR(INDEX(Кат!$A:$A,MATCH(Прайс!D294,Кат!$I:$I,0)),INDEX(Кат!$A:$A,MATCH(A294,Кат!$I:$I,0))),"")</f>
        <v/>
      </c>
      <c r="H294" s="105" t="str">
        <f>IFERROR(IFERROR(INDEX(Кат!$B:$B,MATCH(Прайс!D294,Кат!$I:$I,0)),INDEX(Кат!$B:$B,MATCH(A294,Кат!$I:$I,0))),"")</f>
        <v/>
      </c>
      <c r="I294" s="2" t="str">
        <f t="shared" si="9"/>
        <v>"Приора"Разъём кнопки стеклоподъёмникаВАЗ 2170(на одну кнопку)</v>
      </c>
    </row>
    <row r="295" spans="1:9" s="2" customFormat="1" ht="12.75" x14ac:dyDescent="0.2">
      <c r="A295" s="40" t="str">
        <f t="shared" si="8"/>
        <v>ВАЗ 2114Разъём прикуривателяВАЗ 2123,2114,2115</v>
      </c>
      <c r="B295" s="83" t="s">
        <v>280</v>
      </c>
      <c r="C295" s="29" t="s">
        <v>395</v>
      </c>
      <c r="D295" s="26" t="s">
        <v>396</v>
      </c>
      <c r="E295" s="27">
        <v>65</v>
      </c>
      <c r="F295" s="105" t="str">
        <f>IFERROR(IFERROR(VLOOKUP(D295,Кат!$I:$J,2,0),VLOOKUP(A295,Кат!$I:$J,2,0)),"")</f>
        <v/>
      </c>
      <c r="G295" s="105" t="str">
        <f>IFERROR(IFERROR(INDEX(Кат!$A:$A,MATCH(Прайс!D295,Кат!$I:$I,0)),INDEX(Кат!$A:$A,MATCH(A295,Кат!$I:$I,0))),"")</f>
        <v/>
      </c>
      <c r="H295" s="105" t="str">
        <f>IFERROR(IFERROR(INDEX(Кат!$B:$B,MATCH(Прайс!D295,Кат!$I:$I,0)),INDEX(Кат!$B:$B,MATCH(A295,Кат!$I:$I,0))),"")</f>
        <v/>
      </c>
      <c r="I295" s="2" t="str">
        <f t="shared" si="9"/>
        <v>ВАЗ 2114Разъём прикуривателяВАЗ 2123,2114,2115</v>
      </c>
    </row>
    <row r="296" spans="1:9" s="2" customFormat="1" ht="12.75" x14ac:dyDescent="0.2">
      <c r="A296" s="40" t="str">
        <f t="shared" si="8"/>
        <v>ВАЗ 2110Разъём в мотор печкиВАЗ 2123,2111</v>
      </c>
      <c r="B296" s="83" t="s">
        <v>251</v>
      </c>
      <c r="C296" s="29" t="s">
        <v>394</v>
      </c>
      <c r="D296" s="26" t="s">
        <v>105</v>
      </c>
      <c r="E296" s="27">
        <v>100</v>
      </c>
      <c r="F296" s="105" t="str">
        <f>IFERROR(IFERROR(VLOOKUP(D296,Кат!$I:$J,2,0),VLOOKUP(A296,Кат!$I:$J,2,0)),"")</f>
        <v/>
      </c>
      <c r="G296" s="105" t="str">
        <f>IFERROR(IFERROR(INDEX(Кат!$A:$A,MATCH(Прайс!D296,Кат!$I:$I,0)),INDEX(Кат!$A:$A,MATCH(A296,Кат!$I:$I,0))),"")</f>
        <v/>
      </c>
      <c r="H296" s="105" t="str">
        <f>IFERROR(IFERROR(INDEX(Кат!$B:$B,MATCH(Прайс!D296,Кат!$I:$I,0)),INDEX(Кат!$B:$B,MATCH(A296,Кат!$I:$I,0))),"")</f>
        <v/>
      </c>
      <c r="I296" s="2" t="str">
        <f t="shared" si="9"/>
        <v>ВАЗ 2110Разъём в мотор печкиВАЗ 2123,2111</v>
      </c>
    </row>
    <row r="297" spans="1:9" s="2" customFormat="1" ht="12.75" x14ac:dyDescent="0.2">
      <c r="A297" s="40" t="str">
        <f t="shared" si="8"/>
        <v>ВАЗ 2110Разъём в фару BOSHВАЗ 2110</v>
      </c>
      <c r="B297" s="83" t="s">
        <v>251</v>
      </c>
      <c r="C297" s="29" t="s">
        <v>401</v>
      </c>
      <c r="D297" s="26" t="s">
        <v>251</v>
      </c>
      <c r="E297" s="27">
        <v>130</v>
      </c>
      <c r="F297" s="105" t="str">
        <f>IFERROR(IFERROR(VLOOKUP(D297,Кат!$I:$J,2,0),VLOOKUP(A297,Кат!$I:$J,2,0)),"")</f>
        <v/>
      </c>
      <c r="G297" s="105" t="str">
        <f>IFERROR(IFERROR(INDEX(Кат!$A:$A,MATCH(Прайс!D297,Кат!$I:$I,0)),INDEX(Кат!$A:$A,MATCH(A297,Кат!$I:$I,0))),"")</f>
        <v/>
      </c>
      <c r="H297" s="105" t="str">
        <f>IFERROR(IFERROR(INDEX(Кат!$B:$B,MATCH(Прайс!D297,Кат!$I:$I,0)),INDEX(Кат!$B:$B,MATCH(A297,Кат!$I:$I,0))),"")</f>
        <v/>
      </c>
      <c r="I297" s="2" t="str">
        <f t="shared" si="9"/>
        <v>ВАЗ 2110Разъём в фару BOSHВАЗ 2110</v>
      </c>
    </row>
    <row r="298" spans="1:9" s="2" customFormat="1" ht="12.75" x14ac:dyDescent="0.2">
      <c r="A298" s="40" t="str">
        <f t="shared" si="8"/>
        <v>К жгуту бензонасоса, к датчику кислорода штыревая</v>
      </c>
      <c r="B298" s="30"/>
      <c r="C298" s="31" t="s">
        <v>402</v>
      </c>
      <c r="D298" s="32"/>
      <c r="E298" s="33">
        <v>100</v>
      </c>
      <c r="F298" s="105" t="str">
        <f>IFERROR(IFERROR(VLOOKUP(D298,Кат!$I:$J,2,0),VLOOKUP(A298,Кат!$I:$J,2,0)),"")</f>
        <v/>
      </c>
      <c r="G298" s="105" t="str">
        <f>IFERROR(IFERROR(INDEX(Кат!$A:$A,MATCH(Прайс!D298,Кат!$I:$I,0)),INDEX(Кат!$A:$A,MATCH(A298,Кат!$I:$I,0))),"")</f>
        <v/>
      </c>
      <c r="H298" s="105" t="str">
        <f>IFERROR(IFERROR(INDEX(Кат!$B:$B,MATCH(Прайс!D298,Кат!$I:$I,0)),INDEX(Кат!$B:$B,MATCH(A298,Кат!$I:$I,0))),"")</f>
        <v/>
      </c>
      <c r="I298" s="2" t="str">
        <f t="shared" si="9"/>
        <v>К жгуту бензонасоса, к датчику кислорода штыревая</v>
      </c>
    </row>
    <row r="299" spans="1:9" s="2" customFormat="1" ht="12.75" x14ac:dyDescent="0.2">
      <c r="A299" s="40" t="str">
        <f t="shared" si="8"/>
        <v>Жгута бензонасоса, к датчику кислорода гнездоваяП</v>
      </c>
      <c r="B299" s="30"/>
      <c r="C299" s="31" t="s">
        <v>403</v>
      </c>
      <c r="D299" s="32" t="s">
        <v>404</v>
      </c>
      <c r="E299" s="33">
        <v>100</v>
      </c>
      <c r="F299" s="105" t="str">
        <f>IFERROR(IFERROR(VLOOKUP(D299,Кат!$I:$J,2,0),VLOOKUP(A299,Кат!$I:$J,2,0)),"")</f>
        <v/>
      </c>
      <c r="G299" s="105" t="str">
        <f>IFERROR(IFERROR(INDEX(Кат!$A:$A,MATCH(Прайс!D299,Кат!$I:$I,0)),INDEX(Кат!$A:$A,MATCH(A299,Кат!$I:$I,0))),"")</f>
        <v/>
      </c>
      <c r="H299" s="105" t="str">
        <f>IFERROR(IFERROR(INDEX(Кат!$B:$B,MATCH(Прайс!D299,Кат!$I:$I,0)),INDEX(Кат!$B:$B,MATCH(A299,Кат!$I:$I,0))),"")</f>
        <v/>
      </c>
      <c r="I299" s="2" t="str">
        <f t="shared" si="9"/>
        <v>Жгута бензонасоса, к датчику кислорода гнездоваяП</v>
      </c>
    </row>
    <row r="300" spans="1:9" s="2" customFormat="1" ht="12.75" x14ac:dyDescent="0.2">
      <c r="A300" s="40" t="str">
        <f t="shared" si="8"/>
        <v>К бензонасосу, к датчику уровня топлива 4-х контактная гнездовая</v>
      </c>
      <c r="B300" s="30"/>
      <c r="C300" s="31" t="s">
        <v>405</v>
      </c>
      <c r="D300" s="32"/>
      <c r="E300" s="33">
        <v>100</v>
      </c>
      <c r="F300" s="105" t="str">
        <f>IFERROR(IFERROR(VLOOKUP(D300,Кат!$I:$J,2,0),VLOOKUP(A300,Кат!$I:$J,2,0)),"")</f>
        <v/>
      </c>
      <c r="G300" s="105" t="str">
        <f>IFERROR(IFERROR(INDEX(Кат!$A:$A,MATCH(Прайс!D300,Кат!$I:$I,0)),INDEX(Кат!$A:$A,MATCH(A300,Кат!$I:$I,0))),"")</f>
        <v/>
      </c>
      <c r="H300" s="105" t="str">
        <f>IFERROR(IFERROR(INDEX(Кат!$B:$B,MATCH(Прайс!D300,Кат!$I:$I,0)),INDEX(Кат!$B:$B,MATCH(A300,Кат!$I:$I,0))),"")</f>
        <v/>
      </c>
      <c r="I300" s="2" t="str">
        <f t="shared" si="9"/>
        <v>К бензонасосу, к датчику уровня топлива 4-х контактная гнездовая</v>
      </c>
    </row>
    <row r="301" spans="1:9" s="2" customFormat="1" ht="12.75" x14ac:dyDescent="0.2">
      <c r="A301" s="40" t="str">
        <f t="shared" si="8"/>
        <v>К форсунке BOSCH 0280158502</v>
      </c>
      <c r="B301" s="30"/>
      <c r="C301" s="31" t="s">
        <v>406</v>
      </c>
      <c r="D301" s="32"/>
      <c r="E301" s="33">
        <v>65</v>
      </c>
      <c r="F301" s="105" t="str">
        <f>IFERROR(IFERROR(VLOOKUP(D301,Кат!$I:$J,2,0),VLOOKUP(A301,Кат!$I:$J,2,0)),"")</f>
        <v/>
      </c>
      <c r="G301" s="105" t="str">
        <f>IFERROR(IFERROR(INDEX(Кат!$A:$A,MATCH(Прайс!D301,Кат!$I:$I,0)),INDEX(Кат!$A:$A,MATCH(A301,Кат!$I:$I,0))),"")</f>
        <v/>
      </c>
      <c r="H301" s="105" t="str">
        <f>IFERROR(IFERROR(INDEX(Кат!$B:$B,MATCH(Прайс!D301,Кат!$I:$I,0)),INDEX(Кат!$B:$B,MATCH(A301,Кат!$I:$I,0))),"")</f>
        <v/>
      </c>
      <c r="I301" s="2" t="str">
        <f t="shared" si="9"/>
        <v>К форсунке BOSCH 0280158502</v>
      </c>
    </row>
    <row r="302" spans="1:9" s="2" customFormat="1" ht="12.75" x14ac:dyDescent="0.2">
      <c r="A302" s="40" t="str">
        <f t="shared" si="8"/>
        <v>К форсунке</v>
      </c>
      <c r="B302" s="30"/>
      <c r="C302" s="31" t="s">
        <v>407</v>
      </c>
      <c r="D302" s="32"/>
      <c r="E302" s="33">
        <v>60</v>
      </c>
      <c r="F302" s="105" t="str">
        <f>IFERROR(IFERROR(VLOOKUP(D302,Кат!$I:$J,2,0),VLOOKUP(A302,Кат!$I:$J,2,0)),"")</f>
        <v/>
      </c>
      <c r="G302" s="105" t="str">
        <f>IFERROR(IFERROR(INDEX(Кат!$A:$A,MATCH(Прайс!D302,Кат!$I:$I,0)),INDEX(Кат!$A:$A,MATCH(A302,Кат!$I:$I,0))),"")</f>
        <v/>
      </c>
      <c r="H302" s="105" t="str">
        <f>IFERROR(IFERROR(INDEX(Кат!$B:$B,MATCH(Прайс!D302,Кат!$I:$I,0)),INDEX(Кат!$B:$B,MATCH(A302,Кат!$I:$I,0))),"")</f>
        <v/>
      </c>
      <c r="I302" s="2" t="str">
        <f t="shared" si="9"/>
        <v>К форсунке</v>
      </c>
    </row>
    <row r="303" spans="1:9" s="2" customFormat="1" ht="12.75" x14ac:dyDescent="0.2">
      <c r="A303" s="40" t="str">
        <f t="shared" si="8"/>
        <v>К датчику детонации с резинкой</v>
      </c>
      <c r="B303" s="30"/>
      <c r="C303" s="31" t="s">
        <v>855</v>
      </c>
      <c r="D303" s="32"/>
      <c r="E303" s="33">
        <v>100</v>
      </c>
      <c r="F303" s="105" t="str">
        <f>IFERROR(IFERROR(VLOOKUP(D303,Кат!$I:$J,2,0),VLOOKUP(A303,Кат!$I:$J,2,0)),"")</f>
        <v/>
      </c>
      <c r="G303" s="105" t="str">
        <f>IFERROR(IFERROR(INDEX(Кат!$A:$A,MATCH(Прайс!D303,Кат!$I:$I,0)),INDEX(Кат!$A:$A,MATCH(A303,Кат!$I:$I,0))),"")</f>
        <v/>
      </c>
      <c r="H303" s="105" t="str">
        <f>IFERROR(IFERROR(INDEX(Кат!$B:$B,MATCH(Прайс!D303,Кат!$I:$I,0)),INDEX(Кат!$B:$B,MATCH(A303,Кат!$I:$I,0))),"")</f>
        <v/>
      </c>
      <c r="I303" s="2" t="str">
        <f t="shared" si="9"/>
        <v>К датчику детонации с резинкой</v>
      </c>
    </row>
    <row r="304" spans="1:9" s="2" customFormat="1" ht="12.75" x14ac:dyDescent="0.2">
      <c r="A304" s="40" t="str">
        <f t="shared" si="8"/>
        <v>К датчику скорости, датчику Холла</v>
      </c>
      <c r="B304" s="30"/>
      <c r="C304" s="31" t="s">
        <v>408</v>
      </c>
      <c r="D304" s="32"/>
      <c r="E304" s="33">
        <v>70</v>
      </c>
      <c r="F304" s="105" t="str">
        <f>IFERROR(IFERROR(VLOOKUP(D304,Кат!$I:$J,2,0),VLOOKUP(A304,Кат!$I:$J,2,0)),"")</f>
        <v/>
      </c>
      <c r="G304" s="105" t="str">
        <f>IFERROR(IFERROR(INDEX(Кат!$A:$A,MATCH(Прайс!D304,Кат!$I:$I,0)),INDEX(Кат!$A:$A,MATCH(A304,Кат!$I:$I,0))),"")</f>
        <v/>
      </c>
      <c r="H304" s="105" t="str">
        <f>IFERROR(IFERROR(INDEX(Кат!$B:$B,MATCH(Прайс!D304,Кат!$I:$I,0)),INDEX(Кат!$B:$B,MATCH(A304,Кат!$I:$I,0))),"")</f>
        <v/>
      </c>
      <c r="I304" s="2" t="str">
        <f t="shared" si="9"/>
        <v>К датчику скорости, датчику Холла</v>
      </c>
    </row>
    <row r="305" spans="1:9" s="2" customFormat="1" ht="12.75" x14ac:dyDescent="0.2">
      <c r="A305" s="40" t="str">
        <f t="shared" si="8"/>
        <v>К датчуку коленчатого вала</v>
      </c>
      <c r="B305" s="30"/>
      <c r="C305" s="31" t="s">
        <v>409</v>
      </c>
      <c r="D305" s="32"/>
      <c r="E305" s="33">
        <v>60</v>
      </c>
      <c r="F305" s="105" t="str">
        <f>IFERROR(IFERROR(VLOOKUP(D305,Кат!$I:$J,2,0),VLOOKUP(A305,Кат!$I:$J,2,0)),"")</f>
        <v/>
      </c>
      <c r="G305" s="105" t="str">
        <f>IFERROR(IFERROR(INDEX(Кат!$A:$A,MATCH(Прайс!D305,Кат!$I:$I,0)),INDEX(Кат!$A:$A,MATCH(A305,Кат!$I:$I,0))),"")</f>
        <v/>
      </c>
      <c r="H305" s="105" t="str">
        <f>IFERROR(IFERROR(INDEX(Кат!$B:$B,MATCH(Прайс!D305,Кат!$I:$I,0)),INDEX(Кат!$B:$B,MATCH(A305,Кат!$I:$I,0))),"")</f>
        <v/>
      </c>
      <c r="I305" s="2" t="str">
        <f t="shared" si="9"/>
        <v>К датчуку коленчатого вала</v>
      </c>
    </row>
    <row r="306" spans="1:9" s="2" customFormat="1" ht="12.75" x14ac:dyDescent="0.2">
      <c r="A306" s="40" t="str">
        <f t="shared" si="8"/>
        <v>К датчику холостого хода</v>
      </c>
      <c r="B306" s="30"/>
      <c r="C306" s="31" t="s">
        <v>410</v>
      </c>
      <c r="D306" s="32"/>
      <c r="E306" s="33">
        <v>70</v>
      </c>
      <c r="F306" s="105" t="str">
        <f>IFERROR(IFERROR(VLOOKUP(D306,Кат!$I:$J,2,0),VLOOKUP(A306,Кат!$I:$J,2,0)),"")</f>
        <v/>
      </c>
      <c r="G306" s="105" t="str">
        <f>IFERROR(IFERROR(INDEX(Кат!$A:$A,MATCH(Прайс!D306,Кат!$I:$I,0)),INDEX(Кат!$A:$A,MATCH(A306,Кат!$I:$I,0))),"")</f>
        <v/>
      </c>
      <c r="H306" s="105" t="str">
        <f>IFERROR(IFERROR(INDEX(Кат!$B:$B,MATCH(Прайс!D306,Кат!$I:$I,0)),INDEX(Кат!$B:$B,MATCH(A306,Кат!$I:$I,0))),"")</f>
        <v/>
      </c>
      <c r="I306" s="2" t="str">
        <f t="shared" si="9"/>
        <v>К датчику холостого хода</v>
      </c>
    </row>
    <row r="307" spans="1:9" s="2" customFormat="1" ht="12.75" x14ac:dyDescent="0.2">
      <c r="A307" s="40" t="str">
        <f t="shared" si="8"/>
        <v>К модулю зажигания (старого образца)</v>
      </c>
      <c r="B307" s="30"/>
      <c r="C307" s="31" t="s">
        <v>411</v>
      </c>
      <c r="D307" s="32"/>
      <c r="E307" s="33">
        <v>100</v>
      </c>
      <c r="F307" s="105" t="str">
        <f>IFERROR(IFERROR(VLOOKUP(D307,Кат!$I:$J,2,0),VLOOKUP(A307,Кат!$I:$J,2,0)),"")</f>
        <v/>
      </c>
      <c r="G307" s="105" t="str">
        <f>IFERROR(IFERROR(INDEX(Кат!$A:$A,MATCH(Прайс!D307,Кат!$I:$I,0)),INDEX(Кат!$A:$A,MATCH(A307,Кат!$I:$I,0))),"")</f>
        <v/>
      </c>
      <c r="H307" s="105" t="str">
        <f>IFERROR(IFERROR(INDEX(Кат!$B:$B,MATCH(Прайс!D307,Кат!$I:$I,0)),INDEX(Кат!$B:$B,MATCH(A307,Кат!$I:$I,0))),"")</f>
        <v/>
      </c>
      <c r="I307" s="2" t="str">
        <f t="shared" si="9"/>
        <v>К модулю зажигания (старого образца)</v>
      </c>
    </row>
    <row r="308" spans="1:9" s="2" customFormat="1" ht="12.75" x14ac:dyDescent="0.2">
      <c r="A308" s="40" t="str">
        <f t="shared" si="8"/>
        <v>К ДМРВ - 137,116 троссовая педаль</v>
      </c>
      <c r="B308" s="30"/>
      <c r="C308" s="31" t="s">
        <v>412</v>
      </c>
      <c r="D308" s="32"/>
      <c r="E308" s="33">
        <v>100</v>
      </c>
      <c r="F308" s="105" t="str">
        <f>IFERROR(IFERROR(VLOOKUP(D308,Кат!$I:$J,2,0),VLOOKUP(A308,Кат!$I:$J,2,0)),"")</f>
        <v/>
      </c>
      <c r="G308" s="105" t="str">
        <f>IFERROR(IFERROR(INDEX(Кат!$A:$A,MATCH(Прайс!D308,Кат!$I:$I,0)),INDEX(Кат!$A:$A,MATCH(A308,Кат!$I:$I,0))),"")</f>
        <v/>
      </c>
      <c r="H308" s="105" t="str">
        <f>IFERROR(IFERROR(INDEX(Кат!$B:$B,MATCH(Прайс!D308,Кат!$I:$I,0)),INDEX(Кат!$B:$B,MATCH(A308,Кат!$I:$I,0))),"")</f>
        <v/>
      </c>
      <c r="I308" s="2" t="str">
        <f t="shared" si="9"/>
        <v>К ДМРВ - 137,116 троссовая педаль</v>
      </c>
    </row>
    <row r="309" spans="1:9" s="2" customFormat="1" ht="12.75" x14ac:dyDescent="0.2">
      <c r="A309" s="40" t="str">
        <f t="shared" si="8"/>
        <v>К выкл.:подкапот тлампы, дверному, контрольной лампы зад.хода</v>
      </c>
      <c r="B309" s="30"/>
      <c r="C309" s="31" t="s">
        <v>413</v>
      </c>
      <c r="D309" s="32"/>
      <c r="E309" s="33">
        <v>100</v>
      </c>
      <c r="F309" s="105" t="str">
        <f>IFERROR(IFERROR(VLOOKUP(D309,Кат!$I:$J,2,0),VLOOKUP(A309,Кат!$I:$J,2,0)),"")</f>
        <v/>
      </c>
      <c r="G309" s="105" t="str">
        <f>IFERROR(IFERROR(INDEX(Кат!$A:$A,MATCH(Прайс!D309,Кат!$I:$I,0)),INDEX(Кат!$A:$A,MATCH(A309,Кат!$I:$I,0))),"")</f>
        <v/>
      </c>
      <c r="H309" s="105" t="str">
        <f>IFERROR(IFERROR(INDEX(Кат!$B:$B,MATCH(Прайс!D309,Кат!$I:$I,0)),INDEX(Кат!$B:$B,MATCH(A309,Кат!$I:$I,0))),"")</f>
        <v/>
      </c>
      <c r="I309" s="2" t="str">
        <f t="shared" si="9"/>
        <v>К выкл.:подкапот тлампы, дверному, контрольной лампы зад.хода</v>
      </c>
    </row>
    <row r="310" spans="1:9" s="2" customFormat="1" ht="12.75" x14ac:dyDescent="0.2">
      <c r="A310" s="40" t="str">
        <f t="shared" si="8"/>
        <v>К ДМРВ 2105, 2107 (SIEMENS)</v>
      </c>
      <c r="B310" s="30"/>
      <c r="C310" s="31" t="s">
        <v>414</v>
      </c>
      <c r="D310" s="32"/>
      <c r="E310" s="33">
        <v>150</v>
      </c>
      <c r="F310" s="105" t="str">
        <f>IFERROR(IFERROR(VLOOKUP(D310,Кат!$I:$J,2,0),VLOOKUP(A310,Кат!$I:$J,2,0)),"")</f>
        <v/>
      </c>
      <c r="G310" s="105" t="str">
        <f>IFERROR(IFERROR(INDEX(Кат!$A:$A,MATCH(Прайс!D310,Кат!$I:$I,0)),INDEX(Кат!$A:$A,MATCH(A310,Кат!$I:$I,0))),"")</f>
        <v/>
      </c>
      <c r="H310" s="105" t="str">
        <f>IFERROR(IFERROR(INDEX(Кат!$B:$B,MATCH(Прайс!D310,Кат!$I:$I,0)),INDEX(Кат!$B:$B,MATCH(A310,Кат!$I:$I,0))),"")</f>
        <v/>
      </c>
      <c r="I310" s="2" t="str">
        <f t="shared" si="9"/>
        <v>К ДМРВ 2105, 2107 (SIEMENS)</v>
      </c>
    </row>
    <row r="311" spans="1:9" s="2" customFormat="1" ht="12.75" x14ac:dyDescent="0.2">
      <c r="A311" s="40" t="str">
        <f t="shared" si="8"/>
        <v>К ДМРВ 1117-1119, 2170-2172,21214(16 КЛ.) с электронной педалью акселер.</v>
      </c>
      <c r="B311" s="30"/>
      <c r="C311" s="31" t="s">
        <v>415</v>
      </c>
      <c r="D311" s="32"/>
      <c r="E311" s="33">
        <v>250</v>
      </c>
      <c r="F311" s="105" t="str">
        <f>IFERROR(IFERROR(VLOOKUP(D311,Кат!$I:$J,2,0),VLOOKUP(A311,Кат!$I:$J,2,0)),"")</f>
        <v/>
      </c>
      <c r="G311" s="105" t="str">
        <f>IFERROR(IFERROR(INDEX(Кат!$A:$A,MATCH(Прайс!D311,Кат!$I:$I,0)),INDEX(Кат!$A:$A,MATCH(A311,Кат!$I:$I,0))),"")</f>
        <v/>
      </c>
      <c r="H311" s="105" t="str">
        <f>IFERROR(IFERROR(INDEX(Кат!$B:$B,MATCH(Прайс!D311,Кат!$I:$I,0)),INDEX(Кат!$B:$B,MATCH(A311,Кат!$I:$I,0))),"")</f>
        <v/>
      </c>
      <c r="I311" s="2" t="str">
        <f t="shared" si="9"/>
        <v>К ДМРВ 1117-1119, 2170-2172,21214(16 КЛ.) с электронной педалью акселер.</v>
      </c>
    </row>
    <row r="312" spans="1:9" s="2" customFormat="1" ht="12.75" x14ac:dyDescent="0.2">
      <c r="A312" s="40" t="str">
        <f t="shared" si="8"/>
        <v>К датчику температуры, к датчику ABS окружающей среды</v>
      </c>
      <c r="B312" s="30"/>
      <c r="C312" s="31" t="s">
        <v>416</v>
      </c>
      <c r="D312" s="32"/>
      <c r="E312" s="33">
        <v>150</v>
      </c>
      <c r="F312" s="105" t="str">
        <f>IFERROR(IFERROR(VLOOKUP(D312,Кат!$I:$J,2,0),VLOOKUP(A312,Кат!$I:$J,2,0)),"")</f>
        <v>сергей проводка</v>
      </c>
      <c r="G312" s="105">
        <f>IFERROR(IFERROR(INDEX(Кат!$A:$A,MATCH(Прайс!D312,Кат!$I:$I,0)),INDEX(Кат!$A:$A,MATCH(A312,Кат!$I:$I,0))),"")</f>
        <v>202555</v>
      </c>
      <c r="H312" s="105">
        <f>IFERROR(IFERROR(INDEX(Кат!$B:$B,MATCH(Прайс!D312,Кат!$I:$I,0)),INDEX(Кат!$B:$B,MATCH(A312,Кат!$I:$I,0))),"")</f>
        <v>4464</v>
      </c>
      <c r="I312" s="2" t="str">
        <f t="shared" si="9"/>
        <v>К датчику температуры, к датчику ABS окружающей среды</v>
      </c>
    </row>
    <row r="313" spans="1:9" s="2" customFormat="1" ht="12.75" x14ac:dyDescent="0.2">
      <c r="A313" s="40" t="str">
        <f t="shared" si="8"/>
        <v>К реле генератора 1117-1119</v>
      </c>
      <c r="B313" s="30"/>
      <c r="C313" s="31" t="s">
        <v>417</v>
      </c>
      <c r="D313" s="32"/>
      <c r="E313" s="33">
        <v>150</v>
      </c>
      <c r="F313" s="105" t="str">
        <f>IFERROR(IFERROR(VLOOKUP(D313,Кат!$I:$J,2,0),VLOOKUP(A313,Кат!$I:$J,2,0)),"")</f>
        <v/>
      </c>
      <c r="G313" s="105" t="str">
        <f>IFERROR(IFERROR(INDEX(Кат!$A:$A,MATCH(Прайс!D313,Кат!$I:$I,0)),INDEX(Кат!$A:$A,MATCH(A313,Кат!$I:$I,0))),"")</f>
        <v/>
      </c>
      <c r="H313" s="105" t="str">
        <f>IFERROR(IFERROR(INDEX(Кат!$B:$B,MATCH(Прайс!D313,Кат!$I:$I,0)),INDEX(Кат!$B:$B,MATCH(A313,Кат!$I:$I,0))),"")</f>
        <v/>
      </c>
      <c r="I313" s="2" t="str">
        <f t="shared" si="9"/>
        <v>К реле генератора 1117-1119</v>
      </c>
    </row>
    <row r="314" spans="1:9" s="2" customFormat="1" ht="12.75" x14ac:dyDescent="0.2">
      <c r="A314" s="40" t="str">
        <f t="shared" si="8"/>
        <v>К датчику скорости 1117-1119</v>
      </c>
      <c r="B314" s="30"/>
      <c r="C314" s="31" t="s">
        <v>418</v>
      </c>
      <c r="D314" s="32"/>
      <c r="E314" s="33">
        <v>150</v>
      </c>
      <c r="F314" s="105" t="str">
        <f>IFERROR(IFERROR(VLOOKUP(D314,Кат!$I:$J,2,0),VLOOKUP(A314,Кат!$I:$J,2,0)),"")</f>
        <v/>
      </c>
      <c r="G314" s="105" t="str">
        <f>IFERROR(IFERROR(INDEX(Кат!$A:$A,MATCH(Прайс!D314,Кат!$I:$I,0)),INDEX(Кат!$A:$A,MATCH(A314,Кат!$I:$I,0))),"")</f>
        <v/>
      </c>
      <c r="H314" s="105" t="str">
        <f>IFERROR(IFERROR(INDEX(Кат!$B:$B,MATCH(Прайс!D314,Кат!$I:$I,0)),INDEX(Кат!$B:$B,MATCH(A314,Кат!$I:$I,0))),"")</f>
        <v/>
      </c>
      <c r="I314" s="2" t="str">
        <f t="shared" si="9"/>
        <v>К датчику скорости 1117-1119</v>
      </c>
    </row>
    <row r="315" spans="1:9" s="2" customFormat="1" ht="12.75" x14ac:dyDescent="0.2">
      <c r="A315" s="40" t="str">
        <f t="shared" si="8"/>
        <v>5-контактная штыревая</v>
      </c>
      <c r="B315" s="30"/>
      <c r="C315" s="31" t="s">
        <v>419</v>
      </c>
      <c r="D315" s="32"/>
      <c r="E315" s="33">
        <v>150</v>
      </c>
      <c r="F315" s="105" t="str">
        <f>IFERROR(IFERROR(VLOOKUP(D315,Кат!$I:$J,2,0),VLOOKUP(A315,Кат!$I:$J,2,0)),"")</f>
        <v/>
      </c>
      <c r="G315" s="105" t="str">
        <f>IFERROR(IFERROR(INDEX(Кат!$A:$A,MATCH(Прайс!D315,Кат!$I:$I,0)),INDEX(Кат!$A:$A,MATCH(A315,Кат!$I:$I,0))),"")</f>
        <v/>
      </c>
      <c r="H315" s="105" t="str">
        <f>IFERROR(IFERROR(INDEX(Кат!$B:$B,MATCH(Прайс!D315,Кат!$I:$I,0)),INDEX(Кат!$B:$B,MATCH(A315,Кат!$I:$I,0))),"")</f>
        <v/>
      </c>
      <c r="I315" s="2" t="str">
        <f t="shared" si="9"/>
        <v>5-контактная штыревая</v>
      </c>
    </row>
    <row r="316" spans="1:9" s="2" customFormat="1" ht="12.75" x14ac:dyDescent="0.2">
      <c r="A316" s="40" t="str">
        <f t="shared" si="8"/>
        <v>6-контактная штыревая</v>
      </c>
      <c r="B316" s="30"/>
      <c r="C316" s="31" t="s">
        <v>420</v>
      </c>
      <c r="D316" s="32"/>
      <c r="E316" s="33">
        <v>150</v>
      </c>
      <c r="F316" s="105" t="str">
        <f>IFERROR(IFERROR(VLOOKUP(D316,Кат!$I:$J,2,0),VLOOKUP(A316,Кат!$I:$J,2,0)),"")</f>
        <v/>
      </c>
      <c r="G316" s="105" t="str">
        <f>IFERROR(IFERROR(INDEX(Кат!$A:$A,MATCH(Прайс!D316,Кат!$I:$I,0)),INDEX(Кат!$A:$A,MATCH(A316,Кат!$I:$I,0))),"")</f>
        <v/>
      </c>
      <c r="H316" s="105" t="str">
        <f>IFERROR(IFERROR(INDEX(Кат!$B:$B,MATCH(Прайс!D316,Кат!$I:$I,0)),INDEX(Кат!$B:$B,MATCH(A316,Кат!$I:$I,0))),"")</f>
        <v/>
      </c>
      <c r="I316" s="2" t="str">
        <f t="shared" si="9"/>
        <v>6-контактная штыревая</v>
      </c>
    </row>
    <row r="317" spans="1:9" s="2" customFormat="1" ht="12.75" x14ac:dyDescent="0.2">
      <c r="A317" s="40" t="str">
        <f t="shared" si="8"/>
        <v>5-контактная гнездовая герметичная</v>
      </c>
      <c r="B317" s="30"/>
      <c r="C317" s="31" t="s">
        <v>421</v>
      </c>
      <c r="D317" s="32"/>
      <c r="E317" s="33">
        <v>150</v>
      </c>
      <c r="F317" s="105" t="str">
        <f>IFERROR(IFERROR(VLOOKUP(D317,Кат!$I:$J,2,0),VLOOKUP(A317,Кат!$I:$J,2,0)),"")</f>
        <v/>
      </c>
      <c r="G317" s="105" t="str">
        <f>IFERROR(IFERROR(INDEX(Кат!$A:$A,MATCH(Прайс!D317,Кат!$I:$I,0)),INDEX(Кат!$A:$A,MATCH(A317,Кат!$I:$I,0))),"")</f>
        <v/>
      </c>
      <c r="H317" s="105" t="str">
        <f>IFERROR(IFERROR(INDEX(Кат!$B:$B,MATCH(Прайс!D317,Кат!$I:$I,0)),INDEX(Кат!$B:$B,MATCH(A317,Кат!$I:$I,0))),"")</f>
        <v/>
      </c>
      <c r="I317" s="2" t="str">
        <f t="shared" si="9"/>
        <v>5-контактная гнездовая герметичная</v>
      </c>
    </row>
    <row r="318" spans="1:9" s="2" customFormat="1" ht="12.75" x14ac:dyDescent="0.2">
      <c r="A318" s="40" t="str">
        <f t="shared" si="8"/>
        <v>6-контактная гнездовая герметичная</v>
      </c>
      <c r="B318" s="30"/>
      <c r="C318" s="31" t="s">
        <v>422</v>
      </c>
      <c r="D318" s="32"/>
      <c r="E318" s="33">
        <v>180</v>
      </c>
      <c r="F318" s="105" t="str">
        <f>IFERROR(IFERROR(VLOOKUP(D318,Кат!$I:$J,2,0),VLOOKUP(A318,Кат!$I:$J,2,0)),"")</f>
        <v/>
      </c>
      <c r="G318" s="105" t="str">
        <f>IFERROR(IFERROR(INDEX(Кат!$A:$A,MATCH(Прайс!D318,Кат!$I:$I,0)),INDEX(Кат!$A:$A,MATCH(A318,Кат!$I:$I,0))),"")</f>
        <v/>
      </c>
      <c r="H318" s="105" t="str">
        <f>IFERROR(IFERROR(INDEX(Кат!$B:$B,MATCH(Прайс!D318,Кат!$I:$I,0)),INDEX(Кат!$B:$B,MATCH(A318,Кат!$I:$I,0))),"")</f>
        <v/>
      </c>
      <c r="I318" s="2" t="str">
        <f t="shared" si="9"/>
        <v>6-контактная гнездовая герметичная</v>
      </c>
    </row>
    <row r="319" spans="1:9" s="2" customFormat="1" ht="12.75" x14ac:dyDescent="0.2">
      <c r="A319" s="40" t="str">
        <f t="shared" si="8"/>
        <v>К датчику фаз</v>
      </c>
      <c r="B319" s="30"/>
      <c r="C319" s="31" t="s">
        <v>423</v>
      </c>
      <c r="D319" s="32"/>
      <c r="E319" s="33">
        <v>70</v>
      </c>
      <c r="F319" s="105" t="str">
        <f>IFERROR(IFERROR(VLOOKUP(D319,Кат!$I:$J,2,0),VLOOKUP(A319,Кат!$I:$J,2,0)),"")</f>
        <v/>
      </c>
      <c r="G319" s="105" t="str">
        <f>IFERROR(IFERROR(INDEX(Кат!$A:$A,MATCH(Прайс!D319,Кат!$I:$I,0)),INDEX(Кат!$A:$A,MATCH(A319,Кат!$I:$I,0))),"")</f>
        <v/>
      </c>
      <c r="H319" s="105" t="str">
        <f>IFERROR(IFERROR(INDEX(Кат!$B:$B,MATCH(Прайс!D319,Кат!$I:$I,0)),INDEX(Кат!$B:$B,MATCH(A319,Кат!$I:$I,0))),"")</f>
        <v/>
      </c>
      <c r="I319" s="2" t="str">
        <f t="shared" si="9"/>
        <v>К датчику фаз</v>
      </c>
    </row>
    <row r="320" spans="1:9" s="2" customFormat="1" ht="12.75" x14ac:dyDescent="0.2">
      <c r="A320" s="40" t="str">
        <f t="shared" si="8"/>
        <v>К блокиратору выбора линии заднего хода 1117-1119</v>
      </c>
      <c r="B320" s="30"/>
      <c r="C320" s="31" t="s">
        <v>424</v>
      </c>
      <c r="D320" s="32"/>
      <c r="E320" s="33">
        <v>60</v>
      </c>
      <c r="F320" s="105" t="str">
        <f>IFERROR(IFERROR(VLOOKUP(D320,Кат!$I:$J,2,0),VLOOKUP(A320,Кат!$I:$J,2,0)),"")</f>
        <v/>
      </c>
      <c r="G320" s="105" t="str">
        <f>IFERROR(IFERROR(INDEX(Кат!$A:$A,MATCH(Прайс!D320,Кат!$I:$I,0)),INDEX(Кат!$A:$A,MATCH(A320,Кат!$I:$I,0))),"")</f>
        <v/>
      </c>
      <c r="H320" s="105" t="str">
        <f>IFERROR(IFERROR(INDEX(Кат!$B:$B,MATCH(Прайс!D320,Кат!$I:$I,0)),INDEX(Кат!$B:$B,MATCH(A320,Кат!$I:$I,0))),"")</f>
        <v/>
      </c>
      <c r="I320" s="2" t="str">
        <f t="shared" si="9"/>
        <v>К блокиратору выбора линии заднего хода 1117-1119</v>
      </c>
    </row>
    <row r="321" spans="1:9" s="2" customFormat="1" ht="12.75" x14ac:dyDescent="0.2">
      <c r="A321" s="40" t="str">
        <f t="shared" si="8"/>
        <v>К противотуманным фарам Н11</v>
      </c>
      <c r="B321" s="30"/>
      <c r="C321" s="31" t="s">
        <v>425</v>
      </c>
      <c r="D321" s="32"/>
      <c r="E321" s="33">
        <v>80</v>
      </c>
      <c r="F321" s="105" t="str">
        <f>IFERROR(IFERROR(VLOOKUP(D321,Кат!$I:$J,2,0),VLOOKUP(A321,Кат!$I:$J,2,0)),"")</f>
        <v/>
      </c>
      <c r="G321" s="105" t="str">
        <f>IFERROR(IFERROR(INDEX(Кат!$A:$A,MATCH(Прайс!D321,Кат!$I:$I,0)),INDEX(Кат!$A:$A,MATCH(A321,Кат!$I:$I,0))),"")</f>
        <v/>
      </c>
      <c r="H321" s="105" t="str">
        <f>IFERROR(IFERROR(INDEX(Кат!$B:$B,MATCH(Прайс!D321,Кат!$I:$I,0)),INDEX(Кат!$B:$B,MATCH(A321,Кат!$I:$I,0))),"")</f>
        <v/>
      </c>
      <c r="I321" s="2" t="str">
        <f t="shared" si="9"/>
        <v>К противотуманным фарам Н11</v>
      </c>
    </row>
    <row r="322" spans="1:9" s="2" customFormat="1" ht="12.75" x14ac:dyDescent="0.2">
      <c r="A322" s="40" t="str">
        <f t="shared" si="8"/>
        <v>К электро приводу и ДПДЗ д/двиг. С электронной педалью акселератора(16 клап.)</v>
      </c>
      <c r="B322" s="30"/>
      <c r="C322" s="31" t="s">
        <v>426</v>
      </c>
      <c r="D322" s="32"/>
      <c r="E322" s="33">
        <v>250</v>
      </c>
      <c r="F322" s="105" t="str">
        <f>IFERROR(IFERROR(VLOOKUP(D322,Кат!$I:$J,2,0),VLOOKUP(A322,Кат!$I:$J,2,0)),"")</f>
        <v/>
      </c>
      <c r="G322" s="105" t="str">
        <f>IFERROR(IFERROR(INDEX(Кат!$A:$A,MATCH(Прайс!D322,Кат!$I:$I,0)),INDEX(Кат!$A:$A,MATCH(A322,Кат!$I:$I,0))),"")</f>
        <v/>
      </c>
      <c r="H322" s="105" t="str">
        <f>IFERROR(IFERROR(INDEX(Кат!$B:$B,MATCH(Прайс!D322,Кат!$I:$I,0)),INDEX(Кат!$B:$B,MATCH(A322,Кат!$I:$I,0))),"")</f>
        <v/>
      </c>
      <c r="I322" s="2" t="str">
        <f t="shared" si="9"/>
        <v>К электро приводу и ДПДЗ д/двиг. С электронной педалью акселератора(16 клап.)</v>
      </c>
    </row>
    <row r="323" spans="1:9" s="2" customFormat="1" ht="25.5" x14ac:dyDescent="0.2">
      <c r="A323" s="40" t="str">
        <f t="shared" ref="A323:A386" si="10">_xlfn.CONCAT(B323:D323)</f>
        <v>К дат. Дав. Масла, температуры охлаждающей жидкости 1117-1119, 2170-2172,2190 и их модификации</v>
      </c>
      <c r="B323" s="30"/>
      <c r="C323" s="31" t="s">
        <v>427</v>
      </c>
      <c r="D323" s="32"/>
      <c r="E323" s="33">
        <v>60</v>
      </c>
      <c r="F323" s="105" t="str">
        <f>IFERROR(IFERROR(VLOOKUP(D323,Кат!$I:$J,2,0),VLOOKUP(A323,Кат!$I:$J,2,0)),"")</f>
        <v/>
      </c>
      <c r="G323" s="105" t="str">
        <f>IFERROR(IFERROR(INDEX(Кат!$A:$A,MATCH(Прайс!D323,Кат!$I:$I,0)),INDEX(Кат!$A:$A,MATCH(A323,Кат!$I:$I,0))),"")</f>
        <v/>
      </c>
      <c r="H323" s="105" t="str">
        <f>IFERROR(IFERROR(INDEX(Кат!$B:$B,MATCH(Прайс!D323,Кат!$I:$I,0)),INDEX(Кат!$B:$B,MATCH(A323,Кат!$I:$I,0))),"")</f>
        <v/>
      </c>
      <c r="I323" s="2" t="str">
        <f t="shared" ref="I323:I386" si="11">_xlfn.CONCAT(B323:D323)</f>
        <v>К дат. Дав. Масла, температуры охлаждающей жидкости 1117-1119, 2170-2172,2190 и их модификации</v>
      </c>
    </row>
    <row r="324" spans="1:9" s="2" customFormat="1" ht="12.75" x14ac:dyDescent="0.2">
      <c r="A324" s="40" t="str">
        <f t="shared" si="10"/>
        <v>К электродвигателю отопителя</v>
      </c>
      <c r="B324" s="30"/>
      <c r="C324" s="31" t="s">
        <v>428</v>
      </c>
      <c r="D324" s="32"/>
      <c r="E324" s="33">
        <v>100</v>
      </c>
      <c r="F324" s="105" t="str">
        <f>IFERROR(IFERROR(VLOOKUP(D324,Кат!$I:$J,2,0),VLOOKUP(A324,Кат!$I:$J,2,0)),"")</f>
        <v/>
      </c>
      <c r="G324" s="105" t="str">
        <f>IFERROR(IFERROR(INDEX(Кат!$A:$A,MATCH(Прайс!D324,Кат!$I:$I,0)),INDEX(Кат!$A:$A,MATCH(A324,Кат!$I:$I,0))),"")</f>
        <v/>
      </c>
      <c r="H324" s="105" t="str">
        <f>IFERROR(IFERROR(INDEX(Кат!$B:$B,MATCH(Прайс!D324,Кат!$I:$I,0)),INDEX(Кат!$B:$B,MATCH(A324,Кат!$I:$I,0))),"")</f>
        <v/>
      </c>
      <c r="I324" s="2" t="str">
        <f t="shared" si="11"/>
        <v>К электродвигателю отопителя</v>
      </c>
    </row>
    <row r="325" spans="1:9" s="2" customFormat="1" ht="12.75" x14ac:dyDescent="0.2">
      <c r="A325" s="40" t="str">
        <f t="shared" si="10"/>
        <v>К блок-фаре 1117-1119 и их модификации</v>
      </c>
      <c r="B325" s="30"/>
      <c r="C325" s="31" t="s">
        <v>429</v>
      </c>
      <c r="D325" s="32"/>
      <c r="E325" s="33">
        <v>300</v>
      </c>
      <c r="F325" s="105" t="str">
        <f>IFERROR(IFERROR(VLOOKUP(D325,Кат!$I:$J,2,0),VLOOKUP(A325,Кат!$I:$J,2,0)),"")</f>
        <v/>
      </c>
      <c r="G325" s="105" t="str">
        <f>IFERROR(IFERROR(INDEX(Кат!$A:$A,MATCH(Прайс!D325,Кат!$I:$I,0)),INDEX(Кат!$A:$A,MATCH(A325,Кат!$I:$I,0))),"")</f>
        <v/>
      </c>
      <c r="H325" s="105" t="str">
        <f>IFERROR(IFERROR(INDEX(Кат!$B:$B,MATCH(Прайс!D325,Кат!$I:$I,0)),INDEX(Кат!$B:$B,MATCH(A325,Кат!$I:$I,0))),"")</f>
        <v/>
      </c>
      <c r="I325" s="2" t="str">
        <f t="shared" si="11"/>
        <v>К блок-фаре 1117-1119 и их модификации</v>
      </c>
    </row>
    <row r="326" spans="1:9" s="2" customFormat="1" ht="12.75" x14ac:dyDescent="0.2">
      <c r="A326" s="40" t="str">
        <f t="shared" si="10"/>
        <v>К электронной педали акселератора для автомобилей Lada</v>
      </c>
      <c r="B326" s="30"/>
      <c r="C326" s="31" t="s">
        <v>430</v>
      </c>
      <c r="D326" s="32"/>
      <c r="E326" s="33">
        <v>150</v>
      </c>
      <c r="F326" s="105" t="str">
        <f>IFERROR(IFERROR(VLOOKUP(D326,Кат!$I:$J,2,0),VLOOKUP(A326,Кат!$I:$J,2,0)),"")</f>
        <v/>
      </c>
      <c r="G326" s="105" t="str">
        <f>IFERROR(IFERROR(INDEX(Кат!$A:$A,MATCH(Прайс!D326,Кат!$I:$I,0)),INDEX(Кат!$A:$A,MATCH(A326,Кат!$I:$I,0))),"")</f>
        <v/>
      </c>
      <c r="H326" s="105" t="str">
        <f>IFERROR(IFERROR(INDEX(Кат!$B:$B,MATCH(Прайс!D326,Кат!$I:$I,0)),INDEX(Кат!$B:$B,MATCH(A326,Кат!$I:$I,0))),"")</f>
        <v/>
      </c>
      <c r="I326" s="2" t="str">
        <f t="shared" si="11"/>
        <v>К электронной педали акселератора для автомобилей Lada</v>
      </c>
    </row>
    <row r="327" spans="1:9" s="2" customFormat="1" ht="12.75" x14ac:dyDescent="0.2">
      <c r="A327" s="40" t="str">
        <f t="shared" si="10"/>
        <v xml:space="preserve">К эл.приводу и ДПДЗ д\двиг. С эл.педалью акселератора(8 клап) </v>
      </c>
      <c r="B327" s="30"/>
      <c r="C327" s="31" t="s">
        <v>431</v>
      </c>
      <c r="D327" s="32"/>
      <c r="E327" s="33">
        <v>250</v>
      </c>
      <c r="F327" s="105" t="str">
        <f>IFERROR(IFERROR(VLOOKUP(D327,Кат!$I:$J,2,0),VLOOKUP(A327,Кат!$I:$J,2,0)),"")</f>
        <v/>
      </c>
      <c r="G327" s="105" t="str">
        <f>IFERROR(IFERROR(INDEX(Кат!$A:$A,MATCH(Прайс!D327,Кат!$I:$I,0)),INDEX(Кат!$A:$A,MATCH(A327,Кат!$I:$I,0))),"")</f>
        <v/>
      </c>
      <c r="H327" s="105" t="str">
        <f>IFERROR(IFERROR(INDEX(Кат!$B:$B,MATCH(Прайс!D327,Кат!$I:$I,0)),INDEX(Кат!$B:$B,MATCH(A327,Кат!$I:$I,0))),"")</f>
        <v/>
      </c>
      <c r="I327" s="2" t="str">
        <f t="shared" si="11"/>
        <v xml:space="preserve">К эл.приводу и ДПДЗ д\двиг. С эл.педалью акселератора(8 клап) </v>
      </c>
    </row>
    <row r="328" spans="1:9" s="2" customFormat="1" ht="12.75" x14ac:dyDescent="0.2">
      <c r="A328" s="40" t="str">
        <f t="shared" si="10"/>
        <v>К блок-фаре 2170-2172  и их модификации</v>
      </c>
      <c r="B328" s="30"/>
      <c r="C328" s="31" t="s">
        <v>432</v>
      </c>
      <c r="D328" s="32"/>
      <c r="E328" s="33">
        <v>300</v>
      </c>
      <c r="F328" s="105" t="str">
        <f>IFERROR(IFERROR(VLOOKUP(D328,Кат!$I:$J,2,0),VLOOKUP(A328,Кат!$I:$J,2,0)),"")</f>
        <v/>
      </c>
      <c r="G328" s="105" t="str">
        <f>IFERROR(IFERROR(INDEX(Кат!$A:$A,MATCH(Прайс!D328,Кат!$I:$I,0)),INDEX(Кат!$A:$A,MATCH(A328,Кат!$I:$I,0))),"")</f>
        <v/>
      </c>
      <c r="H328" s="105" t="str">
        <f>IFERROR(IFERROR(INDEX(Кат!$B:$B,MATCH(Прайс!D328,Кат!$I:$I,0)),INDEX(Кат!$B:$B,MATCH(A328,Кат!$I:$I,0))),"")</f>
        <v/>
      </c>
      <c r="I328" s="2" t="str">
        <f t="shared" si="11"/>
        <v>К блок-фаре 2170-2172  и их модификации</v>
      </c>
    </row>
    <row r="329" spans="1:9" s="2" customFormat="1" ht="12.75" x14ac:dyDescent="0.2">
      <c r="A329" s="40" t="str">
        <f t="shared" si="10"/>
        <v>К электро вентилятору радиатора 1118, 2123</v>
      </c>
      <c r="B329" s="30"/>
      <c r="C329" s="31" t="s">
        <v>433</v>
      </c>
      <c r="D329" s="32"/>
      <c r="E329" s="33">
        <v>100</v>
      </c>
      <c r="F329" s="105" t="str">
        <f>IFERROR(IFERROR(VLOOKUP(D329,Кат!$I:$J,2,0),VLOOKUP(A329,Кат!$I:$J,2,0)),"")</f>
        <v/>
      </c>
      <c r="G329" s="105" t="str">
        <f>IFERROR(IFERROR(INDEX(Кат!$A:$A,MATCH(Прайс!D329,Кат!$I:$I,0)),INDEX(Кат!$A:$A,MATCH(A329,Кат!$I:$I,0))),"")</f>
        <v/>
      </c>
      <c r="H329" s="105" t="str">
        <f>IFERROR(IFERROR(INDEX(Кат!$B:$B,MATCH(Прайс!D329,Кат!$I:$I,0)),INDEX(Кат!$B:$B,MATCH(A329,Кат!$I:$I,0))),"")</f>
        <v/>
      </c>
      <c r="I329" s="2" t="str">
        <f t="shared" si="11"/>
        <v>К электро вентилятору радиатора 1118, 2123</v>
      </c>
    </row>
    <row r="330" spans="1:9" s="2" customFormat="1" ht="12.75" x14ac:dyDescent="0.2">
      <c r="A330" s="40" t="str">
        <f t="shared" si="10"/>
        <v>К датчику иммобилайзера 2-х контактная зеленая</v>
      </c>
      <c r="B330" s="30"/>
      <c r="C330" s="31" t="s">
        <v>434</v>
      </c>
      <c r="D330" s="32"/>
      <c r="E330" s="33">
        <v>50</v>
      </c>
      <c r="F330" s="105" t="str">
        <f>IFERROR(IFERROR(VLOOKUP(D330,Кат!$I:$J,2,0),VLOOKUP(A330,Кат!$I:$J,2,0)),"")</f>
        <v/>
      </c>
      <c r="G330" s="105" t="str">
        <f>IFERROR(IFERROR(INDEX(Кат!$A:$A,MATCH(Прайс!D330,Кат!$I:$I,0)),INDEX(Кат!$A:$A,MATCH(A330,Кат!$I:$I,0))),"")</f>
        <v/>
      </c>
      <c r="H330" s="105" t="str">
        <f>IFERROR(IFERROR(INDEX(Кат!$B:$B,MATCH(Прайс!D330,Кат!$I:$I,0)),INDEX(Кат!$B:$B,MATCH(A330,Кат!$I:$I,0))),"")</f>
        <v/>
      </c>
      <c r="I330" s="2" t="str">
        <f t="shared" si="11"/>
        <v>К датчику иммобилайзера 2-х контактная зеленая</v>
      </c>
    </row>
    <row r="331" spans="1:9" s="2" customFormat="1" ht="12.75" x14ac:dyDescent="0.2">
      <c r="A331" s="40" t="str">
        <f t="shared" si="10"/>
        <v>К датчику иммобилайзера 2-х контактная черная</v>
      </c>
      <c r="B331" s="30"/>
      <c r="C331" s="31" t="s">
        <v>435</v>
      </c>
      <c r="D331" s="32"/>
      <c r="E331" s="33">
        <v>50</v>
      </c>
      <c r="F331" s="105" t="str">
        <f>IFERROR(IFERROR(VLOOKUP(D331,Кат!$I:$J,2,0),VLOOKUP(A331,Кат!$I:$J,2,0)),"")</f>
        <v/>
      </c>
      <c r="G331" s="105" t="str">
        <f>IFERROR(IFERROR(INDEX(Кат!$A:$A,MATCH(Прайс!D331,Кат!$I:$I,0)),INDEX(Кат!$A:$A,MATCH(A331,Кат!$I:$I,0))),"")</f>
        <v/>
      </c>
      <c r="H331" s="105" t="str">
        <f>IFERROR(IFERROR(INDEX(Кат!$B:$B,MATCH(Прайс!D331,Кат!$I:$I,0)),INDEX(Кат!$B:$B,MATCH(A331,Кат!$I:$I,0))),"")</f>
        <v/>
      </c>
      <c r="I331" s="2" t="str">
        <f t="shared" si="11"/>
        <v>К датчику иммобилайзера 2-х контактная черная</v>
      </c>
    </row>
    <row r="332" spans="1:9" s="2" customFormat="1" ht="12.75" x14ac:dyDescent="0.2">
      <c r="A332" s="40" t="str">
        <f t="shared" si="10"/>
        <v>1-контактная гнездовая</v>
      </c>
      <c r="B332" s="30"/>
      <c r="C332" s="31" t="s">
        <v>436</v>
      </c>
      <c r="D332" s="32"/>
      <c r="E332" s="33">
        <v>15</v>
      </c>
      <c r="F332" s="105" t="str">
        <f>IFERROR(IFERROR(VLOOKUP(D332,Кат!$I:$J,2,0),VLOOKUP(A332,Кат!$I:$J,2,0)),"")</f>
        <v/>
      </c>
      <c r="G332" s="105" t="str">
        <f>IFERROR(IFERROR(INDEX(Кат!$A:$A,MATCH(Прайс!D332,Кат!$I:$I,0)),INDEX(Кат!$A:$A,MATCH(A332,Кат!$I:$I,0))),"")</f>
        <v/>
      </c>
      <c r="H332" s="105" t="str">
        <f>IFERROR(IFERROR(INDEX(Кат!$B:$B,MATCH(Прайс!D332,Кат!$I:$I,0)),INDEX(Кат!$B:$B,MATCH(A332,Кат!$I:$I,0))),"")</f>
        <v/>
      </c>
      <c r="I332" s="2" t="str">
        <f t="shared" si="11"/>
        <v>1-контактная гнездовая</v>
      </c>
    </row>
    <row r="333" spans="1:9" s="2" customFormat="1" ht="12.75" x14ac:dyDescent="0.2">
      <c r="A333" s="40" t="str">
        <f t="shared" si="10"/>
        <v>К стартеру и генератору 1-контактная гнездовая</v>
      </c>
      <c r="B333" s="30"/>
      <c r="C333" s="31" t="s">
        <v>437</v>
      </c>
      <c r="D333" s="32"/>
      <c r="E333" s="33">
        <v>20</v>
      </c>
      <c r="F333" s="105" t="str">
        <f>IFERROR(IFERROR(VLOOKUP(D333,Кат!$I:$J,2,0),VLOOKUP(A333,Кат!$I:$J,2,0)),"")</f>
        <v/>
      </c>
      <c r="G333" s="105" t="str">
        <f>IFERROR(IFERROR(INDEX(Кат!$A:$A,MATCH(Прайс!D333,Кат!$I:$I,0)),INDEX(Кат!$A:$A,MATCH(A333,Кат!$I:$I,0))),"")</f>
        <v/>
      </c>
      <c r="H333" s="105" t="str">
        <f>IFERROR(IFERROR(INDEX(Кат!$B:$B,MATCH(Прайс!D333,Кат!$I:$I,0)),INDEX(Кат!$B:$B,MATCH(A333,Кат!$I:$I,0))),"")</f>
        <v/>
      </c>
      <c r="I333" s="2" t="str">
        <f t="shared" si="11"/>
        <v>К стартеру и генератору 1-контактная гнездовая</v>
      </c>
    </row>
    <row r="334" spans="1:9" s="2" customFormat="1" ht="12.75" x14ac:dyDescent="0.2">
      <c r="A334" s="40" t="str">
        <f t="shared" si="10"/>
        <v>К датчику уровня масла</v>
      </c>
      <c r="B334" s="30"/>
      <c r="C334" s="31" t="s">
        <v>438</v>
      </c>
      <c r="D334" s="32"/>
      <c r="E334" s="33">
        <v>30</v>
      </c>
      <c r="F334" s="105" t="str">
        <f>IFERROR(IFERROR(VLOOKUP(D334,Кат!$I:$J,2,0),VLOOKUP(A334,Кат!$I:$J,2,0)),"")</f>
        <v/>
      </c>
      <c r="G334" s="105" t="str">
        <f>IFERROR(IFERROR(INDEX(Кат!$A:$A,MATCH(Прайс!D334,Кат!$I:$I,0)),INDEX(Кат!$A:$A,MATCH(A334,Кат!$I:$I,0))),"")</f>
        <v/>
      </c>
      <c r="H334" s="105" t="str">
        <f>IFERROR(IFERROR(INDEX(Кат!$B:$B,MATCH(Прайс!D334,Кат!$I:$I,0)),INDEX(Кат!$B:$B,MATCH(A334,Кат!$I:$I,0))),"")</f>
        <v/>
      </c>
      <c r="I334" s="2" t="str">
        <f t="shared" si="11"/>
        <v>К датчику уровня масла</v>
      </c>
    </row>
    <row r="335" spans="1:9" s="2" customFormat="1" ht="12.75" x14ac:dyDescent="0.2">
      <c r="A335" s="40" t="str">
        <f t="shared" si="10"/>
        <v>К датчику уровня омывающей жидкости, уровня тормозной жидкости</v>
      </c>
      <c r="B335" s="30"/>
      <c r="C335" s="31" t="s">
        <v>439</v>
      </c>
      <c r="D335" s="32"/>
      <c r="E335" s="33">
        <v>60</v>
      </c>
      <c r="F335" s="105" t="str">
        <f>IFERROR(IFERROR(VLOOKUP(D335,Кат!$I:$J,2,0),VLOOKUP(A335,Кат!$I:$J,2,0)),"")</f>
        <v/>
      </c>
      <c r="G335" s="105" t="str">
        <f>IFERROR(IFERROR(INDEX(Кат!$A:$A,MATCH(Прайс!D335,Кат!$I:$I,0)),INDEX(Кат!$A:$A,MATCH(A335,Кат!$I:$I,0))),"")</f>
        <v/>
      </c>
      <c r="H335" s="105" t="str">
        <f>IFERROR(IFERROR(INDEX(Кат!$B:$B,MATCH(Прайс!D335,Кат!$I:$I,0)),INDEX(Кат!$B:$B,MATCH(A335,Кат!$I:$I,0))),"")</f>
        <v/>
      </c>
      <c r="I335" s="2" t="str">
        <f t="shared" si="11"/>
        <v>К датчику уровня омывающей жидкости, уровня тормозной жидкости</v>
      </c>
    </row>
    <row r="336" spans="1:9" s="2" customFormat="1" ht="12.75" x14ac:dyDescent="0.2">
      <c r="A336" s="40" t="str">
        <f t="shared" si="10"/>
        <v>К кнопке стекло подъемника 118-2123</v>
      </c>
      <c r="B336" s="30"/>
      <c r="C336" s="31" t="s">
        <v>440</v>
      </c>
      <c r="D336" s="32"/>
      <c r="E336" s="33">
        <v>70</v>
      </c>
      <c r="F336" s="105" t="str">
        <f>IFERROR(IFERROR(VLOOKUP(D336,Кат!$I:$J,2,0),VLOOKUP(A336,Кат!$I:$J,2,0)),"")</f>
        <v/>
      </c>
      <c r="G336" s="105" t="str">
        <f>IFERROR(IFERROR(INDEX(Кат!$A:$A,MATCH(Прайс!D336,Кат!$I:$I,0)),INDEX(Кат!$A:$A,MATCH(A336,Кат!$I:$I,0))),"")</f>
        <v/>
      </c>
      <c r="H336" s="105" t="str">
        <f>IFERROR(IFERROR(INDEX(Кат!$B:$B,MATCH(Прайс!D336,Кат!$I:$I,0)),INDEX(Кат!$B:$B,MATCH(A336,Кат!$I:$I,0))),"")</f>
        <v/>
      </c>
      <c r="I336" s="2" t="str">
        <f t="shared" si="11"/>
        <v>К кнопке стекло подъемника 118-2123</v>
      </c>
    </row>
    <row r="337" spans="1:9" s="2" customFormat="1" ht="12.75" x14ac:dyDescent="0.2">
      <c r="A337" s="40" t="str">
        <f t="shared" si="10"/>
        <v>К заднему фонарю 2105,2107,2108-21099</v>
      </c>
      <c r="B337" s="30"/>
      <c r="C337" s="31" t="s">
        <v>441</v>
      </c>
      <c r="D337" s="32"/>
      <c r="E337" s="33">
        <v>60</v>
      </c>
      <c r="F337" s="105" t="str">
        <f>IFERROR(IFERROR(VLOOKUP(D337,Кат!$I:$J,2,0),VLOOKUP(A337,Кат!$I:$J,2,0)),"")</f>
        <v/>
      </c>
      <c r="G337" s="105" t="str">
        <f>IFERROR(IFERROR(INDEX(Кат!$A:$A,MATCH(Прайс!D337,Кат!$I:$I,0)),INDEX(Кат!$A:$A,MATCH(A337,Кат!$I:$I,0))),"")</f>
        <v/>
      </c>
      <c r="H337" s="105" t="str">
        <f>IFERROR(IFERROR(INDEX(Кат!$B:$B,MATCH(Прайс!D337,Кат!$I:$I,0)),INDEX(Кат!$B:$B,MATCH(A337,Кат!$I:$I,0))),"")</f>
        <v/>
      </c>
      <c r="I337" s="2" t="str">
        <f t="shared" si="11"/>
        <v>К заднему фонарю 2105,2107,2108-21099</v>
      </c>
    </row>
    <row r="338" spans="1:9" s="2" customFormat="1" ht="12.75" x14ac:dyDescent="0.2">
      <c r="A338" s="40" t="str">
        <f t="shared" si="10"/>
        <v>К заднему фонарю 2110-2112</v>
      </c>
      <c r="B338" s="30"/>
      <c r="C338" s="31" t="s">
        <v>442</v>
      </c>
      <c r="D338" s="32"/>
      <c r="E338" s="33">
        <v>50</v>
      </c>
      <c r="F338" s="105" t="str">
        <f>IFERROR(IFERROR(VLOOKUP(D338,Кат!$I:$J,2,0),VLOOKUP(A338,Кат!$I:$J,2,0)),"")</f>
        <v/>
      </c>
      <c r="G338" s="105" t="str">
        <f>IFERROR(IFERROR(INDEX(Кат!$A:$A,MATCH(Прайс!D338,Кат!$I:$I,0)),INDEX(Кат!$A:$A,MATCH(A338,Кат!$I:$I,0))),"")</f>
        <v/>
      </c>
      <c r="H338" s="105" t="str">
        <f>IFERROR(IFERROR(INDEX(Кат!$B:$B,MATCH(Прайс!D338,Кат!$I:$I,0)),INDEX(Кат!$B:$B,MATCH(A338,Кат!$I:$I,0))),"")</f>
        <v/>
      </c>
      <c r="I338" s="2" t="str">
        <f t="shared" si="11"/>
        <v>К заднему фонарю 2110-2112</v>
      </c>
    </row>
    <row r="339" spans="1:9" s="2" customFormat="1" ht="12.75" x14ac:dyDescent="0.2">
      <c r="A339" s="40" t="str">
        <f t="shared" si="10"/>
        <v>К задней скорости 1117-1119(ручник) 2-х контактная гнездовая</v>
      </c>
      <c r="B339" s="30"/>
      <c r="C339" s="31" t="s">
        <v>443</v>
      </c>
      <c r="D339" s="32"/>
      <c r="E339" s="33">
        <v>50</v>
      </c>
      <c r="F339" s="105" t="str">
        <f>IFERROR(IFERROR(VLOOKUP(D339,Кат!$I:$J,2,0),VLOOKUP(A339,Кат!$I:$J,2,0)),"")</f>
        <v/>
      </c>
      <c r="G339" s="105" t="str">
        <f>IFERROR(IFERROR(INDEX(Кат!$A:$A,MATCH(Прайс!D339,Кат!$I:$I,0)),INDEX(Кат!$A:$A,MATCH(A339,Кат!$I:$I,0))),"")</f>
        <v/>
      </c>
      <c r="H339" s="105" t="str">
        <f>IFERROR(IFERROR(INDEX(Кат!$B:$B,MATCH(Прайс!D339,Кат!$I:$I,0)),INDEX(Кат!$B:$B,MATCH(A339,Кат!$I:$I,0))),"")</f>
        <v/>
      </c>
      <c r="I339" s="2" t="str">
        <f t="shared" si="11"/>
        <v>К задней скорости 1117-1119(ручник) 2-х контактная гнездовая</v>
      </c>
    </row>
    <row r="340" spans="1:9" s="2" customFormat="1" ht="12.75" x14ac:dyDescent="0.2">
      <c r="A340" s="40" t="str">
        <f t="shared" si="10"/>
        <v>К реле 4-контактному</v>
      </c>
      <c r="B340" s="30"/>
      <c r="C340" s="31" t="s">
        <v>444</v>
      </c>
      <c r="D340" s="32"/>
      <c r="E340" s="33">
        <v>45</v>
      </c>
      <c r="F340" s="105" t="str">
        <f>IFERROR(IFERROR(VLOOKUP(D340,Кат!$I:$J,2,0),VLOOKUP(A340,Кат!$I:$J,2,0)),"")</f>
        <v/>
      </c>
      <c r="G340" s="105" t="str">
        <f>IFERROR(IFERROR(INDEX(Кат!$A:$A,MATCH(Прайс!D340,Кат!$I:$I,0)),INDEX(Кат!$A:$A,MATCH(A340,Кат!$I:$I,0))),"")</f>
        <v/>
      </c>
      <c r="H340" s="105" t="str">
        <f>IFERROR(IFERROR(INDEX(Кат!$B:$B,MATCH(Прайс!D340,Кат!$I:$I,0)),INDEX(Кат!$B:$B,MATCH(A340,Кат!$I:$I,0))),"")</f>
        <v/>
      </c>
      <c r="I340" s="2" t="str">
        <f t="shared" si="11"/>
        <v>К реле 4-контактному</v>
      </c>
    </row>
    <row r="341" spans="1:9" s="2" customFormat="1" ht="12.75" x14ac:dyDescent="0.2">
      <c r="A341" s="40" t="str">
        <f t="shared" si="10"/>
        <v>К реле 5-контактному</v>
      </c>
      <c r="B341" s="30"/>
      <c r="C341" s="31" t="s">
        <v>445</v>
      </c>
      <c r="D341" s="32"/>
      <c r="E341" s="33">
        <v>50</v>
      </c>
      <c r="F341" s="105" t="str">
        <f>IFERROR(IFERROR(VLOOKUP(D341,Кат!$I:$J,2,0),VLOOKUP(A341,Кат!$I:$J,2,0)),"")</f>
        <v/>
      </c>
      <c r="G341" s="105" t="str">
        <f>IFERROR(IFERROR(INDEX(Кат!$A:$A,MATCH(Прайс!D341,Кат!$I:$I,0)),INDEX(Кат!$A:$A,MATCH(A341,Кат!$I:$I,0))),"")</f>
        <v/>
      </c>
      <c r="H341" s="105" t="str">
        <f>IFERROR(IFERROR(INDEX(Кат!$B:$B,MATCH(Прайс!D341,Кат!$I:$I,0)),INDEX(Кат!$B:$B,MATCH(A341,Кат!$I:$I,0))),"")</f>
        <v/>
      </c>
      <c r="I341" s="2" t="str">
        <f t="shared" si="11"/>
        <v>К реле 5-контактному</v>
      </c>
    </row>
    <row r="342" spans="1:9" s="2" customFormat="1" ht="12.75" x14ac:dyDescent="0.2">
      <c r="A342" s="40" t="str">
        <f t="shared" si="10"/>
        <v>К реле 4-контактному 2110 сборное</v>
      </c>
      <c r="B342" s="30"/>
      <c r="C342" s="31" t="s">
        <v>446</v>
      </c>
      <c r="D342" s="32"/>
      <c r="E342" s="33">
        <v>70</v>
      </c>
      <c r="F342" s="105" t="str">
        <f>IFERROR(IFERROR(VLOOKUP(D342,Кат!$I:$J,2,0),VLOOKUP(A342,Кат!$I:$J,2,0)),"")</f>
        <v/>
      </c>
      <c r="G342" s="105" t="str">
        <f>IFERROR(IFERROR(INDEX(Кат!$A:$A,MATCH(Прайс!D342,Кат!$I:$I,0)),INDEX(Кат!$A:$A,MATCH(A342,Кат!$I:$I,0))),"")</f>
        <v/>
      </c>
      <c r="H342" s="105" t="str">
        <f>IFERROR(IFERROR(INDEX(Кат!$B:$B,MATCH(Прайс!D342,Кат!$I:$I,0)),INDEX(Кат!$B:$B,MATCH(A342,Кат!$I:$I,0))),"")</f>
        <v/>
      </c>
      <c r="I342" s="2" t="str">
        <f t="shared" si="11"/>
        <v>К реле 4-контактному 2110 сборное</v>
      </c>
    </row>
    <row r="343" spans="1:9" s="2" customFormat="1" ht="12.75" x14ac:dyDescent="0.2">
      <c r="A343" s="40" t="str">
        <f t="shared" si="10"/>
        <v>К реле 5-контактному, реле стеклоочистителя 2110 сборное</v>
      </c>
      <c r="B343" s="30"/>
      <c r="C343" s="31" t="s">
        <v>447</v>
      </c>
      <c r="D343" s="32"/>
      <c r="E343" s="33">
        <v>70</v>
      </c>
      <c r="F343" s="105" t="str">
        <f>IFERROR(IFERROR(VLOOKUP(D343,Кат!$I:$J,2,0),VLOOKUP(A343,Кат!$I:$J,2,0)),"")</f>
        <v/>
      </c>
      <c r="G343" s="105" t="str">
        <f>IFERROR(IFERROR(INDEX(Кат!$A:$A,MATCH(Прайс!D343,Кат!$I:$I,0)),INDEX(Кат!$A:$A,MATCH(A343,Кат!$I:$I,0))),"")</f>
        <v/>
      </c>
      <c r="H343" s="105" t="str">
        <f>IFERROR(IFERROR(INDEX(Кат!$B:$B,MATCH(Прайс!D343,Кат!$I:$I,0)),INDEX(Кат!$B:$B,MATCH(A343,Кат!$I:$I,0))),"")</f>
        <v/>
      </c>
      <c r="I343" s="2" t="str">
        <f t="shared" si="11"/>
        <v>К реле 5-контактному, реле стеклоочистителя 2110 сборное</v>
      </c>
    </row>
    <row r="344" spans="1:9" s="2" customFormat="1" ht="12.75" x14ac:dyDescent="0.2">
      <c r="A344" s="40" t="str">
        <f t="shared" si="10"/>
        <v>К переключателю отопителя 1117-1119 - 118</v>
      </c>
      <c r="B344" s="30"/>
      <c r="C344" s="31" t="s">
        <v>448</v>
      </c>
      <c r="D344" s="32"/>
      <c r="E344" s="33">
        <v>200</v>
      </c>
      <c r="F344" s="105" t="str">
        <f>IFERROR(IFERROR(VLOOKUP(D344,Кат!$I:$J,2,0),VLOOKUP(A344,Кат!$I:$J,2,0)),"")</f>
        <v/>
      </c>
      <c r="G344" s="105" t="str">
        <f>IFERROR(IFERROR(INDEX(Кат!$A:$A,MATCH(Прайс!D344,Кат!$I:$I,0)),INDEX(Кат!$A:$A,MATCH(A344,Кат!$I:$I,0))),"")</f>
        <v/>
      </c>
      <c r="H344" s="105" t="str">
        <f>IFERROR(IFERROR(INDEX(Кат!$B:$B,MATCH(Прайс!D344,Кат!$I:$I,0)),INDEX(Кат!$B:$B,MATCH(A344,Кат!$I:$I,0))),"")</f>
        <v/>
      </c>
      <c r="I344" s="2" t="str">
        <f t="shared" si="11"/>
        <v>К переключателю отопителя 1117-1119 - 118</v>
      </c>
    </row>
    <row r="345" spans="1:9" s="2" customFormat="1" ht="12.75" x14ac:dyDescent="0.2">
      <c r="A345" s="40" t="str">
        <f t="shared" si="10"/>
        <v>К переключателю отопителя 2108-21099,2113-2115</v>
      </c>
      <c r="B345" s="30"/>
      <c r="C345" s="31" t="s">
        <v>449</v>
      </c>
      <c r="D345" s="32"/>
      <c r="E345" s="33">
        <v>150</v>
      </c>
      <c r="F345" s="105" t="str">
        <f>IFERROR(IFERROR(VLOOKUP(D345,Кат!$I:$J,2,0),VLOOKUP(A345,Кат!$I:$J,2,0)),"")</f>
        <v/>
      </c>
      <c r="G345" s="105" t="str">
        <f>IFERROR(IFERROR(INDEX(Кат!$A:$A,MATCH(Прайс!D345,Кат!$I:$I,0)),INDEX(Кат!$A:$A,MATCH(A345,Кат!$I:$I,0))),"")</f>
        <v/>
      </c>
      <c r="H345" s="105" t="str">
        <f>IFERROR(IFERROR(INDEX(Кат!$B:$B,MATCH(Прайс!D345,Кат!$I:$I,0)),INDEX(Кат!$B:$B,MATCH(A345,Кат!$I:$I,0))),"")</f>
        <v/>
      </c>
      <c r="I345" s="2" t="str">
        <f t="shared" si="11"/>
        <v>К переключателю отопителя 2108-21099,2113-2115</v>
      </c>
    </row>
    <row r="346" spans="1:9" s="2" customFormat="1" ht="12.75" x14ac:dyDescent="0.2">
      <c r="A346" s="40" t="str">
        <f t="shared" si="10"/>
        <v>К переключателю отопителя 2123,2170-2172</v>
      </c>
      <c r="B346" s="30"/>
      <c r="C346" s="31" t="s">
        <v>450</v>
      </c>
      <c r="D346" s="32"/>
      <c r="E346" s="33">
        <v>150</v>
      </c>
      <c r="F346" s="105" t="str">
        <f>IFERROR(IFERROR(VLOOKUP(D346,Кат!$I:$J,2,0),VLOOKUP(A346,Кат!$I:$J,2,0)),"")</f>
        <v/>
      </c>
      <c r="G346" s="105" t="str">
        <f>IFERROR(IFERROR(INDEX(Кат!$A:$A,MATCH(Прайс!D346,Кат!$I:$I,0)),INDEX(Кат!$A:$A,MATCH(A346,Кат!$I:$I,0))),"")</f>
        <v/>
      </c>
      <c r="H346" s="105" t="str">
        <f>IFERROR(IFERROR(INDEX(Кат!$B:$B,MATCH(Прайс!D346,Кат!$I:$I,0)),INDEX(Кат!$B:$B,MATCH(A346,Кат!$I:$I,0))),"")</f>
        <v/>
      </c>
      <c r="I346" s="2" t="str">
        <f t="shared" si="11"/>
        <v>К переключателю отопителя 2123,2170-2172</v>
      </c>
    </row>
    <row r="347" spans="1:9" s="2" customFormat="1" ht="12.75" x14ac:dyDescent="0.2">
      <c r="A347" s="40" t="str">
        <f t="shared" si="10"/>
        <v>Диагностики 12-контактная(Евро 2)</v>
      </c>
      <c r="B347" s="30"/>
      <c r="C347" s="31" t="s">
        <v>451</v>
      </c>
      <c r="D347" s="32"/>
      <c r="E347" s="33">
        <v>150</v>
      </c>
      <c r="F347" s="105" t="str">
        <f>IFERROR(IFERROR(VLOOKUP(D347,Кат!$I:$J,2,0),VLOOKUP(A347,Кат!$I:$J,2,0)),"")</f>
        <v/>
      </c>
      <c r="G347" s="105" t="str">
        <f>IFERROR(IFERROR(INDEX(Кат!$A:$A,MATCH(Прайс!D347,Кат!$I:$I,0)),INDEX(Кат!$A:$A,MATCH(A347,Кат!$I:$I,0))),"")</f>
        <v/>
      </c>
      <c r="H347" s="105" t="str">
        <f>IFERROR(IFERROR(INDEX(Кат!$B:$B,MATCH(Прайс!D347,Кат!$I:$I,0)),INDEX(Кат!$B:$B,MATCH(A347,Кат!$I:$I,0))),"")</f>
        <v/>
      </c>
      <c r="I347" s="2" t="str">
        <f t="shared" si="11"/>
        <v>Диагностики 12-контактная(Евро 2)</v>
      </c>
    </row>
    <row r="348" spans="1:9" s="2" customFormat="1" ht="12.75" x14ac:dyDescent="0.2">
      <c r="A348" s="40" t="str">
        <f t="shared" si="10"/>
        <v>Диагностики 16-контактная(Евро 3,4)</v>
      </c>
      <c r="B348" s="30"/>
      <c r="C348" s="31" t="s">
        <v>452</v>
      </c>
      <c r="D348" s="32"/>
      <c r="E348" s="33">
        <v>150</v>
      </c>
      <c r="F348" s="105" t="str">
        <f>IFERROR(IFERROR(VLOOKUP(D348,Кат!$I:$J,2,0),VLOOKUP(A348,Кат!$I:$J,2,0)),"")</f>
        <v/>
      </c>
      <c r="G348" s="105" t="str">
        <f>IFERROR(IFERROR(INDEX(Кат!$A:$A,MATCH(Прайс!D348,Кат!$I:$I,0)),INDEX(Кат!$A:$A,MATCH(A348,Кат!$I:$I,0))),"")</f>
        <v/>
      </c>
      <c r="H348" s="105" t="str">
        <f>IFERROR(IFERROR(INDEX(Кат!$B:$B,MATCH(Прайс!D348,Кат!$I:$I,0)),INDEX(Кат!$B:$B,MATCH(A348,Кат!$I:$I,0))),"")</f>
        <v/>
      </c>
      <c r="I348" s="2" t="str">
        <f t="shared" si="11"/>
        <v>Диагностики 16-контактная(Евро 3,4)</v>
      </c>
    </row>
    <row r="349" spans="1:9" s="2" customFormat="1" ht="12.75" x14ac:dyDescent="0.2">
      <c r="A349" s="40" t="str">
        <f t="shared" si="10"/>
        <v>К выключателю(замку) зажигания 2104-2107</v>
      </c>
      <c r="B349" s="30"/>
      <c r="C349" s="31" t="s">
        <v>453</v>
      </c>
      <c r="D349" s="32"/>
      <c r="E349" s="33">
        <v>150</v>
      </c>
      <c r="F349" s="105" t="str">
        <f>IFERROR(IFERROR(VLOOKUP(D349,Кат!$I:$J,2,0),VLOOKUP(A349,Кат!$I:$J,2,0)),"")</f>
        <v/>
      </c>
      <c r="G349" s="105" t="str">
        <f>IFERROR(IFERROR(INDEX(Кат!$A:$A,MATCH(Прайс!D349,Кат!$I:$I,0)),INDEX(Кат!$A:$A,MATCH(A349,Кат!$I:$I,0))),"")</f>
        <v/>
      </c>
      <c r="H349" s="105" t="str">
        <f>IFERROR(IFERROR(INDEX(Кат!$B:$B,MATCH(Прайс!D349,Кат!$I:$I,0)),INDEX(Кат!$B:$B,MATCH(A349,Кат!$I:$I,0))),"")</f>
        <v/>
      </c>
      <c r="I349" s="2" t="str">
        <f t="shared" si="11"/>
        <v>К выключателю(замку) зажигания 2104-2107</v>
      </c>
    </row>
    <row r="350" spans="1:9" s="2" customFormat="1" ht="12.75" x14ac:dyDescent="0.2">
      <c r="A350" s="40" t="str">
        <f t="shared" si="10"/>
        <v>Предохранителя ЕВРО, стандарт</v>
      </c>
      <c r="B350" s="30"/>
      <c r="C350" s="31" t="s">
        <v>531</v>
      </c>
      <c r="D350" s="32"/>
      <c r="E350" s="33">
        <v>40</v>
      </c>
      <c r="F350" s="105" t="str">
        <f>IFERROR(IFERROR(VLOOKUP(D350,Кат!$I:$J,2,0),VLOOKUP(A350,Кат!$I:$J,2,0)),"")</f>
        <v/>
      </c>
      <c r="G350" s="105" t="str">
        <f>IFERROR(IFERROR(INDEX(Кат!$A:$A,MATCH(Прайс!D350,Кат!$I:$I,0)),INDEX(Кат!$A:$A,MATCH(A350,Кат!$I:$I,0))),"")</f>
        <v/>
      </c>
      <c r="H350" s="105" t="str">
        <f>IFERROR(IFERROR(INDEX(Кат!$B:$B,MATCH(Прайс!D350,Кат!$I:$I,0)),INDEX(Кат!$B:$B,MATCH(A350,Кат!$I:$I,0))),"")</f>
        <v/>
      </c>
      <c r="I350" s="2" t="str">
        <f t="shared" si="11"/>
        <v>Предохранителя ЕВРО, стандарт</v>
      </c>
    </row>
    <row r="351" spans="1:9" s="2" customFormat="1" ht="12.75" x14ac:dyDescent="0.2">
      <c r="A351" s="40" t="str">
        <f t="shared" si="10"/>
        <v>К реле задних противотуманных фонарей 2110-2115 (6-ти контактный)</v>
      </c>
      <c r="B351" s="30"/>
      <c r="C351" s="31" t="s">
        <v>454</v>
      </c>
      <c r="D351" s="32"/>
      <c r="E351" s="33">
        <v>70</v>
      </c>
      <c r="F351" s="105" t="str">
        <f>IFERROR(IFERROR(VLOOKUP(D351,Кат!$I:$J,2,0),VLOOKUP(A351,Кат!$I:$J,2,0)),"")</f>
        <v/>
      </c>
      <c r="G351" s="105" t="str">
        <f>IFERROR(IFERROR(INDEX(Кат!$A:$A,MATCH(Прайс!D351,Кат!$I:$I,0)),INDEX(Кат!$A:$A,MATCH(A351,Кат!$I:$I,0))),"")</f>
        <v/>
      </c>
      <c r="H351" s="105" t="str">
        <f>IFERROR(IFERROR(INDEX(Кат!$B:$B,MATCH(Прайс!D351,Кат!$I:$I,0)),INDEX(Кат!$B:$B,MATCH(A351,Кат!$I:$I,0))),"")</f>
        <v/>
      </c>
      <c r="I351" s="2" t="str">
        <f t="shared" si="11"/>
        <v>К реле задних противотуманных фонарей 2110-2115 (6-ти контактный)</v>
      </c>
    </row>
    <row r="352" spans="1:9" s="2" customFormat="1" ht="12.75" x14ac:dyDescent="0.2">
      <c r="A352" s="40" t="str">
        <f t="shared" si="10"/>
        <v>К выключателю(замку) зажигания 2108-21099 8-ми контактная гнездовая</v>
      </c>
      <c r="B352" s="30"/>
      <c r="C352" s="31" t="s">
        <v>455</v>
      </c>
      <c r="D352" s="32"/>
      <c r="E352" s="33">
        <v>85</v>
      </c>
      <c r="F352" s="105" t="str">
        <f>IFERROR(IFERROR(VLOOKUP(D352,Кат!$I:$J,2,0),VLOOKUP(A352,Кат!$I:$J,2,0)),"")</f>
        <v/>
      </c>
      <c r="G352" s="105" t="str">
        <f>IFERROR(IFERROR(INDEX(Кат!$A:$A,MATCH(Прайс!D352,Кат!$I:$I,0)),INDEX(Кат!$A:$A,MATCH(A352,Кат!$I:$I,0))),"")</f>
        <v/>
      </c>
      <c r="H352" s="105" t="str">
        <f>IFERROR(IFERROR(INDEX(Кат!$B:$B,MATCH(Прайс!D352,Кат!$I:$I,0)),INDEX(Кат!$B:$B,MATCH(A352,Кат!$I:$I,0))),"")</f>
        <v/>
      </c>
      <c r="I352" s="2" t="str">
        <f t="shared" si="11"/>
        <v>К выключателю(замку) зажигания 2108-21099 8-ми контактная гнездовая</v>
      </c>
    </row>
    <row r="353" spans="1:9" s="2" customFormat="1" ht="12.75" x14ac:dyDescent="0.2">
      <c r="A353" s="40" t="str">
        <f t="shared" si="10"/>
        <v>К выключателю(замку) зажигания 2110-2115 8-ми контактная, гнездовая</v>
      </c>
      <c r="B353" s="30"/>
      <c r="C353" s="31" t="s">
        <v>532</v>
      </c>
      <c r="D353" s="32"/>
      <c r="E353" s="33">
        <v>85</v>
      </c>
      <c r="F353" s="105" t="str">
        <f>IFERROR(IFERROR(VLOOKUP(D353,Кат!$I:$J,2,0),VLOOKUP(A353,Кат!$I:$J,2,0)),"")</f>
        <v/>
      </c>
      <c r="G353" s="105" t="str">
        <f>IFERROR(IFERROR(INDEX(Кат!$A:$A,MATCH(Прайс!D353,Кат!$I:$I,0)),INDEX(Кат!$A:$A,MATCH(A353,Кат!$I:$I,0))),"")</f>
        <v/>
      </c>
      <c r="H353" s="105" t="str">
        <f>IFERROR(IFERROR(INDEX(Кат!$B:$B,MATCH(Прайс!D353,Кат!$I:$I,0)),INDEX(Кат!$B:$B,MATCH(A353,Кат!$I:$I,0))),"")</f>
        <v/>
      </c>
      <c r="I353" s="2" t="str">
        <f t="shared" si="11"/>
        <v>К выключателю(замку) зажигания 2110-2115 8-ми контактная, гнездовая</v>
      </c>
    </row>
    <row r="354" spans="1:9" s="2" customFormat="1" ht="12.75" x14ac:dyDescent="0.2">
      <c r="A354" s="40" t="str">
        <f t="shared" si="10"/>
        <v>К выключателю(замку) зажигания 1117-1119,2123,2170-2172,2190 и их модификации</v>
      </c>
      <c r="B354" s="30"/>
      <c r="C354" s="31" t="s">
        <v>456</v>
      </c>
      <c r="D354" s="32"/>
      <c r="E354" s="33">
        <v>200</v>
      </c>
      <c r="F354" s="105" t="str">
        <f>IFERROR(IFERROR(VLOOKUP(D354,Кат!$I:$J,2,0),VLOOKUP(A354,Кат!$I:$J,2,0)),"")</f>
        <v/>
      </c>
      <c r="G354" s="105" t="str">
        <f>IFERROR(IFERROR(INDEX(Кат!$A:$A,MATCH(Прайс!D354,Кат!$I:$I,0)),INDEX(Кат!$A:$A,MATCH(A354,Кат!$I:$I,0))),"")</f>
        <v/>
      </c>
      <c r="H354" s="105" t="str">
        <f>IFERROR(IFERROR(INDEX(Кат!$B:$B,MATCH(Прайс!D354,Кат!$I:$I,0)),INDEX(Кат!$B:$B,MATCH(A354,Кат!$I:$I,0))),"")</f>
        <v/>
      </c>
      <c r="I354" s="2" t="str">
        <f t="shared" si="11"/>
        <v>К выключателю(замку) зажигания 1117-1119,2123,2170-2172,2190 и их модификации</v>
      </c>
    </row>
    <row r="355" spans="1:9" s="2" customFormat="1" ht="12.75" x14ac:dyDescent="0.2">
      <c r="A355" s="40" t="str">
        <f t="shared" si="10"/>
        <v>К подрул.перекл. Света фар 2108-2115,1117-1119,2123,2170-2172</v>
      </c>
      <c r="B355" s="30"/>
      <c r="C355" s="31" t="s">
        <v>457</v>
      </c>
      <c r="D355" s="32"/>
      <c r="E355" s="33">
        <v>100</v>
      </c>
      <c r="F355" s="105" t="str">
        <f>IFERROR(IFERROR(VLOOKUP(D355,Кат!$I:$J,2,0),VLOOKUP(A355,Кат!$I:$J,2,0)),"")</f>
        <v/>
      </c>
      <c r="G355" s="105" t="str">
        <f>IFERROR(IFERROR(INDEX(Кат!$A:$A,MATCH(Прайс!D355,Кат!$I:$I,0)),INDEX(Кат!$A:$A,MATCH(A355,Кат!$I:$I,0))),"")</f>
        <v/>
      </c>
      <c r="H355" s="105" t="str">
        <f>IFERROR(IFERROR(INDEX(Кат!$B:$B,MATCH(Прайс!D355,Кат!$I:$I,0)),INDEX(Кат!$B:$B,MATCH(A355,Кат!$I:$I,0))),"")</f>
        <v/>
      </c>
      <c r="I355" s="2" t="str">
        <f t="shared" si="11"/>
        <v>К подрул.перекл. Света фар 2108-2115,1117-1119,2123,2170-2172</v>
      </c>
    </row>
    <row r="356" spans="1:9" s="2" customFormat="1" ht="12.75" x14ac:dyDescent="0.2">
      <c r="A356" s="40" t="str">
        <f t="shared" si="10"/>
        <v>К подрул.перекл.очист.вет.стекла 2108-2115,1117-1119, 2123,2170-2172</v>
      </c>
      <c r="B356" s="30"/>
      <c r="C356" s="31" t="s">
        <v>458</v>
      </c>
      <c r="D356" s="32"/>
      <c r="E356" s="33">
        <v>100</v>
      </c>
      <c r="F356" s="105" t="str">
        <f>IFERROR(IFERROR(VLOOKUP(D356,Кат!$I:$J,2,0),VLOOKUP(A356,Кат!$I:$J,2,0)),"")</f>
        <v/>
      </c>
      <c r="G356" s="105" t="str">
        <f>IFERROR(IFERROR(INDEX(Кат!$A:$A,MATCH(Прайс!D356,Кат!$I:$I,0)),INDEX(Кат!$A:$A,MATCH(A356,Кат!$I:$I,0))),"")</f>
        <v/>
      </c>
      <c r="H356" s="105" t="str">
        <f>IFERROR(IFERROR(INDEX(Кат!$B:$B,MATCH(Прайс!D356,Кат!$I:$I,0)),INDEX(Кат!$B:$B,MATCH(A356,Кат!$I:$I,0))),"")</f>
        <v/>
      </c>
      <c r="I356" s="2" t="str">
        <f t="shared" si="11"/>
        <v>К подрул.перекл.очист.вет.стекла 2108-2115,1117-1119, 2123,2170-2172</v>
      </c>
    </row>
    <row r="357" spans="1:9" s="2" customFormat="1" ht="12.75" x14ac:dyDescent="0.2">
      <c r="A357" s="40" t="str">
        <f t="shared" si="10"/>
        <v>К клавишным переключателям 2101-2107</v>
      </c>
      <c r="B357" s="30"/>
      <c r="C357" s="31" t="s">
        <v>459</v>
      </c>
      <c r="D357" s="32"/>
      <c r="E357" s="33">
        <v>100</v>
      </c>
      <c r="F357" s="105" t="str">
        <f>IFERROR(IFERROR(VLOOKUP(D357,Кат!$I:$J,2,0),VLOOKUP(A357,Кат!$I:$J,2,0)),"")</f>
        <v/>
      </c>
      <c r="G357" s="105" t="str">
        <f>IFERROR(IFERROR(INDEX(Кат!$A:$A,MATCH(Прайс!D357,Кат!$I:$I,0)),INDEX(Кат!$A:$A,MATCH(A357,Кат!$I:$I,0))),"")</f>
        <v/>
      </c>
      <c r="H357" s="105" t="str">
        <f>IFERROR(IFERROR(INDEX(Кат!$B:$B,MATCH(Прайс!D357,Кат!$I:$I,0)),INDEX(Кат!$B:$B,MATCH(A357,Кат!$I:$I,0))),"")</f>
        <v/>
      </c>
      <c r="I357" s="2" t="str">
        <f t="shared" si="11"/>
        <v>К клавишным переключателям 2101-2107</v>
      </c>
    </row>
    <row r="358" spans="1:9" s="2" customFormat="1" ht="12.75" x14ac:dyDescent="0.2">
      <c r="A358" s="40" t="str">
        <f t="shared" si="10"/>
        <v>К выключателю аварийной сигнал. 2104-2107, 2113-2115</v>
      </c>
      <c r="B358" s="30"/>
      <c r="C358" s="31" t="s">
        <v>460</v>
      </c>
      <c r="D358" s="32"/>
      <c r="E358" s="33">
        <v>150</v>
      </c>
      <c r="F358" s="105" t="str">
        <f>IFERROR(IFERROR(VLOOKUP(D358,Кат!$I:$J,2,0),VLOOKUP(A358,Кат!$I:$J,2,0)),"")</f>
        <v/>
      </c>
      <c r="G358" s="105" t="str">
        <f>IFERROR(IFERROR(INDEX(Кат!$A:$A,MATCH(Прайс!D358,Кат!$I:$I,0)),INDEX(Кат!$A:$A,MATCH(A358,Кат!$I:$I,0))),"")</f>
        <v/>
      </c>
      <c r="H358" s="105" t="str">
        <f>IFERROR(IFERROR(INDEX(Кат!$B:$B,MATCH(Прайс!D358,Кат!$I:$I,0)),INDEX(Кат!$B:$B,MATCH(A358,Кат!$I:$I,0))),"")</f>
        <v/>
      </c>
      <c r="I358" s="2" t="str">
        <f t="shared" si="11"/>
        <v>К выключателю аварийной сигнал. 2104-2107, 2113-2115</v>
      </c>
    </row>
    <row r="359" spans="1:9" s="2" customFormat="1" ht="12.75" x14ac:dyDescent="0.2">
      <c r="A359" s="40" t="str">
        <f t="shared" si="10"/>
        <v>К выключателю аварийной сигнал. 2108-2112,1117-1119,2123 к кнопке 2108;2110</v>
      </c>
      <c r="B359" s="30"/>
      <c r="C359" s="31" t="s">
        <v>856</v>
      </c>
      <c r="D359" s="32"/>
      <c r="E359" s="33">
        <v>100</v>
      </c>
      <c r="F359" s="105" t="str">
        <f>IFERROR(IFERROR(VLOOKUP(D359,Кат!$I:$J,2,0),VLOOKUP(A359,Кат!$I:$J,2,0)),"")</f>
        <v/>
      </c>
      <c r="G359" s="105" t="str">
        <f>IFERROR(IFERROR(INDEX(Кат!$A:$A,MATCH(Прайс!D359,Кат!$I:$I,0)),INDEX(Кат!$A:$A,MATCH(A359,Кат!$I:$I,0))),"")</f>
        <v/>
      </c>
      <c r="H359" s="105" t="str">
        <f>IFERROR(IFERROR(INDEX(Кат!$B:$B,MATCH(Прайс!D359,Кат!$I:$I,0)),INDEX(Кат!$B:$B,MATCH(A359,Кат!$I:$I,0))),"")</f>
        <v/>
      </c>
      <c r="I359" s="2" t="str">
        <f t="shared" si="11"/>
        <v>К выключателю аварийной сигнал. 2108-2112,1117-1119,2123 к кнопке 2108;2110</v>
      </c>
    </row>
    <row r="360" spans="1:9" s="2" customFormat="1" ht="12.75" x14ac:dyDescent="0.2">
      <c r="A360" s="40" t="str">
        <f t="shared" si="10"/>
        <v>К выключателю аварийной сигнала 2170-2172</v>
      </c>
      <c r="B360" s="30"/>
      <c r="C360" s="31" t="s">
        <v>1201</v>
      </c>
      <c r="D360" s="32"/>
      <c r="E360" s="33">
        <v>100</v>
      </c>
      <c r="F360" s="105" t="str">
        <f>IFERROR(IFERROR(VLOOKUP(D360,Кат!$I:$J,2,0),VLOOKUP(A360,Кат!$I:$J,2,0)),"")</f>
        <v/>
      </c>
      <c r="G360" s="105" t="str">
        <f>IFERROR(IFERROR(INDEX(Кат!$A:$A,MATCH(Прайс!D360,Кат!$I:$I,0)),INDEX(Кат!$A:$A,MATCH(A360,Кат!$I:$I,0))),"")</f>
        <v/>
      </c>
      <c r="H360" s="105" t="str">
        <f>IFERROR(IFERROR(INDEX(Кат!$B:$B,MATCH(Прайс!D360,Кат!$I:$I,0)),INDEX(Кат!$B:$B,MATCH(A360,Кат!$I:$I,0))),"")</f>
        <v/>
      </c>
      <c r="I360" s="2" t="str">
        <f t="shared" si="11"/>
        <v>К выключателю аварийной сигнала 2170-2172</v>
      </c>
    </row>
    <row r="361" spans="1:9" s="2" customFormat="1" ht="12.75" x14ac:dyDescent="0.2">
      <c r="A361" s="40" t="str">
        <f t="shared" si="10"/>
        <v>К кнопочным выключателям 2113-2115,2123,1117-1119,2170-2172,2190</v>
      </c>
      <c r="B361" s="30"/>
      <c r="C361" s="31" t="s">
        <v>461</v>
      </c>
      <c r="D361" s="32"/>
      <c r="E361" s="33">
        <v>70</v>
      </c>
      <c r="F361" s="105" t="str">
        <f>IFERROR(IFERROR(VLOOKUP(D361,Кат!$I:$J,2,0),VLOOKUP(A361,Кат!$I:$J,2,0)),"")</f>
        <v/>
      </c>
      <c r="G361" s="105" t="str">
        <f>IFERROR(IFERROR(INDEX(Кат!$A:$A,MATCH(Прайс!D361,Кат!$I:$I,0)),INDEX(Кат!$A:$A,MATCH(A361,Кат!$I:$I,0))),"")</f>
        <v/>
      </c>
      <c r="H361" s="105" t="str">
        <f>IFERROR(IFERROR(INDEX(Кат!$B:$B,MATCH(Прайс!D361,Кат!$I:$I,0)),INDEX(Кат!$B:$B,MATCH(A361,Кат!$I:$I,0))),"")</f>
        <v/>
      </c>
      <c r="I361" s="2" t="str">
        <f t="shared" si="11"/>
        <v>К кнопочным выключателям 2113-2115,2123,1117-1119,2170-2172,2190</v>
      </c>
    </row>
    <row r="362" spans="1:9" s="2" customFormat="1" ht="25.5" x14ac:dyDescent="0.2">
      <c r="A362" s="40" t="str">
        <f t="shared" si="10"/>
        <v>К блоку(модулю)переключателей левой передней(водительской) двери 1117-1119        (10 контактов)</v>
      </c>
      <c r="B362" s="30"/>
      <c r="C362" s="31" t="s">
        <v>533</v>
      </c>
      <c r="D362" s="32"/>
      <c r="E362" s="33">
        <v>200</v>
      </c>
      <c r="F362" s="105" t="str">
        <f>IFERROR(IFERROR(VLOOKUP(D362,Кат!$I:$J,2,0),VLOOKUP(A362,Кат!$I:$J,2,0)),"")</f>
        <v/>
      </c>
      <c r="G362" s="105" t="str">
        <f>IFERROR(IFERROR(INDEX(Кат!$A:$A,MATCH(Прайс!D362,Кат!$I:$I,0)),INDEX(Кат!$A:$A,MATCH(A362,Кат!$I:$I,0))),"")</f>
        <v/>
      </c>
      <c r="H362" s="105" t="str">
        <f>IFERROR(IFERROR(INDEX(Кат!$B:$B,MATCH(Прайс!D362,Кат!$I:$I,0)),INDEX(Кат!$B:$B,MATCH(A362,Кат!$I:$I,0))),"")</f>
        <v/>
      </c>
      <c r="I362" s="2" t="str">
        <f t="shared" si="11"/>
        <v>К блоку(модулю)переключателей левой передней(водительской) двери 1117-1119        (10 контактов)</v>
      </c>
    </row>
    <row r="363" spans="1:9" s="2" customFormat="1" ht="12.75" x14ac:dyDescent="0.2">
      <c r="A363" s="40" t="str">
        <f t="shared" si="10"/>
        <v>К прикуривателю 2110-2115,2123,1117-1119,2170-2172,2190 и их модификаций</v>
      </c>
      <c r="B363" s="30"/>
      <c r="C363" s="31" t="s">
        <v>462</v>
      </c>
      <c r="D363" s="32"/>
      <c r="E363" s="33">
        <v>60</v>
      </c>
      <c r="F363" s="105" t="str">
        <f>IFERROR(IFERROR(VLOOKUP(D363,Кат!$I:$J,2,0),VLOOKUP(A363,Кат!$I:$J,2,0)),"")</f>
        <v/>
      </c>
      <c r="G363" s="105" t="str">
        <f>IFERROR(IFERROR(INDEX(Кат!$A:$A,MATCH(Прайс!D363,Кат!$I:$I,0)),INDEX(Кат!$A:$A,MATCH(A363,Кат!$I:$I,0))),"")</f>
        <v/>
      </c>
      <c r="H363" s="105" t="str">
        <f>IFERROR(IFERROR(INDEX(Кат!$B:$B,MATCH(Прайс!D363,Кат!$I:$I,0)),INDEX(Кат!$B:$B,MATCH(A363,Кат!$I:$I,0))),"")</f>
        <v/>
      </c>
      <c r="I363" s="2" t="str">
        <f t="shared" si="11"/>
        <v>К прикуривателю 2110-2115,2123,1117-1119,2170-2172,2190 и их модификаций</v>
      </c>
    </row>
    <row r="364" spans="1:9" s="2" customFormat="1" ht="12.75" x14ac:dyDescent="0.2">
      <c r="A364" s="40" t="str">
        <f t="shared" si="10"/>
        <v>К унифицированым кнопочным выключателям 2108-2112</v>
      </c>
      <c r="B364" s="30"/>
      <c r="C364" s="31" t="s">
        <v>463</v>
      </c>
      <c r="D364" s="32"/>
      <c r="E364" s="33">
        <v>80</v>
      </c>
      <c r="F364" s="105" t="str">
        <f>IFERROR(IFERROR(VLOOKUP(D364,Кат!$I:$J,2,0),VLOOKUP(A364,Кат!$I:$J,2,0)),"")</f>
        <v/>
      </c>
      <c r="G364" s="105" t="str">
        <f>IFERROR(IFERROR(INDEX(Кат!$A:$A,MATCH(Прайс!D364,Кат!$I:$I,0)),INDEX(Кат!$A:$A,MATCH(A364,Кат!$I:$I,0))),"")</f>
        <v/>
      </c>
      <c r="H364" s="105" t="str">
        <f>IFERROR(IFERROR(INDEX(Кат!$B:$B,MATCH(Прайс!D364,Кат!$I:$I,0)),INDEX(Кат!$B:$B,MATCH(A364,Кат!$I:$I,0))),"")</f>
        <v/>
      </c>
      <c r="I364" s="2" t="str">
        <f t="shared" si="11"/>
        <v>К унифицированым кнопочным выключателям 2108-2112</v>
      </c>
    </row>
    <row r="365" spans="1:9" s="2" customFormat="1" ht="25.5" x14ac:dyDescent="0.2">
      <c r="A365" s="40" t="str">
        <f t="shared" si="10"/>
        <v>К моторедуктору зад.стекл.1117-1119,к выкл.пед.тори.(с эл.пед.акселер.)1117-1119,2170-2172 (4-х контактный разъем)</v>
      </c>
      <c r="B365" s="30"/>
      <c r="C365" s="31" t="s">
        <v>534</v>
      </c>
      <c r="D365" s="32"/>
      <c r="E365" s="33">
        <v>70</v>
      </c>
      <c r="F365" s="105" t="str">
        <f>IFERROR(IFERROR(VLOOKUP(D365,Кат!$I:$J,2,0),VLOOKUP(A365,Кат!$I:$J,2,0)),"")</f>
        <v/>
      </c>
      <c r="G365" s="105" t="str">
        <f>IFERROR(IFERROR(INDEX(Кат!$A:$A,MATCH(Прайс!D365,Кат!$I:$I,0)),INDEX(Кат!$A:$A,MATCH(A365,Кат!$I:$I,0))),"")</f>
        <v/>
      </c>
      <c r="H365" s="105" t="str">
        <f>IFERROR(IFERROR(INDEX(Кат!$B:$B,MATCH(Прайс!D365,Кат!$I:$I,0)),INDEX(Кат!$B:$B,MATCH(A365,Кат!$I:$I,0))),"")</f>
        <v/>
      </c>
      <c r="I365" s="2" t="str">
        <f t="shared" si="11"/>
        <v>К моторедуктору зад.стекл.1117-1119,к выкл.пед.тори.(с эл.пед.акселер.)1117-1119,2170-2172 (4-х контактный разъем)</v>
      </c>
    </row>
    <row r="366" spans="1:9" s="2" customFormat="1" ht="25.5" x14ac:dyDescent="0.2">
      <c r="A366" s="40" t="str">
        <f t="shared" si="10"/>
        <v>К модулю(блоку)управления светотехникой 1117-1119,2170-2172,2190 и их модификаций</v>
      </c>
      <c r="B366" s="30"/>
      <c r="C366" s="31" t="s">
        <v>464</v>
      </c>
      <c r="D366" s="32"/>
      <c r="E366" s="33">
        <v>200</v>
      </c>
      <c r="F366" s="105" t="str">
        <f>IFERROR(IFERROR(VLOOKUP(D366,Кат!$I:$J,2,0),VLOOKUP(A366,Кат!$I:$J,2,0)),"")</f>
        <v/>
      </c>
      <c r="G366" s="105" t="str">
        <f>IFERROR(IFERROR(INDEX(Кат!$A:$A,MATCH(Прайс!D366,Кат!$I:$I,0)),INDEX(Кат!$A:$A,MATCH(A366,Кат!$I:$I,0))),"")</f>
        <v/>
      </c>
      <c r="H366" s="105" t="str">
        <f>IFERROR(IFERROR(INDEX(Кат!$B:$B,MATCH(Прайс!D366,Кат!$I:$I,0)),INDEX(Кат!$B:$B,MATCH(A366,Кат!$I:$I,0))),"")</f>
        <v/>
      </c>
      <c r="I366" s="2" t="str">
        <f t="shared" si="11"/>
        <v>К модулю(блоку)управления светотехникой 1117-1119,2170-2172,2190 и их модификаций</v>
      </c>
    </row>
    <row r="367" spans="1:9" s="2" customFormat="1" ht="12.75" x14ac:dyDescent="0.2">
      <c r="A367" s="40" t="str">
        <f t="shared" si="10"/>
        <v>К реле 1118-1119 с проводами</v>
      </c>
      <c r="B367" s="30"/>
      <c r="C367" s="31" t="s">
        <v>465</v>
      </c>
      <c r="D367" s="32"/>
      <c r="E367" s="33">
        <v>80</v>
      </c>
      <c r="F367" s="105" t="str">
        <f>IFERROR(IFERROR(VLOOKUP(D367,Кат!$I:$J,2,0),VLOOKUP(A367,Кат!$I:$J,2,0)),"")</f>
        <v/>
      </c>
      <c r="G367" s="105" t="str">
        <f>IFERROR(IFERROR(INDEX(Кат!$A:$A,MATCH(Прайс!D367,Кат!$I:$I,0)),INDEX(Кат!$A:$A,MATCH(A367,Кат!$I:$I,0))),"")</f>
        <v/>
      </c>
      <c r="H367" s="105" t="str">
        <f>IFERROR(IFERROR(INDEX(Кат!$B:$B,MATCH(Прайс!D367,Кат!$I:$I,0)),INDEX(Кат!$B:$B,MATCH(A367,Кат!$I:$I,0))),"")</f>
        <v/>
      </c>
      <c r="I367" s="2" t="str">
        <f t="shared" si="11"/>
        <v>К реле 1118-1119 с проводами</v>
      </c>
    </row>
    <row r="368" spans="1:9" s="2" customFormat="1" ht="12.75" x14ac:dyDescent="0.2">
      <c r="A368" s="40" t="str">
        <f t="shared" si="10"/>
        <v>К щитку приборов 2190 гранта в сборе с проводами Калина 2 (желтый)</v>
      </c>
      <c r="B368" s="30"/>
      <c r="C368" s="31" t="s">
        <v>535</v>
      </c>
      <c r="D368" s="32"/>
      <c r="E368" s="33">
        <v>450</v>
      </c>
      <c r="F368" s="105" t="str">
        <f>IFERROR(IFERROR(VLOOKUP(D368,Кат!$I:$J,2,0),VLOOKUP(A368,Кат!$I:$J,2,0)),"")</f>
        <v/>
      </c>
      <c r="G368" s="105" t="str">
        <f>IFERROR(IFERROR(INDEX(Кат!$A:$A,MATCH(Прайс!D368,Кат!$I:$I,0)),INDEX(Кат!$A:$A,MATCH(A368,Кат!$I:$I,0))),"")</f>
        <v/>
      </c>
      <c r="H368" s="105" t="str">
        <f>IFERROR(IFERROR(INDEX(Кат!$B:$B,MATCH(Прайс!D368,Кат!$I:$I,0)),INDEX(Кат!$B:$B,MATCH(A368,Кат!$I:$I,0))),"")</f>
        <v/>
      </c>
      <c r="I368" s="2" t="str">
        <f t="shared" si="11"/>
        <v>К щитку приборов 2190 гранта в сборе с проводами Калина 2 (желтый)</v>
      </c>
    </row>
    <row r="369" spans="1:9" s="2" customFormat="1" ht="12.75" x14ac:dyDescent="0.2">
      <c r="A369" s="40" t="str">
        <f t="shared" si="10"/>
        <v>Чехол клеммы АКБ "+"</v>
      </c>
      <c r="B369" s="30"/>
      <c r="C369" s="31" t="s">
        <v>466</v>
      </c>
      <c r="D369" s="32"/>
      <c r="E369" s="33">
        <v>20</v>
      </c>
      <c r="F369" s="105" t="str">
        <f>IFERROR(IFERROR(VLOOKUP(D369,Кат!$I:$J,2,0),VLOOKUP(A369,Кат!$I:$J,2,0)),"")</f>
        <v/>
      </c>
      <c r="G369" s="105" t="str">
        <f>IFERROR(IFERROR(INDEX(Кат!$A:$A,MATCH(Прайс!D369,Кат!$I:$I,0)),INDEX(Кат!$A:$A,MATCH(A369,Кат!$I:$I,0))),"")</f>
        <v/>
      </c>
      <c r="H369" s="105" t="str">
        <f>IFERROR(IFERROR(INDEX(Кат!$B:$B,MATCH(Прайс!D369,Кат!$I:$I,0)),INDEX(Кат!$B:$B,MATCH(A369,Кат!$I:$I,0))),"")</f>
        <v/>
      </c>
      <c r="I369" s="2" t="str">
        <f t="shared" si="11"/>
        <v>Чехол клеммы АКБ "+"</v>
      </c>
    </row>
    <row r="370" spans="1:9" s="2" customFormat="1" ht="25.5" x14ac:dyDescent="0.2">
      <c r="A370" s="40" t="str">
        <f t="shared" si="10"/>
        <v>Материал латунь лужоныйДва зажимных болта Клемма ремонтная "+" или "-"(штука) цена за 1 штуку</v>
      </c>
      <c r="B370" s="34" t="s">
        <v>467</v>
      </c>
      <c r="C370" s="31" t="s">
        <v>468</v>
      </c>
      <c r="D370" s="32"/>
      <c r="E370" s="33">
        <v>200</v>
      </c>
      <c r="F370" s="105" t="str">
        <f>IFERROR(IFERROR(VLOOKUP(D370,Кат!$I:$J,2,0),VLOOKUP(A370,Кат!$I:$J,2,0)),"")</f>
        <v/>
      </c>
      <c r="G370" s="105" t="str">
        <f>IFERROR(IFERROR(INDEX(Кат!$A:$A,MATCH(Прайс!D370,Кат!$I:$I,0)),INDEX(Кат!$A:$A,MATCH(A370,Кат!$I:$I,0))),"")</f>
        <v/>
      </c>
      <c r="H370" s="105" t="str">
        <f>IFERROR(IFERROR(INDEX(Кат!$B:$B,MATCH(Прайс!D370,Кат!$I:$I,0)),INDEX(Кат!$B:$B,MATCH(A370,Кат!$I:$I,0))),"")</f>
        <v/>
      </c>
      <c r="I370" s="2" t="str">
        <f t="shared" si="11"/>
        <v>Материал латунь лужоныйДва зажимных болта Клемма ремонтная "+" или "-"(штука) цена за 1 штуку</v>
      </c>
    </row>
    <row r="371" spans="1:9" s="2" customFormat="1" ht="25.5" x14ac:dyDescent="0.2">
      <c r="A371" s="40" t="str">
        <f t="shared" si="10"/>
        <v>Материал латунь лужоныйКлемма ремонтная "+" или "-" шпилька М 10 (штука) цена за одну штуку</v>
      </c>
      <c r="B371" s="34" t="s">
        <v>467</v>
      </c>
      <c r="C371" s="31" t="s">
        <v>469</v>
      </c>
      <c r="D371" s="32"/>
      <c r="E371" s="33">
        <v>200</v>
      </c>
      <c r="F371" s="105" t="str">
        <f>IFERROR(IFERROR(VLOOKUP(D371,Кат!$I:$J,2,0),VLOOKUP(A371,Кат!$I:$J,2,0)),"")</f>
        <v/>
      </c>
      <c r="G371" s="105" t="str">
        <f>IFERROR(IFERROR(INDEX(Кат!$A:$A,MATCH(Прайс!D371,Кат!$I:$I,0)),INDEX(Кат!$A:$A,MATCH(A371,Кат!$I:$I,0))),"")</f>
        <v/>
      </c>
      <c r="H371" s="105" t="str">
        <f>IFERROR(IFERROR(INDEX(Кат!$B:$B,MATCH(Прайс!D371,Кат!$I:$I,0)),INDEX(Кат!$B:$B,MATCH(A371,Кат!$I:$I,0))),"")</f>
        <v/>
      </c>
      <c r="I371" s="2" t="str">
        <f t="shared" si="11"/>
        <v>Материал латунь лужоныйКлемма ремонтная "+" или "-" шпилька М 10 (штука) цена за одну штуку</v>
      </c>
    </row>
    <row r="372" spans="1:9" s="2" customFormat="1" ht="25.5" x14ac:dyDescent="0.2">
      <c r="A372" s="40" t="str">
        <f t="shared" si="10"/>
        <v>Материал латунь лужоныйКлемма ремонтная "+" или "-" М 8 шпилька, цена за одну штуку</v>
      </c>
      <c r="B372" s="34" t="s">
        <v>467</v>
      </c>
      <c r="C372" s="31" t="s">
        <v>470</v>
      </c>
      <c r="D372" s="32"/>
      <c r="E372" s="33">
        <v>200</v>
      </c>
      <c r="F372" s="105" t="str">
        <f>IFERROR(IFERROR(VLOOKUP(D372,Кат!$I:$J,2,0),VLOOKUP(A372,Кат!$I:$J,2,0)),"")</f>
        <v/>
      </c>
      <c r="G372" s="105" t="str">
        <f>IFERROR(IFERROR(INDEX(Кат!$A:$A,MATCH(Прайс!D372,Кат!$I:$I,0)),INDEX(Кат!$A:$A,MATCH(A372,Кат!$I:$I,0))),"")</f>
        <v/>
      </c>
      <c r="H372" s="105" t="str">
        <f>IFERROR(IFERROR(INDEX(Кат!$B:$B,MATCH(Прайс!D372,Кат!$I:$I,0)),INDEX(Кат!$B:$B,MATCH(A372,Кат!$I:$I,0))),"")</f>
        <v/>
      </c>
      <c r="I372" s="2" t="str">
        <f t="shared" si="11"/>
        <v>Материал латунь лужоныйКлемма ремонтная "+" или "-" М 8 шпилька, цена за одну штуку</v>
      </c>
    </row>
    <row r="373" spans="1:9" s="2" customFormat="1" ht="12.75" x14ac:dyDescent="0.2">
      <c r="A373" s="40" t="str">
        <f t="shared" si="10"/>
        <v>К щитку приборов 1118,2170(зеленая в сборе с проводами)</v>
      </c>
      <c r="B373" s="30"/>
      <c r="C373" s="31" t="s">
        <v>536</v>
      </c>
      <c r="D373" s="32"/>
      <c r="E373" s="33">
        <v>450</v>
      </c>
      <c r="F373" s="105" t="str">
        <f>IFERROR(IFERROR(VLOOKUP(D373,Кат!$I:$J,2,0),VLOOKUP(A373,Кат!$I:$J,2,0)),"")</f>
        <v>сергей проводка</v>
      </c>
      <c r="G373" s="105">
        <f>IFERROR(IFERROR(INDEX(Кат!$A:$A,MATCH(Прайс!D373,Кат!$I:$I,0)),INDEX(Кат!$A:$A,MATCH(A373,Кат!$I:$I,0))),"")</f>
        <v>202560</v>
      </c>
      <c r="H373" s="105">
        <f>IFERROR(IFERROR(INDEX(Кат!$B:$B,MATCH(Прайс!D373,Кат!$I:$I,0)),INDEX(Кат!$B:$B,MATCH(A373,Кат!$I:$I,0))),"")</f>
        <v>7120</v>
      </c>
      <c r="I373" s="2" t="str">
        <f t="shared" si="11"/>
        <v>К щитку приборов 1118,2170(зеленая в сборе с проводами)</v>
      </c>
    </row>
    <row r="374" spans="1:9" s="2" customFormat="1" ht="12.75" x14ac:dyDescent="0.2">
      <c r="A374" s="40" t="str">
        <f t="shared" si="10"/>
        <v>Разъем к контролеру BOSH(евро 4) за шт.</v>
      </c>
      <c r="B374" s="30"/>
      <c r="C374" s="31" t="s">
        <v>857</v>
      </c>
      <c r="D374" s="32"/>
      <c r="E374" s="33">
        <v>3000</v>
      </c>
      <c r="F374" s="105" t="str">
        <f>IFERROR(IFERROR(VLOOKUP(D374,Кат!$I:$J,2,0),VLOOKUP(A374,Кат!$I:$J,2,0)),"")</f>
        <v/>
      </c>
      <c r="G374" s="105" t="str">
        <f>IFERROR(IFERROR(INDEX(Кат!$A:$A,MATCH(Прайс!D374,Кат!$I:$I,0)),INDEX(Кат!$A:$A,MATCH(A374,Кат!$I:$I,0))),"")</f>
        <v/>
      </c>
      <c r="H374" s="105" t="str">
        <f>IFERROR(IFERROR(INDEX(Кат!$B:$B,MATCH(Прайс!D374,Кат!$I:$I,0)),INDEX(Кат!$B:$B,MATCH(A374,Кат!$I:$I,0))),"")</f>
        <v/>
      </c>
      <c r="I374" s="2" t="str">
        <f t="shared" si="11"/>
        <v>Разъем к контролеру BOSH(евро 4) за шт.</v>
      </c>
    </row>
    <row r="375" spans="1:9" s="2" customFormat="1" ht="12.75" x14ac:dyDescent="0.2">
      <c r="A375" s="40" t="str">
        <f t="shared" si="10"/>
        <v>Разъем соединения двери с кузовом 1118,2123 папа со стороны двери</v>
      </c>
      <c r="B375" s="30"/>
      <c r="C375" s="31" t="s">
        <v>471</v>
      </c>
      <c r="D375" s="32"/>
      <c r="E375" s="33">
        <v>600</v>
      </c>
      <c r="F375" s="105" t="str">
        <f>IFERROR(IFERROR(VLOOKUP(D375,Кат!$I:$J,2,0),VLOOKUP(A375,Кат!$I:$J,2,0)),"")</f>
        <v/>
      </c>
      <c r="G375" s="105" t="str">
        <f>IFERROR(IFERROR(INDEX(Кат!$A:$A,MATCH(Прайс!D375,Кат!$I:$I,0)),INDEX(Кат!$A:$A,MATCH(A375,Кат!$I:$I,0))),"")</f>
        <v/>
      </c>
      <c r="H375" s="105" t="str">
        <f>IFERROR(IFERROR(INDEX(Кат!$B:$B,MATCH(Прайс!D375,Кат!$I:$I,0)),INDEX(Кат!$B:$B,MATCH(A375,Кат!$I:$I,0))),"")</f>
        <v/>
      </c>
      <c r="I375" s="2" t="str">
        <f t="shared" si="11"/>
        <v>Разъем соединения двери с кузовом 1118,2123 папа со стороны двери</v>
      </c>
    </row>
    <row r="376" spans="1:9" s="2" customFormat="1" ht="12.75" x14ac:dyDescent="0.2">
      <c r="A376" s="40" t="str">
        <f t="shared" si="10"/>
        <v>Разъем соединения двери с кузовом 1118,212 3мама со стороны кузова</v>
      </c>
      <c r="B376" s="30"/>
      <c r="C376" s="31" t="s">
        <v>472</v>
      </c>
      <c r="D376" s="32"/>
      <c r="E376" s="33">
        <v>600</v>
      </c>
      <c r="F376" s="105" t="str">
        <f>IFERROR(IFERROR(VLOOKUP(D376,Кат!$I:$J,2,0),VLOOKUP(A376,Кат!$I:$J,2,0)),"")</f>
        <v/>
      </c>
      <c r="G376" s="105" t="str">
        <f>IFERROR(IFERROR(INDEX(Кат!$A:$A,MATCH(Прайс!D376,Кат!$I:$I,0)),INDEX(Кат!$A:$A,MATCH(A376,Кат!$I:$I,0))),"")</f>
        <v/>
      </c>
      <c r="H376" s="105" t="str">
        <f>IFERROR(IFERROR(INDEX(Кат!$B:$B,MATCH(Прайс!D376,Кат!$I:$I,0)),INDEX(Кат!$B:$B,MATCH(A376,Кат!$I:$I,0))),"")</f>
        <v/>
      </c>
      <c r="I376" s="2" t="str">
        <f t="shared" si="11"/>
        <v>Разъем соединения двери с кузовом 1118,212 3мама со стороны кузова</v>
      </c>
    </row>
    <row r="377" spans="1:9" s="2" customFormat="1" ht="12.75" x14ac:dyDescent="0.2">
      <c r="A377" s="40" t="str">
        <f t="shared" si="10"/>
        <v>Разъем трех контактный силовой Гранта, Приора, Калина 2 Серый</v>
      </c>
      <c r="B377" s="30"/>
      <c r="C377" s="31" t="s">
        <v>537</v>
      </c>
      <c r="D377" s="32"/>
      <c r="E377" s="33">
        <v>500</v>
      </c>
      <c r="F377" s="105" t="str">
        <f>IFERROR(IFERROR(VLOOKUP(D377,Кат!$I:$J,2,0),VLOOKUP(A377,Кат!$I:$J,2,0)),"")</f>
        <v/>
      </c>
      <c r="G377" s="105" t="str">
        <f>IFERROR(IFERROR(INDEX(Кат!$A:$A,MATCH(Прайс!D377,Кат!$I:$I,0)),INDEX(Кат!$A:$A,MATCH(A377,Кат!$I:$I,0))),"")</f>
        <v/>
      </c>
      <c r="H377" s="105" t="str">
        <f>IFERROR(IFERROR(INDEX(Кат!$B:$B,MATCH(Прайс!D377,Кат!$I:$I,0)),INDEX(Кат!$B:$B,MATCH(A377,Кат!$I:$I,0))),"")</f>
        <v/>
      </c>
      <c r="I377" s="2" t="str">
        <f t="shared" si="11"/>
        <v>Разъем трех контактный силовой Гранта, Приора, Калина 2 Серый</v>
      </c>
    </row>
    <row r="378" spans="1:9" s="2" customFormat="1" ht="12.75" x14ac:dyDescent="0.2">
      <c r="A378" s="40" t="str">
        <f t="shared" si="10"/>
        <v>соединение контролерного жгута с панельным</v>
      </c>
      <c r="B378" s="30"/>
      <c r="C378" s="31" t="s">
        <v>473</v>
      </c>
      <c r="D378" s="32"/>
      <c r="E378" s="33">
        <v>300</v>
      </c>
      <c r="F378" s="105" t="str">
        <f>IFERROR(IFERROR(VLOOKUP(D378,Кат!$I:$J,2,0),VLOOKUP(A378,Кат!$I:$J,2,0)),"")</f>
        <v/>
      </c>
      <c r="G378" s="105" t="str">
        <f>IFERROR(IFERROR(INDEX(Кат!$A:$A,MATCH(Прайс!D378,Кат!$I:$I,0)),INDEX(Кат!$A:$A,MATCH(A378,Кат!$I:$I,0))),"")</f>
        <v/>
      </c>
      <c r="H378" s="105" t="str">
        <f>IFERROR(IFERROR(INDEX(Кат!$B:$B,MATCH(Прайс!D378,Кат!$I:$I,0)),INDEX(Кат!$B:$B,MATCH(A378,Кат!$I:$I,0))),"")</f>
        <v/>
      </c>
      <c r="I378" s="2" t="str">
        <f t="shared" si="11"/>
        <v>соединение контролерного жгута с панельным</v>
      </c>
    </row>
    <row r="379" spans="1:9" s="2" customFormat="1" ht="12.75" x14ac:dyDescent="0.2">
      <c r="A379" s="40" t="str">
        <f t="shared" si="10"/>
        <v>разъем блока абс нового образца</v>
      </c>
      <c r="B379" s="30"/>
      <c r="C379" s="31" t="s">
        <v>474</v>
      </c>
      <c r="D379" s="32"/>
      <c r="E379" s="33">
        <v>1500</v>
      </c>
      <c r="F379" s="105" t="str">
        <f>IFERROR(IFERROR(VLOOKUP(D379,Кат!$I:$J,2,0),VLOOKUP(A379,Кат!$I:$J,2,0)),"")</f>
        <v/>
      </c>
      <c r="G379" s="105" t="str">
        <f>IFERROR(IFERROR(INDEX(Кат!$A:$A,MATCH(Прайс!D379,Кат!$I:$I,0)),INDEX(Кат!$A:$A,MATCH(A379,Кат!$I:$I,0))),"")</f>
        <v/>
      </c>
      <c r="H379" s="105" t="str">
        <f>IFERROR(IFERROR(INDEX(Кат!$B:$B,MATCH(Прайс!D379,Кат!$I:$I,0)),INDEX(Кат!$B:$B,MATCH(A379,Кат!$I:$I,0))),"")</f>
        <v/>
      </c>
      <c r="I379" s="2" t="str">
        <f t="shared" si="11"/>
        <v>разъем блока абс нового образца</v>
      </c>
    </row>
    <row r="380" spans="1:9" s="2" customFormat="1" ht="12.75" x14ac:dyDescent="0.2">
      <c r="A380" s="40" t="str">
        <f t="shared" si="10"/>
        <v>Разъем двухконтактный силовой Гранта, Калина 2, Приора (синий)</v>
      </c>
      <c r="B380" s="30"/>
      <c r="C380" s="31" t="s">
        <v>538</v>
      </c>
      <c r="D380" s="32"/>
      <c r="E380" s="33">
        <v>400</v>
      </c>
      <c r="F380" s="105" t="str">
        <f>IFERROR(IFERROR(VLOOKUP(D380,Кат!$I:$J,2,0),VLOOKUP(A380,Кат!$I:$J,2,0)),"")</f>
        <v/>
      </c>
      <c r="G380" s="105" t="str">
        <f>IFERROR(IFERROR(INDEX(Кат!$A:$A,MATCH(Прайс!D380,Кат!$I:$I,0)),INDEX(Кат!$A:$A,MATCH(A380,Кат!$I:$I,0))),"")</f>
        <v/>
      </c>
      <c r="H380" s="105" t="str">
        <f>IFERROR(IFERROR(INDEX(Кат!$B:$B,MATCH(Прайс!D380,Кат!$I:$I,0)),INDEX(Кат!$B:$B,MATCH(A380,Кат!$I:$I,0))),"")</f>
        <v/>
      </c>
      <c r="I380" s="2" t="str">
        <f t="shared" si="11"/>
        <v>Разъем двухконтактный силовой Гранта, Калина 2, Приора (синий)</v>
      </c>
    </row>
    <row r="381" spans="1:9" s="2" customFormat="1" ht="12.75" x14ac:dyDescent="0.2">
      <c r="A381" s="40" t="str">
        <f t="shared" si="10"/>
        <v>Разъем одноконтактный силовой Гранта Приора (желтый)</v>
      </c>
      <c r="B381" s="30"/>
      <c r="C381" s="31" t="s">
        <v>539</v>
      </c>
      <c r="D381" s="32"/>
      <c r="E381" s="33">
        <v>300</v>
      </c>
      <c r="F381" s="105" t="str">
        <f>IFERROR(IFERROR(VLOOKUP(D381,Кат!$I:$J,2,0),VLOOKUP(A381,Кат!$I:$J,2,0)),"")</f>
        <v/>
      </c>
      <c r="G381" s="105" t="str">
        <f>IFERROR(IFERROR(INDEX(Кат!$A:$A,MATCH(Прайс!D381,Кат!$I:$I,0)),INDEX(Кат!$A:$A,MATCH(A381,Кат!$I:$I,0))),"")</f>
        <v/>
      </c>
      <c r="H381" s="105" t="str">
        <f>IFERROR(IFERROR(INDEX(Кат!$B:$B,MATCH(Прайс!D381,Кат!$I:$I,0)),INDEX(Кат!$B:$B,MATCH(A381,Кат!$I:$I,0))),"")</f>
        <v/>
      </c>
      <c r="I381" s="2" t="str">
        <f t="shared" si="11"/>
        <v>Разъем одноконтактный силовой Гранта Приора (желтый)</v>
      </c>
    </row>
    <row r="382" spans="1:9" s="2" customFormat="1" ht="12.75" x14ac:dyDescent="0.2">
      <c r="A382" s="40" t="str">
        <f t="shared" si="10"/>
        <v>Разъем фары Н-4 в сборе</v>
      </c>
      <c r="B382" s="30"/>
      <c r="C382" s="31" t="s">
        <v>475</v>
      </c>
      <c r="D382" s="32"/>
      <c r="E382" s="33">
        <v>150</v>
      </c>
      <c r="F382" s="105" t="str">
        <f>IFERROR(IFERROR(VLOOKUP(D382,Кат!$I:$J,2,0),VLOOKUP(A382,Кат!$I:$J,2,0)),"")</f>
        <v/>
      </c>
      <c r="G382" s="105" t="str">
        <f>IFERROR(IFERROR(INDEX(Кат!$A:$A,MATCH(Прайс!D382,Кат!$I:$I,0)),INDEX(Кат!$A:$A,MATCH(A382,Кат!$I:$I,0))),"")</f>
        <v/>
      </c>
      <c r="H382" s="105" t="str">
        <f>IFERROR(IFERROR(INDEX(Кат!$B:$B,MATCH(Прайс!D382,Кат!$I:$I,0)),INDEX(Кат!$B:$B,MATCH(A382,Кат!$I:$I,0))),"")</f>
        <v/>
      </c>
      <c r="I382" s="2" t="str">
        <f t="shared" si="11"/>
        <v>Разъем фары Н-4 в сборе</v>
      </c>
    </row>
    <row r="383" spans="1:9" s="2" customFormat="1" ht="12.75" x14ac:dyDescent="0.2">
      <c r="A383" s="40" t="str">
        <f t="shared" si="10"/>
        <v>Разъем электовентилятора 2190,(Гранта), Приора с кондиционером HALLA</v>
      </c>
      <c r="B383" s="30"/>
      <c r="C383" s="31" t="s">
        <v>476</v>
      </c>
      <c r="D383" s="32"/>
      <c r="E383" s="33">
        <v>250</v>
      </c>
      <c r="F383" s="105" t="str">
        <f>IFERROR(IFERROR(VLOOKUP(D383,Кат!$I:$J,2,0),VLOOKUP(A383,Кат!$I:$J,2,0)),"")</f>
        <v/>
      </c>
      <c r="G383" s="105" t="str">
        <f>IFERROR(IFERROR(INDEX(Кат!$A:$A,MATCH(Прайс!D383,Кат!$I:$I,0)),INDEX(Кат!$A:$A,MATCH(A383,Кат!$I:$I,0))),"")</f>
        <v/>
      </c>
      <c r="H383" s="105" t="str">
        <f>IFERROR(IFERROR(INDEX(Кат!$B:$B,MATCH(Прайс!D383,Кат!$I:$I,0)),INDEX(Кат!$B:$B,MATCH(A383,Кат!$I:$I,0))),"")</f>
        <v/>
      </c>
      <c r="I383" s="2" t="str">
        <f t="shared" si="11"/>
        <v>Разъем электовентилятора 2190,(Гранта), Приора с кондиционером HALLA</v>
      </c>
    </row>
    <row r="384" spans="1:9" s="2" customFormat="1" ht="12.75" x14ac:dyDescent="0.2">
      <c r="A384" s="40" t="str">
        <f t="shared" si="10"/>
        <v>Разъем резистора сопротивления электровентилятора 1118, 2123</v>
      </c>
      <c r="B384" s="30"/>
      <c r="C384" s="31" t="s">
        <v>477</v>
      </c>
      <c r="D384" s="32"/>
      <c r="E384" s="33">
        <v>250</v>
      </c>
      <c r="F384" s="105" t="str">
        <f>IFERROR(IFERROR(VLOOKUP(D384,Кат!$I:$J,2,0),VLOOKUP(A384,Кат!$I:$J,2,0)),"")</f>
        <v/>
      </c>
      <c r="G384" s="105" t="str">
        <f>IFERROR(IFERROR(INDEX(Кат!$A:$A,MATCH(Прайс!D384,Кат!$I:$I,0)),INDEX(Кат!$A:$A,MATCH(A384,Кат!$I:$I,0))),"")</f>
        <v/>
      </c>
      <c r="H384" s="105" t="str">
        <f>IFERROR(IFERROR(INDEX(Кат!$B:$B,MATCH(Прайс!D384,Кат!$I:$I,0)),INDEX(Кат!$B:$B,MATCH(A384,Кат!$I:$I,0))),"")</f>
        <v/>
      </c>
      <c r="I384" s="2" t="str">
        <f t="shared" si="11"/>
        <v>Разъем резистора сопротивления электровентилятора 1118, 2123</v>
      </c>
    </row>
    <row r="385" spans="1:9" s="2" customFormat="1" ht="12.75" x14ac:dyDescent="0.2">
      <c r="A385" s="40" t="str">
        <f t="shared" si="10"/>
        <v>Массовый провод плетенка, 30 см</v>
      </c>
      <c r="B385" s="30"/>
      <c r="C385" s="35" t="s">
        <v>478</v>
      </c>
      <c r="D385" s="32"/>
      <c r="E385" s="33">
        <v>60</v>
      </c>
      <c r="F385" s="105" t="str">
        <f>IFERROR(IFERROR(VLOOKUP(D385,Кат!$I:$J,2,0),VLOOKUP(A385,Кат!$I:$J,2,0)),"")</f>
        <v/>
      </c>
      <c r="G385" s="105" t="str">
        <f>IFERROR(IFERROR(INDEX(Кат!$A:$A,MATCH(Прайс!D385,Кат!$I:$I,0)),INDEX(Кат!$A:$A,MATCH(A385,Кат!$I:$I,0))),"")</f>
        <v/>
      </c>
      <c r="H385" s="105" t="str">
        <f>IFERROR(IFERROR(INDEX(Кат!$B:$B,MATCH(Прайс!D385,Кат!$I:$I,0)),INDEX(Кат!$B:$B,MATCH(A385,Кат!$I:$I,0))),"")</f>
        <v/>
      </c>
      <c r="I385" s="2" t="str">
        <f t="shared" si="11"/>
        <v>Массовый провод плетенка, 30 см</v>
      </c>
    </row>
    <row r="386" spans="1:9" s="2" customFormat="1" ht="12.75" x14ac:dyDescent="0.2">
      <c r="A386" s="40" t="str">
        <f t="shared" si="10"/>
        <v>Массовый провод плетенка, 40 см</v>
      </c>
      <c r="B386" s="30"/>
      <c r="C386" s="35" t="s">
        <v>479</v>
      </c>
      <c r="D386" s="32"/>
      <c r="E386" s="33">
        <v>70</v>
      </c>
      <c r="F386" s="105" t="str">
        <f>IFERROR(IFERROR(VLOOKUP(D386,Кат!$I:$J,2,0),VLOOKUP(A386,Кат!$I:$J,2,0)),"")</f>
        <v/>
      </c>
      <c r="G386" s="105" t="str">
        <f>IFERROR(IFERROR(INDEX(Кат!$A:$A,MATCH(Прайс!D386,Кат!$I:$I,0)),INDEX(Кат!$A:$A,MATCH(A386,Кат!$I:$I,0))),"")</f>
        <v/>
      </c>
      <c r="H386" s="105" t="str">
        <f>IFERROR(IFERROR(INDEX(Кат!$B:$B,MATCH(Прайс!D386,Кат!$I:$I,0)),INDEX(Кат!$B:$B,MATCH(A386,Кат!$I:$I,0))),"")</f>
        <v/>
      </c>
      <c r="I386" s="2" t="str">
        <f t="shared" si="11"/>
        <v>Массовый провод плетенка, 40 см</v>
      </c>
    </row>
    <row r="387" spans="1:9" s="2" customFormat="1" ht="12.75" x14ac:dyDescent="0.2">
      <c r="A387" s="40" t="str">
        <f t="shared" ref="A387:A450" si="12">_xlfn.CONCAT(B387:D387)</f>
        <v>Массовый провод плетенка, 50 см</v>
      </c>
      <c r="B387" s="30"/>
      <c r="C387" s="35" t="s">
        <v>480</v>
      </c>
      <c r="D387" s="32"/>
      <c r="E387" s="33">
        <v>80</v>
      </c>
      <c r="F387" s="105" t="str">
        <f>IFERROR(IFERROR(VLOOKUP(D387,Кат!$I:$J,2,0),VLOOKUP(A387,Кат!$I:$J,2,0)),"")</f>
        <v/>
      </c>
      <c r="G387" s="105" t="str">
        <f>IFERROR(IFERROR(INDEX(Кат!$A:$A,MATCH(Прайс!D387,Кат!$I:$I,0)),INDEX(Кат!$A:$A,MATCH(A387,Кат!$I:$I,0))),"")</f>
        <v/>
      </c>
      <c r="H387" s="105" t="str">
        <f>IFERROR(IFERROR(INDEX(Кат!$B:$B,MATCH(Прайс!D387,Кат!$I:$I,0)),INDEX(Кат!$B:$B,MATCH(A387,Кат!$I:$I,0))),"")</f>
        <v/>
      </c>
      <c r="I387" s="2" t="str">
        <f t="shared" ref="I387:I450" si="13">_xlfn.CONCAT(B387:D387)</f>
        <v>Массовый провод плетенка, 50 см</v>
      </c>
    </row>
    <row r="388" spans="1:9" s="2" customFormat="1" ht="25.5" x14ac:dyDescent="0.2">
      <c r="A388" s="40" t="str">
        <f t="shared" si="12"/>
        <v>Разъем прицепного устройства "папа плюс мама"латунный 6-ти контактный (комплект)завод</v>
      </c>
      <c r="B388" s="36"/>
      <c r="C388" s="9" t="s">
        <v>481</v>
      </c>
      <c r="D388" s="82" t="s">
        <v>482</v>
      </c>
      <c r="E388" s="12" t="s">
        <v>858</v>
      </c>
      <c r="F388" s="105" t="str">
        <f>IFERROR(IFERROR(VLOOKUP(D388,Кат!$I:$J,2,0),VLOOKUP(A388,Кат!$I:$J,2,0)),"")</f>
        <v/>
      </c>
      <c r="G388" s="105" t="str">
        <f>IFERROR(IFERROR(INDEX(Кат!$A:$A,MATCH(Прайс!D388,Кат!$I:$I,0)),INDEX(Кат!$A:$A,MATCH(A388,Кат!$I:$I,0))),"")</f>
        <v/>
      </c>
      <c r="H388" s="105" t="str">
        <f>IFERROR(IFERROR(INDEX(Кат!$B:$B,MATCH(Прайс!D388,Кат!$I:$I,0)),INDEX(Кат!$B:$B,MATCH(A388,Кат!$I:$I,0))),"")</f>
        <v/>
      </c>
      <c r="I388" s="2" t="str">
        <f t="shared" si="13"/>
        <v>Разъем прицепного устройства "папа плюс мама"латунный 6-ти контактный (комплект)завод</v>
      </c>
    </row>
    <row r="389" spans="1:9" s="2" customFormat="1" ht="12.75" x14ac:dyDescent="0.2">
      <c r="A389" s="40" t="str">
        <f t="shared" si="12"/>
        <v>Провод массы в изоляции 30 см</v>
      </c>
      <c r="B389" s="36"/>
      <c r="C389" s="82" t="s">
        <v>483</v>
      </c>
      <c r="D389" s="82"/>
      <c r="E389" s="12">
        <v>250</v>
      </c>
      <c r="F389" s="105" t="str">
        <f>IFERROR(IFERROR(VLOOKUP(D389,Кат!$I:$J,2,0),VLOOKUP(A389,Кат!$I:$J,2,0)),"")</f>
        <v/>
      </c>
      <c r="G389" s="105" t="str">
        <f>IFERROR(IFERROR(INDEX(Кат!$A:$A,MATCH(Прайс!D389,Кат!$I:$I,0)),INDEX(Кат!$A:$A,MATCH(A389,Кат!$I:$I,0))),"")</f>
        <v/>
      </c>
      <c r="H389" s="105" t="str">
        <f>IFERROR(IFERROR(INDEX(Кат!$B:$B,MATCH(Прайс!D389,Кат!$I:$I,0)),INDEX(Кат!$B:$B,MATCH(A389,Кат!$I:$I,0))),"")</f>
        <v/>
      </c>
      <c r="I389" s="2" t="str">
        <f t="shared" si="13"/>
        <v>Провод массы в изоляции 30 см</v>
      </c>
    </row>
    <row r="390" spans="1:9" s="2" customFormat="1" ht="12.75" x14ac:dyDescent="0.2">
      <c r="A390" s="40" t="str">
        <f t="shared" si="12"/>
        <v>Провод массы в изоляции 50 см</v>
      </c>
      <c r="B390" s="36"/>
      <c r="C390" s="82" t="s">
        <v>484</v>
      </c>
      <c r="D390" s="82"/>
      <c r="E390" s="12">
        <v>350</v>
      </c>
      <c r="F390" s="105" t="str">
        <f>IFERROR(IFERROR(VLOOKUP(D390,Кат!$I:$J,2,0),VLOOKUP(A390,Кат!$I:$J,2,0)),"")</f>
        <v/>
      </c>
      <c r="G390" s="105" t="str">
        <f>IFERROR(IFERROR(INDEX(Кат!$A:$A,MATCH(Прайс!D390,Кат!$I:$I,0)),INDEX(Кат!$A:$A,MATCH(A390,Кат!$I:$I,0))),"")</f>
        <v/>
      </c>
      <c r="H390" s="105" t="str">
        <f>IFERROR(IFERROR(INDEX(Кат!$B:$B,MATCH(Прайс!D390,Кат!$I:$I,0)),INDEX(Кат!$B:$B,MATCH(A390,Кат!$I:$I,0))),"")</f>
        <v/>
      </c>
      <c r="I390" s="2" t="str">
        <f t="shared" si="13"/>
        <v>Провод массы в изоляции 50 см</v>
      </c>
    </row>
    <row r="391" spans="1:9" s="2" customFormat="1" ht="12.75" x14ac:dyDescent="0.2">
      <c r="A391" s="40" t="str">
        <f t="shared" si="12"/>
        <v>Провод массы в изоляции 70 см</v>
      </c>
      <c r="B391" s="36"/>
      <c r="C391" s="82" t="s">
        <v>485</v>
      </c>
      <c r="D391" s="82"/>
      <c r="E391" s="12">
        <v>450</v>
      </c>
      <c r="F391" s="105" t="str">
        <f>IFERROR(IFERROR(VLOOKUP(D391,Кат!$I:$J,2,0),VLOOKUP(A391,Кат!$I:$J,2,0)),"")</f>
        <v/>
      </c>
      <c r="G391" s="105" t="str">
        <f>IFERROR(IFERROR(INDEX(Кат!$A:$A,MATCH(Прайс!D391,Кат!$I:$I,0)),INDEX(Кат!$A:$A,MATCH(A391,Кат!$I:$I,0))),"")</f>
        <v/>
      </c>
      <c r="H391" s="105" t="str">
        <f>IFERROR(IFERROR(INDEX(Кат!$B:$B,MATCH(Прайс!D391,Кат!$I:$I,0)),INDEX(Кат!$B:$B,MATCH(A391,Кат!$I:$I,0))),"")</f>
        <v/>
      </c>
      <c r="I391" s="2" t="str">
        <f t="shared" si="13"/>
        <v>Провод массы в изоляции 70 см</v>
      </c>
    </row>
    <row r="392" spans="1:9" s="2" customFormat="1" ht="12.75" x14ac:dyDescent="0.2">
      <c r="A392" s="40" t="str">
        <f t="shared" si="12"/>
        <v>Комбинация приборов8450007022</v>
      </c>
      <c r="B392" s="82"/>
      <c r="C392" s="82" t="s">
        <v>486</v>
      </c>
      <c r="D392" s="37">
        <v>8450007022</v>
      </c>
      <c r="E392" s="12">
        <v>8000</v>
      </c>
      <c r="F392" s="105" t="str">
        <f>IFERROR(IFERROR(VLOOKUP(D392,Кат!$I:$J,2,0),VLOOKUP(A392,Кат!$I:$J,2,0)),"")</f>
        <v/>
      </c>
      <c r="G392" s="105" t="str">
        <f>IFERROR(IFERROR(INDEX(Кат!$A:$A,MATCH(Прайс!D392,Кат!$I:$I,0)),INDEX(Кат!$A:$A,MATCH(A392,Кат!$I:$I,0))),"")</f>
        <v/>
      </c>
      <c r="H392" s="105" t="str">
        <f>IFERROR(IFERROR(INDEX(Кат!$B:$B,MATCH(Прайс!D392,Кат!$I:$I,0)),INDEX(Кат!$B:$B,MATCH(A392,Кат!$I:$I,0))),"")</f>
        <v/>
      </c>
      <c r="I392" s="2" t="str">
        <f t="shared" si="13"/>
        <v>Комбинация приборов8450007022</v>
      </c>
    </row>
    <row r="393" spans="1:9" s="2" customFormat="1" ht="12.75" x14ac:dyDescent="0.2">
      <c r="A393" s="40" t="str">
        <f t="shared" si="12"/>
        <v>Комбинация приборов8450005648</v>
      </c>
      <c r="B393" s="82"/>
      <c r="C393" s="82" t="s">
        <v>486</v>
      </c>
      <c r="D393" s="37">
        <v>8450005648</v>
      </c>
      <c r="E393" s="12">
        <v>8000</v>
      </c>
      <c r="F393" s="105" t="str">
        <f>IFERROR(IFERROR(VLOOKUP(D393,Кат!$I:$J,2,0),VLOOKUP(A393,Кат!$I:$J,2,0)),"")</f>
        <v/>
      </c>
      <c r="G393" s="105" t="str">
        <f>IFERROR(IFERROR(INDEX(Кат!$A:$A,MATCH(Прайс!D393,Кат!$I:$I,0)),INDEX(Кат!$A:$A,MATCH(A393,Кат!$I:$I,0))),"")</f>
        <v/>
      </c>
      <c r="H393" s="105" t="str">
        <f>IFERROR(IFERROR(INDEX(Кат!$B:$B,MATCH(Прайс!D393,Кат!$I:$I,0)),INDEX(Кат!$B:$B,MATCH(A393,Кат!$I:$I,0))),"")</f>
        <v/>
      </c>
      <c r="I393" s="2" t="str">
        <f t="shared" si="13"/>
        <v>Комбинация приборов8450005648</v>
      </c>
    </row>
    <row r="394" spans="1:9" s="2" customFormat="1" ht="12.75" x14ac:dyDescent="0.2">
      <c r="A394" s="40" t="str">
        <f t="shared" si="12"/>
        <v>Комбинация приборов8450007022</v>
      </c>
      <c r="B394" s="82"/>
      <c r="C394" s="82" t="s">
        <v>486</v>
      </c>
      <c r="D394" s="37">
        <v>8450007022</v>
      </c>
      <c r="E394" s="12">
        <v>8000</v>
      </c>
      <c r="F394" s="105" t="str">
        <f>IFERROR(IFERROR(VLOOKUP(D394,Кат!$I:$J,2,0),VLOOKUP(A394,Кат!$I:$J,2,0)),"")</f>
        <v/>
      </c>
      <c r="G394" s="105" t="str">
        <f>IFERROR(IFERROR(INDEX(Кат!$A:$A,MATCH(Прайс!D394,Кат!$I:$I,0)),INDEX(Кат!$A:$A,MATCH(A394,Кат!$I:$I,0))),"")</f>
        <v/>
      </c>
      <c r="H394" s="105" t="str">
        <f>IFERROR(IFERROR(INDEX(Кат!$B:$B,MATCH(Прайс!D394,Кат!$I:$I,0)),INDEX(Кат!$B:$B,MATCH(A394,Кат!$I:$I,0))),"")</f>
        <v/>
      </c>
      <c r="I394" s="2" t="str">
        <f t="shared" si="13"/>
        <v>Комбинация приборов8450007022</v>
      </c>
    </row>
    <row r="395" spans="1:9" s="2" customFormat="1" ht="12.75" x14ac:dyDescent="0.2">
      <c r="A395" s="40" t="str">
        <f t="shared" si="12"/>
        <v>Комбинация приборов8450022501</v>
      </c>
      <c r="B395" s="82"/>
      <c r="C395" s="82" t="s">
        <v>486</v>
      </c>
      <c r="D395" s="15">
        <v>8450022501</v>
      </c>
      <c r="E395" s="12">
        <v>8000</v>
      </c>
      <c r="F395" s="105" t="str">
        <f>IFERROR(IFERROR(VLOOKUP(D395,Кат!$I:$J,2,0),VLOOKUP(A395,Кат!$I:$J,2,0)),"")</f>
        <v/>
      </c>
      <c r="G395" s="105" t="str">
        <f>IFERROR(IFERROR(INDEX(Кат!$A:$A,MATCH(Прайс!D395,Кат!$I:$I,0)),INDEX(Кат!$A:$A,MATCH(A395,Кат!$I:$I,0))),"")</f>
        <v/>
      </c>
      <c r="H395" s="105" t="str">
        <f>IFERROR(IFERROR(INDEX(Кат!$B:$B,MATCH(Прайс!D395,Кат!$I:$I,0)),INDEX(Кат!$B:$B,MATCH(A395,Кат!$I:$I,0))),"")</f>
        <v/>
      </c>
      <c r="I395" s="2" t="str">
        <f t="shared" si="13"/>
        <v>Комбинация приборов8450022501</v>
      </c>
    </row>
    <row r="396" spans="1:9" s="2" customFormat="1" ht="12.75" x14ac:dyDescent="0.2">
      <c r="A396" s="40" t="str">
        <f t="shared" si="12"/>
        <v>Комбинация приборов8450022501</v>
      </c>
      <c r="B396" s="82"/>
      <c r="C396" s="82" t="s">
        <v>486</v>
      </c>
      <c r="D396" s="37">
        <v>8450022501</v>
      </c>
      <c r="E396" s="12">
        <v>8000</v>
      </c>
      <c r="F396" s="105" t="str">
        <f>IFERROR(IFERROR(VLOOKUP(D396,Кат!$I:$J,2,0),VLOOKUP(A396,Кат!$I:$J,2,0)),"")</f>
        <v/>
      </c>
      <c r="G396" s="105" t="str">
        <f>IFERROR(IFERROR(INDEX(Кат!$A:$A,MATCH(Прайс!D396,Кат!$I:$I,0)),INDEX(Кат!$A:$A,MATCH(A396,Кат!$I:$I,0))),"")</f>
        <v/>
      </c>
      <c r="H396" s="105" t="str">
        <f>IFERROR(IFERROR(INDEX(Кат!$B:$B,MATCH(Прайс!D396,Кат!$I:$I,0)),INDEX(Кат!$B:$B,MATCH(A396,Кат!$I:$I,0))),"")</f>
        <v/>
      </c>
      <c r="I396" s="2" t="str">
        <f t="shared" si="13"/>
        <v>Комбинация приборов8450022501</v>
      </c>
    </row>
    <row r="397" spans="1:9" s="2" customFormat="1" ht="12.75" x14ac:dyDescent="0.2">
      <c r="A397" s="40" t="str">
        <f t="shared" si="12"/>
        <v>Комбинация приборов8450022694</v>
      </c>
      <c r="B397" s="82"/>
      <c r="C397" s="82" t="s">
        <v>486</v>
      </c>
      <c r="D397" s="15">
        <v>8450022694</v>
      </c>
      <c r="E397" s="12">
        <v>8000</v>
      </c>
      <c r="F397" s="105" t="str">
        <f>IFERROR(IFERROR(VLOOKUP(D397,Кат!$I:$J,2,0),VLOOKUP(A397,Кат!$I:$J,2,0)),"")</f>
        <v/>
      </c>
      <c r="G397" s="105" t="str">
        <f>IFERROR(IFERROR(INDEX(Кат!$A:$A,MATCH(Прайс!D397,Кат!$I:$I,0)),INDEX(Кат!$A:$A,MATCH(A397,Кат!$I:$I,0))),"")</f>
        <v/>
      </c>
      <c r="H397" s="105" t="str">
        <f>IFERROR(IFERROR(INDEX(Кат!$B:$B,MATCH(Прайс!D397,Кат!$I:$I,0)),INDEX(Кат!$B:$B,MATCH(A397,Кат!$I:$I,0))),"")</f>
        <v/>
      </c>
      <c r="I397" s="2" t="str">
        <f t="shared" si="13"/>
        <v>Комбинация приборов8450022694</v>
      </c>
    </row>
    <row r="398" spans="1:9" s="2" customFormat="1" ht="12.75" x14ac:dyDescent="0.2">
      <c r="A398" s="40" t="str">
        <f t="shared" si="12"/>
        <v>Комбинация приборов8450030825</v>
      </c>
      <c r="B398" s="82"/>
      <c r="C398" s="82" t="s">
        <v>486</v>
      </c>
      <c r="D398" s="37">
        <v>8450030825</v>
      </c>
      <c r="E398" s="12">
        <v>8000</v>
      </c>
      <c r="F398" s="105" t="str">
        <f>IFERROR(IFERROR(VLOOKUP(D398,Кат!$I:$J,2,0),VLOOKUP(A398,Кат!$I:$J,2,0)),"")</f>
        <v/>
      </c>
      <c r="G398" s="105" t="str">
        <f>IFERROR(IFERROR(INDEX(Кат!$A:$A,MATCH(Прайс!D398,Кат!$I:$I,0)),INDEX(Кат!$A:$A,MATCH(A398,Кат!$I:$I,0))),"")</f>
        <v/>
      </c>
      <c r="H398" s="105" t="str">
        <f>IFERROR(IFERROR(INDEX(Кат!$B:$B,MATCH(Прайс!D398,Кат!$I:$I,0)),INDEX(Кат!$B:$B,MATCH(A398,Кат!$I:$I,0))),"")</f>
        <v/>
      </c>
      <c r="I398" s="2" t="str">
        <f t="shared" si="13"/>
        <v>Комбинация приборов8450030825</v>
      </c>
    </row>
    <row r="399" spans="1:9" s="2" customFormat="1" ht="12.75" x14ac:dyDescent="0.2">
      <c r="A399" s="40" t="str">
        <f t="shared" si="12"/>
        <v>Комбинация приборов8450032207</v>
      </c>
      <c r="B399" s="82"/>
      <c r="C399" s="82" t="s">
        <v>486</v>
      </c>
      <c r="D399" s="15">
        <v>8450032207</v>
      </c>
      <c r="E399" s="12">
        <v>8000</v>
      </c>
      <c r="F399" s="105" t="str">
        <f>IFERROR(IFERROR(VLOOKUP(D399,Кат!$I:$J,2,0),VLOOKUP(A399,Кат!$I:$J,2,0)),"")</f>
        <v/>
      </c>
      <c r="G399" s="105" t="str">
        <f>IFERROR(IFERROR(INDEX(Кат!$A:$A,MATCH(Прайс!D399,Кат!$I:$I,0)),INDEX(Кат!$A:$A,MATCH(A399,Кат!$I:$I,0))),"")</f>
        <v/>
      </c>
      <c r="H399" s="105" t="str">
        <f>IFERROR(IFERROR(INDEX(Кат!$B:$B,MATCH(Прайс!D399,Кат!$I:$I,0)),INDEX(Кат!$B:$B,MATCH(A399,Кат!$I:$I,0))),"")</f>
        <v/>
      </c>
      <c r="I399" s="2" t="str">
        <f t="shared" si="13"/>
        <v>Комбинация приборов8450032207</v>
      </c>
    </row>
    <row r="400" spans="1:9" s="2" customFormat="1" ht="12.75" x14ac:dyDescent="0.2">
      <c r="A400" s="40" t="str">
        <f t="shared" si="12"/>
        <v>Комбинация приборов8450032283</v>
      </c>
      <c r="B400" s="82"/>
      <c r="C400" s="82" t="s">
        <v>486</v>
      </c>
      <c r="D400" s="37">
        <v>8450032283</v>
      </c>
      <c r="E400" s="12">
        <v>8000</v>
      </c>
      <c r="F400" s="105" t="str">
        <f>IFERROR(IFERROR(VLOOKUP(D400,Кат!$I:$J,2,0),VLOOKUP(A400,Кат!$I:$J,2,0)),"")</f>
        <v/>
      </c>
      <c r="G400" s="105" t="str">
        <f>IFERROR(IFERROR(INDEX(Кат!$A:$A,MATCH(Прайс!D400,Кат!$I:$I,0)),INDEX(Кат!$A:$A,MATCH(A400,Кат!$I:$I,0))),"")</f>
        <v/>
      </c>
      <c r="H400" s="105" t="str">
        <f>IFERROR(IFERROR(INDEX(Кат!$B:$B,MATCH(Прайс!D400,Кат!$I:$I,0)),INDEX(Кат!$B:$B,MATCH(A400,Кат!$I:$I,0))),"")</f>
        <v/>
      </c>
      <c r="I400" s="2" t="str">
        <f t="shared" si="13"/>
        <v>Комбинация приборов8450032283</v>
      </c>
    </row>
    <row r="401" spans="1:9" s="2" customFormat="1" ht="12.75" x14ac:dyDescent="0.2">
      <c r="A401" s="40" t="str">
        <f t="shared" si="12"/>
        <v>Комбинация приборов8450033767</v>
      </c>
      <c r="B401" s="82"/>
      <c r="C401" s="82" t="s">
        <v>486</v>
      </c>
      <c r="D401" s="15">
        <v>8450033767</v>
      </c>
      <c r="E401" s="12">
        <v>8000</v>
      </c>
      <c r="F401" s="105" t="str">
        <f>IFERROR(IFERROR(VLOOKUP(D401,Кат!$I:$J,2,0),VLOOKUP(A401,Кат!$I:$J,2,0)),"")</f>
        <v/>
      </c>
      <c r="G401" s="105" t="str">
        <f>IFERROR(IFERROR(INDEX(Кат!$A:$A,MATCH(Прайс!D401,Кат!$I:$I,0)),INDEX(Кат!$A:$A,MATCH(A401,Кат!$I:$I,0))),"")</f>
        <v/>
      </c>
      <c r="H401" s="105" t="str">
        <f>IFERROR(IFERROR(INDEX(Кат!$B:$B,MATCH(Прайс!D401,Кат!$I:$I,0)),INDEX(Кат!$B:$B,MATCH(A401,Кат!$I:$I,0))),"")</f>
        <v/>
      </c>
      <c r="I401" s="2" t="str">
        <f t="shared" si="13"/>
        <v>Комбинация приборов8450033767</v>
      </c>
    </row>
    <row r="402" spans="1:9" s="2" customFormat="1" ht="12.75" x14ac:dyDescent="0.2">
      <c r="A402" s="40" t="str">
        <f t="shared" si="12"/>
        <v>Комбинация приборов8450033769</v>
      </c>
      <c r="B402" s="82"/>
      <c r="C402" s="82" t="s">
        <v>486</v>
      </c>
      <c r="D402" s="37">
        <v>8450033769</v>
      </c>
      <c r="E402" s="12">
        <v>8000</v>
      </c>
      <c r="F402" s="105" t="str">
        <f>IFERROR(IFERROR(VLOOKUP(D402,Кат!$I:$J,2,0),VLOOKUP(A402,Кат!$I:$J,2,0)),"")</f>
        <v/>
      </c>
      <c r="G402" s="105" t="str">
        <f>IFERROR(IFERROR(INDEX(Кат!$A:$A,MATCH(Прайс!D402,Кат!$I:$I,0)),INDEX(Кат!$A:$A,MATCH(A402,Кат!$I:$I,0))),"")</f>
        <v/>
      </c>
      <c r="H402" s="105" t="str">
        <f>IFERROR(IFERROR(INDEX(Кат!$B:$B,MATCH(Прайс!D402,Кат!$I:$I,0)),INDEX(Кат!$B:$B,MATCH(A402,Кат!$I:$I,0))),"")</f>
        <v/>
      </c>
      <c r="I402" s="2" t="str">
        <f t="shared" si="13"/>
        <v>Комбинация приборов8450033769</v>
      </c>
    </row>
    <row r="403" spans="1:9" s="2" customFormat="1" ht="12.75" x14ac:dyDescent="0.2">
      <c r="A403" s="40" t="str">
        <f t="shared" si="12"/>
        <v>Комбинация приборов Урбан8450082782</v>
      </c>
      <c r="B403" s="82"/>
      <c r="C403" s="82" t="s">
        <v>1450</v>
      </c>
      <c r="D403" s="37">
        <v>8450082782</v>
      </c>
      <c r="E403" s="12">
        <v>12000</v>
      </c>
      <c r="F403" s="105" t="str">
        <f>IFERROR(IFERROR(VLOOKUP(D403,Кат!$I:$J,2,0),VLOOKUP(A403,Кат!$I:$J,2,0)),"")</f>
        <v/>
      </c>
      <c r="G403" s="105" t="str">
        <f>IFERROR(IFERROR(INDEX(Кат!$A:$A,MATCH(Прайс!D403,Кат!$I:$I,0)),INDEX(Кат!$A:$A,MATCH(A403,Кат!$I:$I,0))),"")</f>
        <v/>
      </c>
      <c r="H403" s="105" t="str">
        <f>IFERROR(IFERROR(INDEX(Кат!$B:$B,MATCH(Прайс!D403,Кат!$I:$I,0)),INDEX(Кат!$B:$B,MATCH(A403,Кат!$I:$I,0))),"")</f>
        <v/>
      </c>
      <c r="I403" s="2" t="str">
        <f t="shared" si="13"/>
        <v>Комбинация приборов Урбан8450082782</v>
      </c>
    </row>
    <row r="404" spans="1:9" s="2" customFormat="1" ht="12.75" x14ac:dyDescent="0.2">
      <c r="A404" s="40" t="str">
        <f t="shared" si="12"/>
        <v>Комбинация приборов8450100528</v>
      </c>
      <c r="B404" s="82"/>
      <c r="C404" s="82" t="s">
        <v>486</v>
      </c>
      <c r="D404" s="37">
        <v>8450100528</v>
      </c>
      <c r="E404" s="12">
        <v>8000</v>
      </c>
      <c r="F404" s="105" t="str">
        <f>IFERROR(IFERROR(VLOOKUP(D404,Кат!$I:$J,2,0),VLOOKUP(A404,Кат!$I:$J,2,0)),"")</f>
        <v/>
      </c>
      <c r="G404" s="105" t="str">
        <f>IFERROR(IFERROR(INDEX(Кат!$A:$A,MATCH(Прайс!D404,Кат!$I:$I,0)),INDEX(Кат!$A:$A,MATCH(A404,Кат!$I:$I,0))),"")</f>
        <v/>
      </c>
      <c r="H404" s="105" t="str">
        <f>IFERROR(IFERROR(INDEX(Кат!$B:$B,MATCH(Прайс!D404,Кат!$I:$I,0)),INDEX(Кат!$B:$B,MATCH(A404,Кат!$I:$I,0))),"")</f>
        <v/>
      </c>
      <c r="I404" s="2" t="str">
        <f t="shared" si="13"/>
        <v>Комбинация приборов8450100528</v>
      </c>
    </row>
    <row r="405" spans="1:9" s="2" customFormat="1" ht="12.75" x14ac:dyDescent="0.2">
      <c r="A405" s="40" t="str">
        <f t="shared" si="12"/>
        <v>Комбинация приборов8450100529</v>
      </c>
      <c r="B405" s="82"/>
      <c r="C405" s="82" t="s">
        <v>486</v>
      </c>
      <c r="D405" s="37">
        <v>8450100529</v>
      </c>
      <c r="E405" s="12">
        <v>8000</v>
      </c>
      <c r="F405" s="105" t="str">
        <f>IFERROR(IFERROR(VLOOKUP(D405,Кат!$I:$J,2,0),VLOOKUP(A405,Кат!$I:$J,2,0)),"")</f>
        <v/>
      </c>
      <c r="G405" s="105" t="str">
        <f>IFERROR(IFERROR(INDEX(Кат!$A:$A,MATCH(Прайс!D405,Кат!$I:$I,0)),INDEX(Кат!$A:$A,MATCH(A405,Кат!$I:$I,0))),"")</f>
        <v/>
      </c>
      <c r="H405" s="105" t="str">
        <f>IFERROR(IFERROR(INDEX(Кат!$B:$B,MATCH(Прайс!D405,Кат!$I:$I,0)),INDEX(Кат!$B:$B,MATCH(A405,Кат!$I:$I,0))),"")</f>
        <v/>
      </c>
      <c r="I405" s="2" t="str">
        <f t="shared" si="13"/>
        <v>Комбинация приборов8450100529</v>
      </c>
    </row>
    <row r="406" spans="1:9" s="2" customFormat="1" ht="12.75" x14ac:dyDescent="0.2">
      <c r="A406" s="40" t="str">
        <f t="shared" si="12"/>
        <v>Комбинация приборов8450101019</v>
      </c>
      <c r="B406" s="82"/>
      <c r="C406" s="82" t="s">
        <v>486</v>
      </c>
      <c r="D406" s="37">
        <v>8450101019</v>
      </c>
      <c r="E406" s="12">
        <v>8000</v>
      </c>
      <c r="F406" s="105" t="str">
        <f>IFERROR(IFERROR(VLOOKUP(D406,Кат!$I:$J,2,0),VLOOKUP(A406,Кат!$I:$J,2,0)),"")</f>
        <v/>
      </c>
      <c r="G406" s="105" t="str">
        <f>IFERROR(IFERROR(INDEX(Кат!$A:$A,MATCH(Прайс!D406,Кат!$I:$I,0)),INDEX(Кат!$A:$A,MATCH(A406,Кат!$I:$I,0))),"")</f>
        <v/>
      </c>
      <c r="H406" s="105" t="str">
        <f>IFERROR(IFERROR(INDEX(Кат!$B:$B,MATCH(Прайс!D406,Кат!$I:$I,0)),INDEX(Кат!$B:$B,MATCH(A406,Кат!$I:$I,0))),"")</f>
        <v/>
      </c>
      <c r="I406" s="2" t="str">
        <f t="shared" si="13"/>
        <v>Комбинация приборов8450101019</v>
      </c>
    </row>
    <row r="407" spans="1:9" s="2" customFormat="1" ht="12.75" x14ac:dyDescent="0.2">
      <c r="A407" s="40" t="str">
        <f t="shared" si="12"/>
        <v>Комбинация приборов8450101020</v>
      </c>
      <c r="B407" s="82"/>
      <c r="C407" s="82" t="s">
        <v>486</v>
      </c>
      <c r="D407" s="37">
        <v>8450101020</v>
      </c>
      <c r="E407" s="12">
        <v>8000</v>
      </c>
      <c r="F407" s="105" t="str">
        <f>IFERROR(IFERROR(VLOOKUP(D407,Кат!$I:$J,2,0),VLOOKUP(A407,Кат!$I:$J,2,0)),"")</f>
        <v/>
      </c>
      <c r="G407" s="105" t="str">
        <f>IFERROR(IFERROR(INDEX(Кат!$A:$A,MATCH(Прайс!D407,Кат!$I:$I,0)),INDEX(Кат!$A:$A,MATCH(A407,Кат!$I:$I,0))),"")</f>
        <v/>
      </c>
      <c r="H407" s="105" t="str">
        <f>IFERROR(IFERROR(INDEX(Кат!$B:$B,MATCH(Прайс!D407,Кат!$I:$I,0)),INDEX(Кат!$B:$B,MATCH(A407,Кат!$I:$I,0))),"")</f>
        <v/>
      </c>
      <c r="I407" s="2" t="str">
        <f t="shared" si="13"/>
        <v>Комбинация приборов8450101020</v>
      </c>
    </row>
    <row r="408" spans="1:9" s="2" customFormat="1" ht="12.75" x14ac:dyDescent="0.2">
      <c r="A408" s="40" t="str">
        <f t="shared" si="12"/>
        <v>Комбинация приборов8450104296</v>
      </c>
      <c r="B408" s="82"/>
      <c r="C408" s="82" t="s">
        <v>486</v>
      </c>
      <c r="D408" s="15">
        <v>8450104296</v>
      </c>
      <c r="E408" s="12">
        <v>8000</v>
      </c>
      <c r="F408" s="105" t="str">
        <f>IFERROR(IFERROR(VLOOKUP(D408,Кат!$I:$J,2,0),VLOOKUP(A408,Кат!$I:$J,2,0)),"")</f>
        <v/>
      </c>
      <c r="G408" s="105" t="str">
        <f>IFERROR(IFERROR(INDEX(Кат!$A:$A,MATCH(Прайс!D408,Кат!$I:$I,0)),INDEX(Кат!$A:$A,MATCH(A408,Кат!$I:$I,0))),"")</f>
        <v/>
      </c>
      <c r="H408" s="105" t="str">
        <f>IFERROR(IFERROR(INDEX(Кат!$B:$B,MATCH(Прайс!D408,Кат!$I:$I,0)),INDEX(Кат!$B:$B,MATCH(A408,Кат!$I:$I,0))),"")</f>
        <v/>
      </c>
      <c r="I408" s="2" t="str">
        <f t="shared" si="13"/>
        <v>Комбинация приборов8450104296</v>
      </c>
    </row>
    <row r="409" spans="1:9" s="2" customFormat="1" ht="12.75" x14ac:dyDescent="0.2">
      <c r="A409" s="40" t="str">
        <f t="shared" si="12"/>
        <v>Комбинация приборов8450104301</v>
      </c>
      <c r="B409" s="82"/>
      <c r="C409" s="82" t="s">
        <v>486</v>
      </c>
      <c r="D409" s="15">
        <v>8450104301</v>
      </c>
      <c r="E409" s="12">
        <v>8000</v>
      </c>
      <c r="F409" s="105" t="str">
        <f>IFERROR(IFERROR(VLOOKUP(D409,Кат!$I:$J,2,0),VLOOKUP(A409,Кат!$I:$J,2,0)),"")</f>
        <v/>
      </c>
      <c r="G409" s="105" t="str">
        <f>IFERROR(IFERROR(INDEX(Кат!$A:$A,MATCH(Прайс!D409,Кат!$I:$I,0)),INDEX(Кат!$A:$A,MATCH(A409,Кат!$I:$I,0))),"")</f>
        <v/>
      </c>
      <c r="H409" s="105" t="str">
        <f>IFERROR(IFERROR(INDEX(Кат!$B:$B,MATCH(Прайс!D409,Кат!$I:$I,0)),INDEX(Кат!$B:$B,MATCH(A409,Кат!$I:$I,0))),"")</f>
        <v/>
      </c>
      <c r="I409" s="2" t="str">
        <f t="shared" si="13"/>
        <v>Комбинация приборов8450104301</v>
      </c>
    </row>
    <row r="410" spans="1:9" s="2" customFormat="1" ht="12.75" x14ac:dyDescent="0.2">
      <c r="A410" s="40" t="str">
        <f t="shared" si="12"/>
        <v>Комбинация приборов8450104949</v>
      </c>
      <c r="B410" s="82"/>
      <c r="C410" s="82" t="s">
        <v>486</v>
      </c>
      <c r="D410" s="37">
        <v>8450104949</v>
      </c>
      <c r="E410" s="12">
        <v>8000</v>
      </c>
      <c r="F410" s="105" t="str">
        <f>IFERROR(IFERROR(VLOOKUP(D410,Кат!$I:$J,2,0),VLOOKUP(A410,Кат!$I:$J,2,0)),"")</f>
        <v/>
      </c>
      <c r="G410" s="105" t="str">
        <f>IFERROR(IFERROR(INDEX(Кат!$A:$A,MATCH(Прайс!D410,Кат!$I:$I,0)),INDEX(Кат!$A:$A,MATCH(A410,Кат!$I:$I,0))),"")</f>
        <v/>
      </c>
      <c r="H410" s="105" t="str">
        <f>IFERROR(IFERROR(INDEX(Кат!$B:$B,MATCH(Прайс!D410,Кат!$I:$I,0)),INDEX(Кат!$B:$B,MATCH(A410,Кат!$I:$I,0))),"")</f>
        <v/>
      </c>
      <c r="I410" s="2" t="str">
        <f t="shared" si="13"/>
        <v>Комбинация приборов8450104949</v>
      </c>
    </row>
    <row r="411" spans="1:9" s="2" customFormat="1" ht="12.75" x14ac:dyDescent="0.2">
      <c r="A411" s="40" t="str">
        <f t="shared" si="12"/>
        <v>Комбинация приборов8450104950</v>
      </c>
      <c r="B411" s="82"/>
      <c r="C411" s="82" t="s">
        <v>486</v>
      </c>
      <c r="D411" s="37">
        <v>8450104950</v>
      </c>
      <c r="E411" s="12">
        <v>8000</v>
      </c>
      <c r="F411" s="105" t="str">
        <f>IFERROR(IFERROR(VLOOKUP(D411,Кат!$I:$J,2,0),VLOOKUP(A411,Кат!$I:$J,2,0)),"")</f>
        <v/>
      </c>
      <c r="G411" s="105" t="str">
        <f>IFERROR(IFERROR(INDEX(Кат!$A:$A,MATCH(Прайс!D411,Кат!$I:$I,0)),INDEX(Кат!$A:$A,MATCH(A411,Кат!$I:$I,0))),"")</f>
        <v/>
      </c>
      <c r="H411" s="105" t="str">
        <f>IFERROR(IFERROR(INDEX(Кат!$B:$B,MATCH(Прайс!D411,Кат!$I:$I,0)),INDEX(Кат!$B:$B,MATCH(A411,Кат!$I:$I,0))),"")</f>
        <v/>
      </c>
      <c r="I411" s="2" t="str">
        <f t="shared" si="13"/>
        <v>Комбинация приборов8450104950</v>
      </c>
    </row>
    <row r="412" spans="1:9" s="2" customFormat="1" ht="12.75" x14ac:dyDescent="0.2">
      <c r="A412" s="40" t="str">
        <f t="shared" si="12"/>
        <v>Комбинация приборов8450104951</v>
      </c>
      <c r="B412" s="82"/>
      <c r="C412" s="82" t="s">
        <v>486</v>
      </c>
      <c r="D412" s="37">
        <v>8450104951</v>
      </c>
      <c r="E412" s="12">
        <v>8000</v>
      </c>
      <c r="F412" s="105" t="str">
        <f>IFERROR(IFERROR(VLOOKUP(D412,Кат!$I:$J,2,0),VLOOKUP(A412,Кат!$I:$J,2,0)),"")</f>
        <v/>
      </c>
      <c r="G412" s="105" t="str">
        <f>IFERROR(IFERROR(INDEX(Кат!$A:$A,MATCH(Прайс!D412,Кат!$I:$I,0)),INDEX(Кат!$A:$A,MATCH(A412,Кат!$I:$I,0))),"")</f>
        <v/>
      </c>
      <c r="H412" s="105" t="str">
        <f>IFERROR(IFERROR(INDEX(Кат!$B:$B,MATCH(Прайс!D412,Кат!$I:$I,0)),INDEX(Кат!$B:$B,MATCH(A412,Кат!$I:$I,0))),"")</f>
        <v/>
      </c>
      <c r="I412" s="2" t="str">
        <f t="shared" si="13"/>
        <v>Комбинация приборов8450104951</v>
      </c>
    </row>
    <row r="413" spans="1:9" s="2" customFormat="1" ht="12.75" x14ac:dyDescent="0.2">
      <c r="A413" s="40" t="str">
        <f t="shared" si="12"/>
        <v>Комбинация приборов8450104952</v>
      </c>
      <c r="B413" s="82"/>
      <c r="C413" s="82" t="s">
        <v>486</v>
      </c>
      <c r="D413" s="37">
        <v>8450104952</v>
      </c>
      <c r="E413" s="12">
        <v>8000</v>
      </c>
      <c r="F413" s="105" t="str">
        <f>IFERROR(IFERROR(VLOOKUP(D413,Кат!$I:$J,2,0),VLOOKUP(A413,Кат!$I:$J,2,0)),"")</f>
        <v/>
      </c>
      <c r="G413" s="105" t="str">
        <f>IFERROR(IFERROR(INDEX(Кат!$A:$A,MATCH(Прайс!D413,Кат!$I:$I,0)),INDEX(Кат!$A:$A,MATCH(A413,Кат!$I:$I,0))),"")</f>
        <v/>
      </c>
      <c r="H413" s="105" t="str">
        <f>IFERROR(IFERROR(INDEX(Кат!$B:$B,MATCH(Прайс!D413,Кат!$I:$I,0)),INDEX(Кат!$B:$B,MATCH(A413,Кат!$I:$I,0))),"")</f>
        <v/>
      </c>
      <c r="I413" s="2" t="str">
        <f t="shared" si="13"/>
        <v>Комбинация приборов8450104952</v>
      </c>
    </row>
    <row r="414" spans="1:9" s="2" customFormat="1" ht="12.75" x14ac:dyDescent="0.2">
      <c r="A414" s="40" t="str">
        <f t="shared" si="12"/>
        <v>Комбинация приборов8450107318</v>
      </c>
      <c r="B414" s="82"/>
      <c r="C414" s="82" t="s">
        <v>486</v>
      </c>
      <c r="D414" s="37">
        <v>8450107318</v>
      </c>
      <c r="E414" s="12">
        <v>8000</v>
      </c>
      <c r="F414" s="105" t="str">
        <f>IFERROR(IFERROR(VLOOKUP(D414,Кат!$I:$J,2,0),VLOOKUP(A414,Кат!$I:$J,2,0)),"")</f>
        <v/>
      </c>
      <c r="G414" s="105" t="str">
        <f>IFERROR(IFERROR(INDEX(Кат!$A:$A,MATCH(Прайс!D414,Кат!$I:$I,0)),INDEX(Кат!$A:$A,MATCH(A414,Кат!$I:$I,0))),"")</f>
        <v/>
      </c>
      <c r="H414" s="105" t="str">
        <f>IFERROR(IFERROR(INDEX(Кат!$B:$B,MATCH(Прайс!D414,Кат!$I:$I,0)),INDEX(Кат!$B:$B,MATCH(A414,Кат!$I:$I,0))),"")</f>
        <v/>
      </c>
      <c r="I414" s="2" t="str">
        <f t="shared" si="13"/>
        <v>Комбинация приборов8450107318</v>
      </c>
    </row>
    <row r="415" spans="1:9" s="2" customFormat="1" ht="12.75" x14ac:dyDescent="0.2">
      <c r="A415" s="40" t="str">
        <f t="shared" si="12"/>
        <v>Комбинация приборов8450107319</v>
      </c>
      <c r="B415" s="82"/>
      <c r="C415" s="82" t="s">
        <v>486</v>
      </c>
      <c r="D415" s="37">
        <v>8450107319</v>
      </c>
      <c r="E415" s="12">
        <v>8000</v>
      </c>
      <c r="F415" s="105" t="str">
        <f>IFERROR(IFERROR(VLOOKUP(D415,Кат!$I:$J,2,0),VLOOKUP(A415,Кат!$I:$J,2,0)),"")</f>
        <v/>
      </c>
      <c r="G415" s="105" t="str">
        <f>IFERROR(IFERROR(INDEX(Кат!$A:$A,MATCH(Прайс!D415,Кат!$I:$I,0)),INDEX(Кат!$A:$A,MATCH(A415,Кат!$I:$I,0))),"")</f>
        <v/>
      </c>
      <c r="H415" s="105" t="str">
        <f>IFERROR(IFERROR(INDEX(Кат!$B:$B,MATCH(Прайс!D415,Кат!$I:$I,0)),INDEX(Кат!$B:$B,MATCH(A415,Кат!$I:$I,0))),"")</f>
        <v/>
      </c>
      <c r="I415" s="2" t="str">
        <f t="shared" si="13"/>
        <v>Комбинация приборов8450107319</v>
      </c>
    </row>
    <row r="416" spans="1:9" s="2" customFormat="1" ht="12.75" x14ac:dyDescent="0.2">
      <c r="A416" s="40" t="str">
        <f t="shared" si="12"/>
        <v>Комбинация приборов1118-3801010-10</v>
      </c>
      <c r="B416" s="82"/>
      <c r="C416" s="82" t="s">
        <v>486</v>
      </c>
      <c r="D416" s="37" t="s">
        <v>487</v>
      </c>
      <c r="E416" s="12">
        <v>10000</v>
      </c>
      <c r="F416" s="105" t="str">
        <f>IFERROR(IFERROR(VLOOKUP(D416,Кат!$I:$J,2,0),VLOOKUP(A416,Кат!$I:$J,2,0)),"")</f>
        <v/>
      </c>
      <c r="G416" s="105" t="str">
        <f>IFERROR(IFERROR(INDEX(Кат!$A:$A,MATCH(Прайс!D416,Кат!$I:$I,0)),INDEX(Кат!$A:$A,MATCH(A416,Кат!$I:$I,0))),"")</f>
        <v/>
      </c>
      <c r="H416" s="105" t="str">
        <f>IFERROR(IFERROR(INDEX(Кат!$B:$B,MATCH(Прайс!D416,Кат!$I:$I,0)),INDEX(Кат!$B:$B,MATCH(A416,Кат!$I:$I,0))),"")</f>
        <v/>
      </c>
      <c r="I416" s="2" t="str">
        <f t="shared" si="13"/>
        <v>Комбинация приборов1118-3801010-10</v>
      </c>
    </row>
    <row r="417" spans="1:9" s="2" customFormat="1" ht="12.75" x14ac:dyDescent="0.2">
      <c r="A417" s="40" t="str">
        <f t="shared" si="12"/>
        <v>Комбинация приборов1118-3801010-12</v>
      </c>
      <c r="B417" s="82"/>
      <c r="C417" s="82" t="s">
        <v>486</v>
      </c>
      <c r="D417" s="37" t="s">
        <v>488</v>
      </c>
      <c r="E417" s="12">
        <v>10000</v>
      </c>
      <c r="F417" s="105" t="str">
        <f>IFERROR(IFERROR(VLOOKUP(D417,Кат!$I:$J,2,0),VLOOKUP(A417,Кат!$I:$J,2,0)),"")</f>
        <v/>
      </c>
      <c r="G417" s="105" t="str">
        <f>IFERROR(IFERROR(INDEX(Кат!$A:$A,MATCH(Прайс!D417,Кат!$I:$I,0)),INDEX(Кат!$A:$A,MATCH(A417,Кат!$I:$I,0))),"")</f>
        <v/>
      </c>
      <c r="H417" s="105" t="str">
        <f>IFERROR(IFERROR(INDEX(Кат!$B:$B,MATCH(Прайс!D417,Кат!$I:$I,0)),INDEX(Кат!$B:$B,MATCH(A417,Кат!$I:$I,0))),"")</f>
        <v/>
      </c>
      <c r="I417" s="2" t="str">
        <f t="shared" si="13"/>
        <v>Комбинация приборов1118-3801010-12</v>
      </c>
    </row>
    <row r="418" spans="1:9" s="2" customFormat="1" ht="12.75" x14ac:dyDescent="0.2">
      <c r="A418" s="40" t="str">
        <f t="shared" si="12"/>
        <v>Комбинация приборов2170-3801010-30</v>
      </c>
      <c r="B418" s="82"/>
      <c r="C418" s="82" t="s">
        <v>486</v>
      </c>
      <c r="D418" s="15" t="s">
        <v>489</v>
      </c>
      <c r="E418" s="12">
        <v>10000</v>
      </c>
      <c r="F418" s="105" t="str">
        <f>IFERROR(IFERROR(VLOOKUP(D418,Кат!$I:$J,2,0),VLOOKUP(A418,Кат!$I:$J,2,0)),"")</f>
        <v/>
      </c>
      <c r="G418" s="105" t="str">
        <f>IFERROR(IFERROR(INDEX(Кат!$A:$A,MATCH(Прайс!D418,Кат!$I:$I,0)),INDEX(Кат!$A:$A,MATCH(A418,Кат!$I:$I,0))),"")</f>
        <v/>
      </c>
      <c r="H418" s="105" t="str">
        <f>IFERROR(IFERROR(INDEX(Кат!$B:$B,MATCH(Прайс!D418,Кат!$I:$I,0)),INDEX(Кат!$B:$B,MATCH(A418,Кат!$I:$I,0))),"")</f>
        <v/>
      </c>
      <c r="I418" s="2" t="str">
        <f t="shared" si="13"/>
        <v>Комбинация приборов2170-3801010-30</v>
      </c>
    </row>
    <row r="419" spans="1:9" s="2" customFormat="1" ht="12.75" x14ac:dyDescent="0.2">
      <c r="A419" s="40" t="str">
        <f t="shared" si="12"/>
        <v>Комбинация приборов2172-3801010-20</v>
      </c>
      <c r="B419" s="82"/>
      <c r="C419" s="82" t="s">
        <v>486</v>
      </c>
      <c r="D419" s="37" t="s">
        <v>490</v>
      </c>
      <c r="E419" s="12">
        <v>10000</v>
      </c>
      <c r="F419" s="105" t="str">
        <f>IFERROR(IFERROR(VLOOKUP(D419,Кат!$I:$J,2,0),VLOOKUP(A419,Кат!$I:$J,2,0)),"")</f>
        <v/>
      </c>
      <c r="G419" s="105" t="str">
        <f>IFERROR(IFERROR(INDEX(Кат!$A:$A,MATCH(Прайс!D419,Кат!$I:$I,0)),INDEX(Кат!$A:$A,MATCH(A419,Кат!$I:$I,0))),"")</f>
        <v/>
      </c>
      <c r="H419" s="105" t="str">
        <f>IFERROR(IFERROR(INDEX(Кат!$B:$B,MATCH(Прайс!D419,Кат!$I:$I,0)),INDEX(Кат!$B:$B,MATCH(A419,Кат!$I:$I,0))),"")</f>
        <v/>
      </c>
      <c r="I419" s="2" t="str">
        <f t="shared" si="13"/>
        <v>Комбинация приборов2172-3801010-20</v>
      </c>
    </row>
    <row r="420" spans="1:9" s="2" customFormat="1" ht="12.75" x14ac:dyDescent="0.2">
      <c r="A420" s="40" t="str">
        <f t="shared" si="12"/>
        <v>Комбинация приборов2172-3801010-50</v>
      </c>
      <c r="B420" s="82"/>
      <c r="C420" s="82" t="s">
        <v>486</v>
      </c>
      <c r="D420" s="37" t="s">
        <v>491</v>
      </c>
      <c r="E420" s="12">
        <v>10000</v>
      </c>
      <c r="F420" s="105" t="str">
        <f>IFERROR(IFERROR(VLOOKUP(D420,Кат!$I:$J,2,0),VLOOKUP(A420,Кат!$I:$J,2,0)),"")</f>
        <v/>
      </c>
      <c r="G420" s="105" t="str">
        <f>IFERROR(IFERROR(INDEX(Кат!$A:$A,MATCH(Прайс!D420,Кат!$I:$I,0)),INDEX(Кат!$A:$A,MATCH(A420,Кат!$I:$I,0))),"")</f>
        <v/>
      </c>
      <c r="H420" s="105" t="str">
        <f>IFERROR(IFERROR(INDEX(Кат!$B:$B,MATCH(Прайс!D420,Кат!$I:$I,0)),INDEX(Кат!$B:$B,MATCH(A420,Кат!$I:$I,0))),"")</f>
        <v/>
      </c>
      <c r="I420" s="2" t="str">
        <f t="shared" si="13"/>
        <v>Комбинация приборов2172-3801010-50</v>
      </c>
    </row>
    <row r="421" spans="1:9" s="2" customFormat="1" ht="12.75" x14ac:dyDescent="0.2">
      <c r="A421" s="40" t="str">
        <f t="shared" si="12"/>
        <v>Комбинация приборов2172-3801010-50 с навигацией</v>
      </c>
      <c r="B421" s="82"/>
      <c r="C421" s="82" t="s">
        <v>486</v>
      </c>
      <c r="D421" s="15" t="s">
        <v>492</v>
      </c>
      <c r="E421" s="12">
        <v>13000</v>
      </c>
      <c r="F421" s="105" t="str">
        <f>IFERROR(IFERROR(VLOOKUP(D421,Кат!$I:$J,2,0),VLOOKUP(A421,Кат!$I:$J,2,0)),"")</f>
        <v/>
      </c>
      <c r="G421" s="105" t="str">
        <f>IFERROR(IFERROR(INDEX(Кат!$A:$A,MATCH(Прайс!D421,Кат!$I:$I,0)),INDEX(Кат!$A:$A,MATCH(A421,Кат!$I:$I,0))),"")</f>
        <v/>
      </c>
      <c r="H421" s="105" t="str">
        <f>IFERROR(IFERROR(INDEX(Кат!$B:$B,MATCH(Прайс!D421,Кат!$I:$I,0)),INDEX(Кат!$B:$B,MATCH(A421,Кат!$I:$I,0))),"")</f>
        <v/>
      </c>
      <c r="I421" s="2" t="str">
        <f t="shared" si="13"/>
        <v>Комбинация приборов2172-3801010-50 с навигацией</v>
      </c>
    </row>
    <row r="422" spans="1:9" s="2" customFormat="1" ht="12.75" x14ac:dyDescent="0.2">
      <c r="A422" s="40" t="str">
        <f t="shared" si="12"/>
        <v>Комбинация приборов2190-3801010-10</v>
      </c>
      <c r="B422" s="82"/>
      <c r="C422" s="82" t="s">
        <v>486</v>
      </c>
      <c r="D422" s="37" t="s">
        <v>493</v>
      </c>
      <c r="E422" s="12">
        <v>8000</v>
      </c>
      <c r="F422" s="105" t="str">
        <f>IFERROR(IFERROR(VLOOKUP(D422,Кат!$I:$J,2,0),VLOOKUP(A422,Кат!$I:$J,2,0)),"")</f>
        <v/>
      </c>
      <c r="G422" s="105" t="str">
        <f>IFERROR(IFERROR(INDEX(Кат!$A:$A,MATCH(Прайс!D422,Кат!$I:$I,0)),INDEX(Кат!$A:$A,MATCH(A422,Кат!$I:$I,0))),"")</f>
        <v/>
      </c>
      <c r="H422" s="105" t="str">
        <f>IFERROR(IFERROR(INDEX(Кат!$B:$B,MATCH(Прайс!D422,Кат!$I:$I,0)),INDEX(Кат!$B:$B,MATCH(A422,Кат!$I:$I,0))),"")</f>
        <v/>
      </c>
      <c r="I422" s="2" t="str">
        <f t="shared" si="13"/>
        <v>Комбинация приборов2190-3801010-10</v>
      </c>
    </row>
    <row r="423" spans="1:9" s="2" customFormat="1" ht="12.75" x14ac:dyDescent="0.2">
      <c r="A423" s="40" t="str">
        <f t="shared" si="12"/>
        <v>Комбинация приборов2190-3801010-20</v>
      </c>
      <c r="B423" s="82"/>
      <c r="C423" s="82" t="s">
        <v>486</v>
      </c>
      <c r="D423" s="37" t="s">
        <v>494</v>
      </c>
      <c r="E423" s="12">
        <v>8000</v>
      </c>
      <c r="F423" s="105" t="str">
        <f>IFERROR(IFERROR(VLOOKUP(D423,Кат!$I:$J,2,0),VLOOKUP(A423,Кат!$I:$J,2,0)),"")</f>
        <v/>
      </c>
      <c r="G423" s="105" t="str">
        <f>IFERROR(IFERROR(INDEX(Кат!$A:$A,MATCH(Прайс!D423,Кат!$I:$I,0)),INDEX(Кат!$A:$A,MATCH(A423,Кат!$I:$I,0))),"")</f>
        <v/>
      </c>
      <c r="H423" s="105" t="str">
        <f>IFERROR(IFERROR(INDEX(Кат!$B:$B,MATCH(Прайс!D423,Кат!$I:$I,0)),INDEX(Кат!$B:$B,MATCH(A423,Кат!$I:$I,0))),"")</f>
        <v/>
      </c>
      <c r="I423" s="2" t="str">
        <f t="shared" si="13"/>
        <v>Комбинация приборов2190-3801010-20</v>
      </c>
    </row>
    <row r="424" spans="1:9" s="2" customFormat="1" ht="12.75" x14ac:dyDescent="0.2">
      <c r="A424" s="40" t="str">
        <f t="shared" si="12"/>
        <v>Комбинация приборов2190-3801010-30</v>
      </c>
      <c r="B424" s="82"/>
      <c r="C424" s="82" t="s">
        <v>486</v>
      </c>
      <c r="D424" s="37" t="s">
        <v>495</v>
      </c>
      <c r="E424" s="12">
        <v>8000</v>
      </c>
      <c r="F424" s="105" t="str">
        <f>IFERROR(IFERROR(VLOOKUP(D424,Кат!$I:$J,2,0),VLOOKUP(A424,Кат!$I:$J,2,0)),"")</f>
        <v/>
      </c>
      <c r="G424" s="105" t="str">
        <f>IFERROR(IFERROR(INDEX(Кат!$A:$A,MATCH(Прайс!D424,Кат!$I:$I,0)),INDEX(Кат!$A:$A,MATCH(A424,Кат!$I:$I,0))),"")</f>
        <v/>
      </c>
      <c r="H424" s="105" t="str">
        <f>IFERROR(IFERROR(INDEX(Кат!$B:$B,MATCH(Прайс!D424,Кат!$I:$I,0)),INDEX(Кат!$B:$B,MATCH(A424,Кат!$I:$I,0))),"")</f>
        <v/>
      </c>
      <c r="I424" s="2" t="str">
        <f t="shared" si="13"/>
        <v>Комбинация приборов2190-3801010-30</v>
      </c>
    </row>
    <row r="425" spans="1:9" s="2" customFormat="1" ht="12.75" x14ac:dyDescent="0.2">
      <c r="A425" s="40" t="str">
        <f t="shared" si="12"/>
        <v>Комбинация приборов2190-3801010-40</v>
      </c>
      <c r="B425" s="82"/>
      <c r="C425" s="82" t="s">
        <v>486</v>
      </c>
      <c r="D425" s="37" t="s">
        <v>496</v>
      </c>
      <c r="E425" s="12">
        <v>8000</v>
      </c>
      <c r="F425" s="105" t="str">
        <f>IFERROR(IFERROR(VLOOKUP(D425,Кат!$I:$J,2,0),VLOOKUP(A425,Кат!$I:$J,2,0)),"")</f>
        <v/>
      </c>
      <c r="G425" s="105" t="str">
        <f>IFERROR(IFERROR(INDEX(Кат!$A:$A,MATCH(Прайс!D425,Кат!$I:$I,0)),INDEX(Кат!$A:$A,MATCH(A425,Кат!$I:$I,0))),"")</f>
        <v/>
      </c>
      <c r="H425" s="105" t="str">
        <f>IFERROR(IFERROR(INDEX(Кат!$B:$B,MATCH(Прайс!D425,Кат!$I:$I,0)),INDEX(Кат!$B:$B,MATCH(A425,Кат!$I:$I,0))),"")</f>
        <v/>
      </c>
      <c r="I425" s="2" t="str">
        <f t="shared" si="13"/>
        <v>Комбинация приборов2190-3801010-40</v>
      </c>
    </row>
    <row r="426" spans="1:9" s="2" customFormat="1" ht="12.75" x14ac:dyDescent="0.2">
      <c r="A426" s="40" t="str">
        <f t="shared" si="12"/>
        <v>Комбинация приборов2190-3801010-50 с навигацией</v>
      </c>
      <c r="B426" s="82"/>
      <c r="C426" s="82" t="s">
        <v>486</v>
      </c>
      <c r="D426" s="37" t="s">
        <v>497</v>
      </c>
      <c r="E426" s="12">
        <v>13000</v>
      </c>
      <c r="F426" s="105" t="str">
        <f>IFERROR(IFERROR(VLOOKUP(D426,Кат!$I:$J,2,0),VLOOKUP(A426,Кат!$I:$J,2,0)),"")</f>
        <v/>
      </c>
      <c r="G426" s="105" t="str">
        <f>IFERROR(IFERROR(INDEX(Кат!$A:$A,MATCH(Прайс!D426,Кат!$I:$I,0)),INDEX(Кат!$A:$A,MATCH(A426,Кат!$I:$I,0))),"")</f>
        <v/>
      </c>
      <c r="H426" s="105" t="str">
        <f>IFERROR(IFERROR(INDEX(Кат!$B:$B,MATCH(Прайс!D426,Кат!$I:$I,0)),INDEX(Кат!$B:$B,MATCH(A426,Кат!$I:$I,0))),"")</f>
        <v/>
      </c>
      <c r="I426" s="2" t="str">
        <f t="shared" si="13"/>
        <v>Комбинация приборов2190-3801010-50 с навигацией</v>
      </c>
    </row>
    <row r="427" spans="1:9" s="2" customFormat="1" ht="12.75" x14ac:dyDescent="0.2">
      <c r="A427" s="40" t="str">
        <f t="shared" si="12"/>
        <v>Комбинация приборов2190-3801010-60 с навигацией</v>
      </c>
      <c r="B427" s="82"/>
      <c r="C427" s="82" t="s">
        <v>486</v>
      </c>
      <c r="D427" s="37" t="s">
        <v>498</v>
      </c>
      <c r="E427" s="12">
        <v>13000</v>
      </c>
      <c r="F427" s="105" t="str">
        <f>IFERROR(IFERROR(VLOOKUP(D427,Кат!$I:$J,2,0),VLOOKUP(A427,Кат!$I:$J,2,0)),"")</f>
        <v/>
      </c>
      <c r="G427" s="105" t="str">
        <f>IFERROR(IFERROR(INDEX(Кат!$A:$A,MATCH(Прайс!D427,Кат!$I:$I,0)),INDEX(Кат!$A:$A,MATCH(A427,Кат!$I:$I,0))),"")</f>
        <v/>
      </c>
      <c r="H427" s="105" t="str">
        <f>IFERROR(IFERROR(INDEX(Кат!$B:$B,MATCH(Прайс!D427,Кат!$I:$I,0)),INDEX(Кат!$B:$B,MATCH(A427,Кат!$I:$I,0))),"")</f>
        <v/>
      </c>
      <c r="I427" s="2" t="str">
        <f t="shared" si="13"/>
        <v>Комбинация приборов2190-3801010-60 с навигацией</v>
      </c>
    </row>
    <row r="428" spans="1:9" s="2" customFormat="1" ht="12.75" x14ac:dyDescent="0.2">
      <c r="A428" s="40" t="str">
        <f t="shared" si="12"/>
        <v>Комбинация приборов2190-3801010-70</v>
      </c>
      <c r="B428" s="82"/>
      <c r="C428" s="82" t="s">
        <v>486</v>
      </c>
      <c r="D428" s="37" t="s">
        <v>499</v>
      </c>
      <c r="E428" s="12">
        <v>8000</v>
      </c>
      <c r="F428" s="105" t="str">
        <f>IFERROR(IFERROR(VLOOKUP(D428,Кат!$I:$J,2,0),VLOOKUP(A428,Кат!$I:$J,2,0)),"")</f>
        <v/>
      </c>
      <c r="G428" s="105" t="str">
        <f>IFERROR(IFERROR(INDEX(Кат!$A:$A,MATCH(Прайс!D428,Кат!$I:$I,0)),INDEX(Кат!$A:$A,MATCH(A428,Кат!$I:$I,0))),"")</f>
        <v/>
      </c>
      <c r="H428" s="105" t="str">
        <f>IFERROR(IFERROR(INDEX(Кат!$B:$B,MATCH(Прайс!D428,Кат!$I:$I,0)),INDEX(Кат!$B:$B,MATCH(A428,Кат!$I:$I,0))),"")</f>
        <v/>
      </c>
      <c r="I428" s="2" t="str">
        <f t="shared" si="13"/>
        <v>Комбинация приборов2190-3801010-70</v>
      </c>
    </row>
    <row r="429" spans="1:9" s="2" customFormat="1" ht="12.75" x14ac:dyDescent="0.2">
      <c r="A429" s="40" t="str">
        <f t="shared" si="12"/>
        <v>Комбинация приборов2190-3801010-80</v>
      </c>
      <c r="B429" s="82"/>
      <c r="C429" s="82" t="s">
        <v>486</v>
      </c>
      <c r="D429" s="37" t="s">
        <v>500</v>
      </c>
      <c r="E429" s="12">
        <v>8000</v>
      </c>
      <c r="F429" s="105" t="str">
        <f>IFERROR(IFERROR(VLOOKUP(D429,Кат!$I:$J,2,0),VLOOKUP(A429,Кат!$I:$J,2,0)),"")</f>
        <v/>
      </c>
      <c r="G429" s="105" t="str">
        <f>IFERROR(IFERROR(INDEX(Кат!$A:$A,MATCH(Прайс!D429,Кат!$I:$I,0)),INDEX(Кат!$A:$A,MATCH(A429,Кат!$I:$I,0))),"")</f>
        <v/>
      </c>
      <c r="H429" s="105" t="str">
        <f>IFERROR(IFERROR(INDEX(Кат!$B:$B,MATCH(Прайс!D429,Кат!$I:$I,0)),INDEX(Кат!$B:$B,MATCH(A429,Кат!$I:$I,0))),"")</f>
        <v/>
      </c>
      <c r="I429" s="2" t="str">
        <f t="shared" si="13"/>
        <v>Комбинация приборов2190-3801010-80</v>
      </c>
    </row>
    <row r="430" spans="1:9" s="2" customFormat="1" ht="12.75" x14ac:dyDescent="0.2">
      <c r="A430" s="40" t="str">
        <f t="shared" si="12"/>
        <v>Комбинация приборов2190-3801010-90 с навигацией</v>
      </c>
      <c r="B430" s="82"/>
      <c r="C430" s="82" t="s">
        <v>486</v>
      </c>
      <c r="D430" s="37" t="s">
        <v>501</v>
      </c>
      <c r="E430" s="12">
        <v>13000</v>
      </c>
      <c r="F430" s="105" t="str">
        <f>IFERROR(IFERROR(VLOOKUP(D430,Кат!$I:$J,2,0),VLOOKUP(A430,Кат!$I:$J,2,0)),"")</f>
        <v/>
      </c>
      <c r="G430" s="105" t="str">
        <f>IFERROR(IFERROR(INDEX(Кат!$A:$A,MATCH(Прайс!D430,Кат!$I:$I,0)),INDEX(Кат!$A:$A,MATCH(A430,Кат!$I:$I,0))),"")</f>
        <v/>
      </c>
      <c r="H430" s="105" t="str">
        <f>IFERROR(IFERROR(INDEX(Кат!$B:$B,MATCH(Прайс!D430,Кат!$I:$I,0)),INDEX(Кат!$B:$B,MATCH(A430,Кат!$I:$I,0))),"")</f>
        <v/>
      </c>
      <c r="I430" s="2" t="str">
        <f t="shared" si="13"/>
        <v>Комбинация приборов2190-3801010-90 с навигацией</v>
      </c>
    </row>
    <row r="431" spans="1:9" s="2" customFormat="1" ht="12.75" x14ac:dyDescent="0.2">
      <c r="A431" s="40" t="str">
        <f t="shared" si="12"/>
        <v>Комбинация приборов2192-3801010-20</v>
      </c>
      <c r="B431" s="82"/>
      <c r="C431" s="82" t="s">
        <v>486</v>
      </c>
      <c r="D431" s="37" t="s">
        <v>502</v>
      </c>
      <c r="E431" s="12">
        <v>8000</v>
      </c>
      <c r="F431" s="105" t="str">
        <f>IFERROR(IFERROR(VLOOKUP(D431,Кат!$I:$J,2,0),VLOOKUP(A431,Кат!$I:$J,2,0)),"")</f>
        <v/>
      </c>
      <c r="G431" s="105" t="str">
        <f>IFERROR(IFERROR(INDEX(Кат!$A:$A,MATCH(Прайс!D431,Кат!$I:$I,0)),INDEX(Кат!$A:$A,MATCH(A431,Кат!$I:$I,0))),"")</f>
        <v/>
      </c>
      <c r="H431" s="105" t="str">
        <f>IFERROR(IFERROR(INDEX(Кат!$B:$B,MATCH(Прайс!D431,Кат!$I:$I,0)),INDEX(Кат!$B:$B,MATCH(A431,Кат!$I:$I,0))),"")</f>
        <v/>
      </c>
      <c r="I431" s="2" t="str">
        <f t="shared" si="13"/>
        <v>Комбинация приборов2192-3801010-20</v>
      </c>
    </row>
    <row r="432" spans="1:9" s="2" customFormat="1" ht="12.75" x14ac:dyDescent="0.2">
      <c r="A432" s="40" t="str">
        <f t="shared" si="12"/>
        <v>Комбинация приборов2192-3801010-40</v>
      </c>
      <c r="B432" s="82"/>
      <c r="C432" s="82" t="s">
        <v>486</v>
      </c>
      <c r="D432" s="37" t="s">
        <v>503</v>
      </c>
      <c r="E432" s="12">
        <v>8000</v>
      </c>
      <c r="F432" s="105" t="str">
        <f>IFERROR(IFERROR(VLOOKUP(D432,Кат!$I:$J,2,0),VLOOKUP(A432,Кат!$I:$J,2,0)),"")</f>
        <v/>
      </c>
      <c r="G432" s="105" t="str">
        <f>IFERROR(IFERROR(INDEX(Кат!$A:$A,MATCH(Прайс!D432,Кат!$I:$I,0)),INDEX(Кат!$A:$A,MATCH(A432,Кат!$I:$I,0))),"")</f>
        <v/>
      </c>
      <c r="H432" s="105" t="str">
        <f>IFERROR(IFERROR(INDEX(Кат!$B:$B,MATCH(Прайс!D432,Кат!$I:$I,0)),INDEX(Кат!$B:$B,MATCH(A432,Кат!$I:$I,0))),"")</f>
        <v/>
      </c>
      <c r="I432" s="2" t="str">
        <f t="shared" si="13"/>
        <v>Комбинация приборов2192-3801010-40</v>
      </c>
    </row>
    <row r="433" spans="1:9" s="2" customFormat="1" ht="12.75" x14ac:dyDescent="0.2">
      <c r="A433" s="40" t="str">
        <f t="shared" si="12"/>
        <v>Комбинация приборов2192-3801010-50 с навигацией</v>
      </c>
      <c r="B433" s="82"/>
      <c r="C433" s="82" t="s">
        <v>486</v>
      </c>
      <c r="D433" s="37" t="s">
        <v>504</v>
      </c>
      <c r="E433" s="12">
        <v>13000</v>
      </c>
      <c r="F433" s="105" t="str">
        <f>IFERROR(IFERROR(VLOOKUP(D433,Кат!$I:$J,2,0),VLOOKUP(A433,Кат!$I:$J,2,0)),"")</f>
        <v/>
      </c>
      <c r="G433" s="105" t="str">
        <f>IFERROR(IFERROR(INDEX(Кат!$A:$A,MATCH(Прайс!D433,Кат!$I:$I,0)),INDEX(Кат!$A:$A,MATCH(A433,Кат!$I:$I,0))),"")</f>
        <v/>
      </c>
      <c r="H433" s="105" t="str">
        <f>IFERROR(IFERROR(INDEX(Кат!$B:$B,MATCH(Прайс!D433,Кат!$I:$I,0)),INDEX(Кат!$B:$B,MATCH(A433,Кат!$I:$I,0))),"")</f>
        <v/>
      </c>
      <c r="I433" s="2" t="str">
        <f t="shared" si="13"/>
        <v>Комбинация приборов2192-3801010-50 с навигацией</v>
      </c>
    </row>
    <row r="434" spans="1:9" s="2" customFormat="1" ht="12.75" x14ac:dyDescent="0.2">
      <c r="A434" s="40" t="str">
        <f t="shared" si="12"/>
        <v>Комбинация приборов2192-3801010-70</v>
      </c>
      <c r="B434" s="82"/>
      <c r="C434" s="82" t="s">
        <v>486</v>
      </c>
      <c r="D434" s="37" t="s">
        <v>505</v>
      </c>
      <c r="E434" s="12">
        <v>8000</v>
      </c>
      <c r="F434" s="105" t="str">
        <f>IFERROR(IFERROR(VLOOKUP(D434,Кат!$I:$J,2,0),VLOOKUP(A434,Кат!$I:$J,2,0)),"")</f>
        <v/>
      </c>
      <c r="G434" s="105" t="str">
        <f>IFERROR(IFERROR(INDEX(Кат!$A:$A,MATCH(Прайс!D434,Кат!$I:$I,0)),INDEX(Кат!$A:$A,MATCH(A434,Кат!$I:$I,0))),"")</f>
        <v/>
      </c>
      <c r="H434" s="105" t="str">
        <f>IFERROR(IFERROR(INDEX(Кат!$B:$B,MATCH(Прайс!D434,Кат!$I:$I,0)),INDEX(Кат!$B:$B,MATCH(A434,Кат!$I:$I,0))),"")</f>
        <v/>
      </c>
      <c r="I434" s="2" t="str">
        <f t="shared" si="13"/>
        <v>Комбинация приборов2192-3801010-70</v>
      </c>
    </row>
    <row r="435" spans="1:9" s="2" customFormat="1" ht="12.75" x14ac:dyDescent="0.2">
      <c r="A435" s="40" t="str">
        <f t="shared" si="12"/>
        <v>Комбинация приборов2192-3801010-80</v>
      </c>
      <c r="B435" s="82"/>
      <c r="C435" s="82" t="s">
        <v>486</v>
      </c>
      <c r="D435" s="37" t="s">
        <v>506</v>
      </c>
      <c r="E435" s="12">
        <v>8000</v>
      </c>
      <c r="F435" s="105" t="str">
        <f>IFERROR(IFERROR(VLOOKUP(D435,Кат!$I:$J,2,0),VLOOKUP(A435,Кат!$I:$J,2,0)),"")</f>
        <v/>
      </c>
      <c r="G435" s="105" t="str">
        <f>IFERROR(IFERROR(INDEX(Кат!$A:$A,MATCH(Прайс!D435,Кат!$I:$I,0)),INDEX(Кат!$A:$A,MATCH(A435,Кат!$I:$I,0))),"")</f>
        <v/>
      </c>
      <c r="H435" s="105" t="str">
        <f>IFERROR(IFERROR(INDEX(Кат!$B:$B,MATCH(Прайс!D435,Кат!$I:$I,0)),INDEX(Кат!$B:$B,MATCH(A435,Кат!$I:$I,0))),"")</f>
        <v/>
      </c>
      <c r="I435" s="2" t="str">
        <f t="shared" si="13"/>
        <v>Комбинация приборов2192-3801010-80</v>
      </c>
    </row>
    <row r="436" spans="1:9" s="2" customFormat="1" ht="12.75" x14ac:dyDescent="0.2">
      <c r="A436" s="40" t="str">
        <f t="shared" si="12"/>
        <v>Комбинация приборов248105500 R</v>
      </c>
      <c r="B436" s="82"/>
      <c r="C436" s="82" t="s">
        <v>486</v>
      </c>
      <c r="D436" s="37" t="s">
        <v>507</v>
      </c>
      <c r="E436" s="12">
        <v>8000</v>
      </c>
      <c r="F436" s="105" t="str">
        <f>IFERROR(IFERROR(VLOOKUP(D436,Кат!$I:$J,2,0),VLOOKUP(A436,Кат!$I:$J,2,0)),"")</f>
        <v/>
      </c>
      <c r="G436" s="105" t="str">
        <f>IFERROR(IFERROR(INDEX(Кат!$A:$A,MATCH(Прайс!D436,Кат!$I:$I,0)),INDEX(Кат!$A:$A,MATCH(A436,Кат!$I:$I,0))),"")</f>
        <v/>
      </c>
      <c r="H436" s="105" t="str">
        <f>IFERROR(IFERROR(INDEX(Кат!$B:$B,MATCH(Прайс!D436,Кат!$I:$I,0)),INDEX(Кат!$B:$B,MATCH(A436,Кат!$I:$I,0))),"")</f>
        <v/>
      </c>
      <c r="I436" s="2" t="str">
        <f t="shared" si="13"/>
        <v>Комбинация приборов248105500 R</v>
      </c>
    </row>
    <row r="437" spans="1:9" s="2" customFormat="1" ht="12.75" x14ac:dyDescent="0.2">
      <c r="A437" s="40" t="str">
        <f t="shared" si="12"/>
        <v>Комбинация приборов248109918 R</v>
      </c>
      <c r="B437" s="82"/>
      <c r="C437" s="82" t="s">
        <v>486</v>
      </c>
      <c r="D437" s="37" t="s">
        <v>508</v>
      </c>
      <c r="E437" s="12">
        <v>8000</v>
      </c>
      <c r="F437" s="105" t="str">
        <f>IFERROR(IFERROR(VLOOKUP(D437,Кат!$I:$J,2,0),VLOOKUP(A437,Кат!$I:$J,2,0)),"")</f>
        <v/>
      </c>
      <c r="G437" s="105" t="str">
        <f>IFERROR(IFERROR(INDEX(Кат!$A:$A,MATCH(Прайс!D437,Кат!$I:$I,0)),INDEX(Кат!$A:$A,MATCH(A437,Кат!$I:$I,0))),"")</f>
        <v/>
      </c>
      <c r="H437" s="105" t="str">
        <f>IFERROR(IFERROR(INDEX(Кат!$B:$B,MATCH(Прайс!D437,Кат!$I:$I,0)),INDEX(Кат!$B:$B,MATCH(A437,Кат!$I:$I,0))),"")</f>
        <v/>
      </c>
      <c r="I437" s="2" t="str">
        <f t="shared" si="13"/>
        <v>Комбинация приборов248109918 R</v>
      </c>
    </row>
    <row r="438" spans="1:9" s="2" customFormat="1" ht="12.75" x14ac:dyDescent="0.2">
      <c r="A438" s="40" t="str">
        <f t="shared" si="12"/>
        <v>Комбинация приборов8450005648 с навигацией</v>
      </c>
      <c r="B438" s="82"/>
      <c r="C438" s="82" t="s">
        <v>486</v>
      </c>
      <c r="D438" s="37" t="s">
        <v>509</v>
      </c>
      <c r="E438" s="12">
        <v>13000</v>
      </c>
      <c r="F438" s="105" t="str">
        <f>IFERROR(IFERROR(VLOOKUP(D438,Кат!$I:$J,2,0),VLOOKUP(A438,Кат!$I:$J,2,0)),"")</f>
        <v/>
      </c>
      <c r="G438" s="105" t="str">
        <f>IFERROR(IFERROR(INDEX(Кат!$A:$A,MATCH(Прайс!D438,Кат!$I:$I,0)),INDEX(Кат!$A:$A,MATCH(A438,Кат!$I:$I,0))),"")</f>
        <v/>
      </c>
      <c r="H438" s="105" t="str">
        <f>IFERROR(IFERROR(INDEX(Кат!$B:$B,MATCH(Прайс!D438,Кат!$I:$I,0)),INDEX(Кат!$B:$B,MATCH(A438,Кат!$I:$I,0))),"")</f>
        <v/>
      </c>
      <c r="I438" s="2" t="str">
        <f t="shared" si="13"/>
        <v>Комбинация приборов8450005648 с навигацией</v>
      </c>
    </row>
    <row r="439" spans="1:9" s="2" customFormat="1" ht="12.75" x14ac:dyDescent="0.2">
      <c r="A439" s="40" t="str">
        <f t="shared" si="12"/>
        <v>Изолента тряпичная мягкая (ворсистая) 19 мм ширина толщина рулона 90 мм</v>
      </c>
      <c r="B439" s="82"/>
      <c r="C439" s="82" t="s">
        <v>510</v>
      </c>
      <c r="D439" s="82"/>
      <c r="E439" s="12">
        <v>200</v>
      </c>
      <c r="F439" s="105" t="str">
        <f>IFERROR(IFERROR(VLOOKUP(D439,Кат!$I:$J,2,0),VLOOKUP(A439,Кат!$I:$J,2,0)),"")</f>
        <v/>
      </c>
      <c r="G439" s="105" t="str">
        <f>IFERROR(IFERROR(INDEX(Кат!$A:$A,MATCH(Прайс!D439,Кат!$I:$I,0)),INDEX(Кат!$A:$A,MATCH(A439,Кат!$I:$I,0))),"")</f>
        <v/>
      </c>
      <c r="H439" s="105" t="str">
        <f>IFERROR(IFERROR(INDEX(Кат!$B:$B,MATCH(Прайс!D439,Кат!$I:$I,0)),INDEX(Кат!$B:$B,MATCH(A439,Кат!$I:$I,0))),"")</f>
        <v/>
      </c>
      <c r="I439" s="2" t="str">
        <f t="shared" si="13"/>
        <v>Изолента тряпичная мягкая (ворсистая) 19 мм ширина толщина рулона 90 мм</v>
      </c>
    </row>
    <row r="440" spans="1:9" s="2" customFormat="1" ht="12.75" x14ac:dyDescent="0.2">
      <c r="A440" s="40" t="str">
        <f t="shared" si="12"/>
        <v>Изолента тряпичная плащевка 19 мм ширина толщина рулона 88 мм</v>
      </c>
      <c r="B440" s="82"/>
      <c r="C440" s="82" t="s">
        <v>511</v>
      </c>
      <c r="D440" s="82"/>
      <c r="E440" s="12">
        <v>200</v>
      </c>
      <c r="F440" s="105" t="str">
        <f>IFERROR(IFERROR(VLOOKUP(D440,Кат!$I:$J,2,0),VLOOKUP(A440,Кат!$I:$J,2,0)),"")</f>
        <v/>
      </c>
      <c r="G440" s="105" t="str">
        <f>IFERROR(IFERROR(INDEX(Кат!$A:$A,MATCH(Прайс!D440,Кат!$I:$I,0)),INDEX(Кат!$A:$A,MATCH(A440,Кат!$I:$I,0))),"")</f>
        <v/>
      </c>
      <c r="H440" s="105" t="str">
        <f>IFERROR(IFERROR(INDEX(Кат!$B:$B,MATCH(Прайс!D440,Кат!$I:$I,0)),INDEX(Кат!$B:$B,MATCH(A440,Кат!$I:$I,0))),"")</f>
        <v/>
      </c>
      <c r="I440" s="2" t="str">
        <f t="shared" si="13"/>
        <v>Изолента тряпичная плащевка 19 мм ширина толщина рулона 88 мм</v>
      </c>
    </row>
    <row r="441" spans="1:9" s="2" customFormat="1" ht="12.75" x14ac:dyDescent="0.2">
      <c r="A441" s="40" t="str">
        <f t="shared" si="12"/>
        <v>Изолента ПВХ 19 мм ширина толщина рулона 68 мм</v>
      </c>
      <c r="B441" s="82"/>
      <c r="C441" s="82" t="s">
        <v>512</v>
      </c>
      <c r="D441" s="82"/>
      <c r="E441" s="12">
        <v>60</v>
      </c>
      <c r="F441" s="105" t="str">
        <f>IFERROR(IFERROR(VLOOKUP(D441,Кат!$I:$J,2,0),VLOOKUP(A441,Кат!$I:$J,2,0)),"")</f>
        <v/>
      </c>
      <c r="G441" s="105" t="str">
        <f>IFERROR(IFERROR(INDEX(Кат!$A:$A,MATCH(Прайс!D441,Кат!$I:$I,0)),INDEX(Кат!$A:$A,MATCH(A441,Кат!$I:$I,0))),"")</f>
        <v/>
      </c>
      <c r="H441" s="105" t="str">
        <f>IFERROR(IFERROR(INDEX(Кат!$B:$B,MATCH(Прайс!D441,Кат!$I:$I,0)),INDEX(Кат!$B:$B,MATCH(A441,Кат!$I:$I,0))),"")</f>
        <v/>
      </c>
      <c r="I441" s="2" t="str">
        <f t="shared" si="13"/>
        <v>Изолента ПВХ 19 мм ширина толщина рулона 68 мм</v>
      </c>
    </row>
    <row r="442" spans="1:9" s="2" customFormat="1" ht="12.75" x14ac:dyDescent="0.2">
      <c r="A442" s="40" t="str">
        <f t="shared" si="12"/>
        <v>Зеленый разъем комбинации приборов без проводов GERMANY</v>
      </c>
      <c r="B442" s="82"/>
      <c r="C442" s="82" t="s">
        <v>513</v>
      </c>
      <c r="D442" s="82"/>
      <c r="E442" s="12">
        <v>260</v>
      </c>
      <c r="F442" s="105" t="str">
        <f>IFERROR(IFERROR(VLOOKUP(D442,Кат!$I:$J,2,0),VLOOKUP(A442,Кат!$I:$J,2,0)),"")</f>
        <v>сергей проводка</v>
      </c>
      <c r="G442" s="105">
        <f>IFERROR(IFERROR(INDEX(Кат!$A:$A,MATCH(Прайс!D442,Кат!$I:$I,0)),INDEX(Кат!$A:$A,MATCH(A442,Кат!$I:$I,0))),"")</f>
        <v>160419</v>
      </c>
      <c r="H442" s="105">
        <f>IFERROR(IFERROR(INDEX(Кат!$B:$B,MATCH(Прайс!D442,Кат!$I:$I,0)),INDEX(Кат!$B:$B,MATCH(A442,Кат!$I:$I,0))),"")</f>
        <v>125475</v>
      </c>
      <c r="I442" s="2" t="str">
        <f t="shared" si="13"/>
        <v>Зеленый разъем комбинации приборов без проводов GERMANY</v>
      </c>
    </row>
    <row r="443" spans="1:9" s="2" customFormat="1" ht="12.75" x14ac:dyDescent="0.2">
      <c r="A443" s="40" t="str">
        <f t="shared" si="12"/>
        <v>11186Электро-механический усилитель руля</v>
      </c>
      <c r="B443" s="82">
        <v>11186</v>
      </c>
      <c r="C443" s="82" t="s">
        <v>514</v>
      </c>
      <c r="D443" s="82"/>
      <c r="E443" s="12">
        <v>37000</v>
      </c>
      <c r="F443" s="105" t="str">
        <f>IFERROR(IFERROR(VLOOKUP(D443,Кат!$I:$J,2,0),VLOOKUP(A443,Кат!$I:$J,2,0)),"")</f>
        <v/>
      </c>
      <c r="G443" s="105" t="str">
        <f>IFERROR(IFERROR(INDEX(Кат!$A:$A,MATCH(Прайс!D443,Кат!$I:$I,0)),INDEX(Кат!$A:$A,MATCH(A443,Кат!$I:$I,0))),"")</f>
        <v/>
      </c>
      <c r="H443" s="105" t="str">
        <f>IFERROR(IFERROR(INDEX(Кат!$B:$B,MATCH(Прайс!D443,Кат!$I:$I,0)),INDEX(Кат!$B:$B,MATCH(A443,Кат!$I:$I,0))),"")</f>
        <v/>
      </c>
      <c r="I443" s="2" t="str">
        <f t="shared" si="13"/>
        <v>11186Электро-механический усилитель руля</v>
      </c>
    </row>
    <row r="444" spans="1:9" s="2" customFormat="1" ht="12.75" x14ac:dyDescent="0.2">
      <c r="A444" s="40" t="str">
        <f t="shared" si="12"/>
        <v>1117-02Электро-механический усилитель руля</v>
      </c>
      <c r="B444" s="82" t="s">
        <v>515</v>
      </c>
      <c r="C444" s="82" t="s">
        <v>514</v>
      </c>
      <c r="D444" s="82"/>
      <c r="E444" s="12">
        <v>37000</v>
      </c>
      <c r="F444" s="105" t="str">
        <f>IFERROR(IFERROR(VLOOKUP(D444,Кат!$I:$J,2,0),VLOOKUP(A444,Кат!$I:$J,2,0)),"")</f>
        <v/>
      </c>
      <c r="G444" s="105" t="str">
        <f>IFERROR(IFERROR(INDEX(Кат!$A:$A,MATCH(Прайс!D444,Кат!$I:$I,0)),INDEX(Кат!$A:$A,MATCH(A444,Кат!$I:$I,0))),"")</f>
        <v/>
      </c>
      <c r="H444" s="105" t="str">
        <f>IFERROR(IFERROR(INDEX(Кат!$B:$B,MATCH(Прайс!D444,Кат!$I:$I,0)),INDEX(Кат!$B:$B,MATCH(A444,Кат!$I:$I,0))),"")</f>
        <v/>
      </c>
      <c r="I444" s="2" t="str">
        <f t="shared" si="13"/>
        <v>1117-02Электро-механический усилитель руля</v>
      </c>
    </row>
    <row r="445" spans="1:9" s="2" customFormat="1" ht="12.75" x14ac:dyDescent="0.2">
      <c r="A445" s="40" t="str">
        <f t="shared" si="12"/>
        <v>2172Электро-механический усилитель руля</v>
      </c>
      <c r="B445" s="82">
        <v>2172</v>
      </c>
      <c r="C445" s="82" t="s">
        <v>514</v>
      </c>
      <c r="D445" s="82"/>
      <c r="E445" s="12">
        <v>37000</v>
      </c>
      <c r="F445" s="105" t="str">
        <f>IFERROR(IFERROR(VLOOKUP(D445,Кат!$I:$J,2,0),VLOOKUP(A445,Кат!$I:$J,2,0)),"")</f>
        <v/>
      </c>
      <c r="G445" s="105" t="str">
        <f>IFERROR(IFERROR(INDEX(Кат!$A:$A,MATCH(Прайс!D445,Кат!$I:$I,0)),INDEX(Кат!$A:$A,MATCH(A445,Кат!$I:$I,0))),"")</f>
        <v/>
      </c>
      <c r="H445" s="105" t="str">
        <f>IFERROR(IFERROR(INDEX(Кат!$B:$B,MATCH(Прайс!D445,Кат!$I:$I,0)),INDEX(Кат!$B:$B,MATCH(A445,Кат!$I:$I,0))),"")</f>
        <v/>
      </c>
      <c r="I445" s="2" t="str">
        <f t="shared" si="13"/>
        <v>2172Электро-механический усилитель руля</v>
      </c>
    </row>
    <row r="446" spans="1:9" s="2" customFormat="1" ht="12.75" x14ac:dyDescent="0.2">
      <c r="A446" s="40" t="str">
        <f t="shared" si="12"/>
        <v>LADA ГРАНТА FLЭлектро-механический усилитель руля</v>
      </c>
      <c r="B446" s="82" t="s">
        <v>516</v>
      </c>
      <c r="C446" s="82" t="s">
        <v>514</v>
      </c>
      <c r="D446" s="82"/>
      <c r="E446" s="12">
        <v>37000</v>
      </c>
      <c r="F446" s="105" t="str">
        <f>IFERROR(IFERROR(VLOOKUP(D446,Кат!$I:$J,2,0),VLOOKUP(A446,Кат!$I:$J,2,0)),"")</f>
        <v/>
      </c>
      <c r="G446" s="105" t="str">
        <f>IFERROR(IFERROR(INDEX(Кат!$A:$A,MATCH(Прайс!D446,Кат!$I:$I,0)),INDEX(Кат!$A:$A,MATCH(A446,Кат!$I:$I,0))),"")</f>
        <v/>
      </c>
      <c r="H446" s="105" t="str">
        <f>IFERROR(IFERROR(INDEX(Кат!$B:$B,MATCH(Прайс!D446,Кат!$I:$I,0)),INDEX(Кат!$B:$B,MATCH(A446,Кат!$I:$I,0))),"")</f>
        <v/>
      </c>
      <c r="I446" s="2" t="str">
        <f t="shared" si="13"/>
        <v>LADA ГРАНТА FLЭлектро-механический усилитель руля</v>
      </c>
    </row>
    <row r="447" spans="1:9" s="2" customFormat="1" ht="12.75" x14ac:dyDescent="0.2">
      <c r="A447" s="40" t="str">
        <f t="shared" si="12"/>
        <v>X-RAYЭлектро-механический усилитель руля</v>
      </c>
      <c r="B447" s="82" t="s">
        <v>517</v>
      </c>
      <c r="C447" s="82" t="s">
        <v>514</v>
      </c>
      <c r="D447" s="82"/>
      <c r="E447" s="12">
        <v>45000</v>
      </c>
      <c r="F447" s="105" t="str">
        <f>IFERROR(IFERROR(VLOOKUP(D447,Кат!$I:$J,2,0),VLOOKUP(A447,Кат!$I:$J,2,0)),"")</f>
        <v/>
      </c>
      <c r="G447" s="105" t="str">
        <f>IFERROR(IFERROR(INDEX(Кат!$A:$A,MATCH(Прайс!D447,Кат!$I:$I,0)),INDEX(Кат!$A:$A,MATCH(A447,Кат!$I:$I,0))),"")</f>
        <v/>
      </c>
      <c r="H447" s="105" t="str">
        <f>IFERROR(IFERROR(INDEX(Кат!$B:$B,MATCH(Прайс!D447,Кат!$I:$I,0)),INDEX(Кат!$B:$B,MATCH(A447,Кат!$I:$I,0))),"")</f>
        <v/>
      </c>
      <c r="I447" s="2" t="str">
        <f t="shared" si="13"/>
        <v>X-RAYЭлектро-механический усилитель руля</v>
      </c>
    </row>
    <row r="448" spans="1:9" s="2" customFormat="1" ht="12.75" x14ac:dyDescent="0.2">
      <c r="A448" s="40" t="str">
        <f t="shared" si="12"/>
        <v>VestaЭлектро-механический усилитель руля</v>
      </c>
      <c r="B448" s="82" t="s">
        <v>518</v>
      </c>
      <c r="C448" s="82" t="s">
        <v>514</v>
      </c>
      <c r="D448" s="82"/>
      <c r="E448" s="12">
        <v>45000</v>
      </c>
      <c r="F448" s="105" t="str">
        <f>IFERROR(IFERROR(VLOOKUP(D448,Кат!$I:$J,2,0),VLOOKUP(A448,Кат!$I:$J,2,0)),"")</f>
        <v/>
      </c>
      <c r="G448" s="105" t="str">
        <f>IFERROR(IFERROR(INDEX(Кат!$A:$A,MATCH(Прайс!D448,Кат!$I:$I,0)),INDEX(Кат!$A:$A,MATCH(A448,Кат!$I:$I,0))),"")</f>
        <v/>
      </c>
      <c r="H448" s="105" t="str">
        <f>IFERROR(IFERROR(INDEX(Кат!$B:$B,MATCH(Прайс!D448,Кат!$I:$I,0)),INDEX(Кат!$B:$B,MATCH(A448,Кат!$I:$I,0))),"")</f>
        <v/>
      </c>
      <c r="I448" s="2" t="str">
        <f t="shared" si="13"/>
        <v>VestaЭлектро-механический усилитель руля</v>
      </c>
    </row>
    <row r="449" spans="1:9" s="2" customFormat="1" ht="12.75" x14ac:dyDescent="0.2">
      <c r="A449" s="40" t="str">
        <f t="shared" si="12"/>
        <v>Электро корректор фар 2190-2110</v>
      </c>
      <c r="B449" s="82"/>
      <c r="C449" s="82" t="s">
        <v>519</v>
      </c>
      <c r="D449" s="82"/>
      <c r="E449" s="12">
        <v>3500</v>
      </c>
      <c r="F449" s="105" t="str">
        <f>IFERROR(IFERROR(VLOOKUP(D449,Кат!$I:$J,2,0),VLOOKUP(A449,Кат!$I:$J,2,0)),"")</f>
        <v/>
      </c>
      <c r="G449" s="105" t="str">
        <f>IFERROR(IFERROR(INDEX(Кат!$A:$A,MATCH(Прайс!D449,Кат!$I:$I,0)),INDEX(Кат!$A:$A,MATCH(A449,Кат!$I:$I,0))),"")</f>
        <v/>
      </c>
      <c r="H449" s="105" t="str">
        <f>IFERROR(IFERROR(INDEX(Кат!$B:$B,MATCH(Прайс!D449,Кат!$I:$I,0)),INDEX(Кат!$B:$B,MATCH(A449,Кат!$I:$I,0))),"")</f>
        <v/>
      </c>
      <c r="I449" s="2" t="str">
        <f t="shared" si="13"/>
        <v>Электро корректор фар 2190-2110</v>
      </c>
    </row>
    <row r="450" spans="1:9" s="2" customFormat="1" ht="12.75" x14ac:dyDescent="0.2">
      <c r="A450" s="40" t="str">
        <f t="shared" si="12"/>
        <v>Электро корректор фар 2109</v>
      </c>
      <c r="B450" s="82"/>
      <c r="C450" s="82" t="s">
        <v>520</v>
      </c>
      <c r="D450" s="82"/>
      <c r="E450" s="12">
        <v>3500</v>
      </c>
      <c r="F450" s="105" t="str">
        <f>IFERROR(IFERROR(VLOOKUP(D450,Кат!$I:$J,2,0),VLOOKUP(A450,Кат!$I:$J,2,0)),"")</f>
        <v/>
      </c>
      <c r="G450" s="105" t="str">
        <f>IFERROR(IFERROR(INDEX(Кат!$A:$A,MATCH(Прайс!D450,Кат!$I:$I,0)),INDEX(Кат!$A:$A,MATCH(A450,Кат!$I:$I,0))),"")</f>
        <v/>
      </c>
      <c r="H450" s="105" t="str">
        <f>IFERROR(IFERROR(INDEX(Кат!$B:$B,MATCH(Прайс!D450,Кат!$I:$I,0)),INDEX(Кат!$B:$B,MATCH(A450,Кат!$I:$I,0))),"")</f>
        <v/>
      </c>
      <c r="I450" s="2" t="str">
        <f t="shared" si="13"/>
        <v>Электро корректор фар 2109</v>
      </c>
    </row>
    <row r="451" spans="1:9" s="2" customFormat="1" ht="12.75" x14ac:dyDescent="0.2">
      <c r="A451" s="40" t="str">
        <f t="shared" ref="A451:A485" si="14">_xlfn.CONCAT(B451:D451)</f>
        <v>Блок монтаж 2106 большой (завод)</v>
      </c>
      <c r="B451" s="82"/>
      <c r="C451" s="82" t="s">
        <v>521</v>
      </c>
      <c r="D451" s="82"/>
      <c r="E451" s="12">
        <v>450</v>
      </c>
      <c r="F451" s="105" t="str">
        <f>IFERROR(IFERROR(VLOOKUP(D451,Кат!$I:$J,2,0),VLOOKUP(A451,Кат!$I:$J,2,0)),"")</f>
        <v/>
      </c>
      <c r="G451" s="105" t="str">
        <f>IFERROR(IFERROR(INDEX(Кат!$A:$A,MATCH(Прайс!D451,Кат!$I:$I,0)),INDEX(Кат!$A:$A,MATCH(A451,Кат!$I:$I,0))),"")</f>
        <v/>
      </c>
      <c r="H451" s="105" t="str">
        <f>IFERROR(IFERROR(INDEX(Кат!$B:$B,MATCH(Прайс!D451,Кат!$I:$I,0)),INDEX(Кат!$B:$B,MATCH(A451,Кат!$I:$I,0))),"")</f>
        <v/>
      </c>
      <c r="I451" s="2" t="str">
        <f t="shared" ref="I451:I474" si="15">_xlfn.CONCAT(B451:D451)</f>
        <v>Блок монтаж 2106 большой (завод)</v>
      </c>
    </row>
    <row r="452" spans="1:9" s="2" customFormat="1" ht="12.75" x14ac:dyDescent="0.2">
      <c r="A452" s="40" t="str">
        <f t="shared" si="14"/>
        <v>Блок монтаж 2106 малый (завод)</v>
      </c>
      <c r="B452" s="82"/>
      <c r="C452" s="82" t="s">
        <v>522</v>
      </c>
      <c r="D452" s="82"/>
      <c r="E452" s="12">
        <v>450</v>
      </c>
      <c r="F452" s="105" t="str">
        <f>IFERROR(IFERROR(VLOOKUP(D452,Кат!$I:$J,2,0),VLOOKUP(A452,Кат!$I:$J,2,0)),"")</f>
        <v/>
      </c>
      <c r="G452" s="105" t="str">
        <f>IFERROR(IFERROR(INDEX(Кат!$A:$A,MATCH(Прайс!D452,Кат!$I:$I,0)),INDEX(Кат!$A:$A,MATCH(A452,Кат!$I:$I,0))),"")</f>
        <v/>
      </c>
      <c r="H452" s="105" t="str">
        <f>IFERROR(IFERROR(INDEX(Кат!$B:$B,MATCH(Прайс!D452,Кат!$I:$I,0)),INDEX(Кат!$B:$B,MATCH(A452,Кат!$I:$I,0))),"")</f>
        <v/>
      </c>
      <c r="I452" s="2" t="str">
        <f t="shared" si="15"/>
        <v>Блок монтаж 2106 малый (завод)</v>
      </c>
    </row>
    <row r="453" spans="1:9" s="2" customFormat="1" ht="12.75" x14ac:dyDescent="0.2">
      <c r="A453" s="40" t="str">
        <f t="shared" si="14"/>
        <v>Блок монтаж 2106 большой (евро)</v>
      </c>
      <c r="B453" s="82"/>
      <c r="C453" s="82" t="s">
        <v>523</v>
      </c>
      <c r="D453" s="82"/>
      <c r="E453" s="12">
        <v>450</v>
      </c>
      <c r="F453" s="105" t="str">
        <f>IFERROR(IFERROR(VLOOKUP(D453,Кат!$I:$J,2,0),VLOOKUP(A453,Кат!$I:$J,2,0)),"")</f>
        <v/>
      </c>
      <c r="G453" s="105" t="str">
        <f>IFERROR(IFERROR(INDEX(Кат!$A:$A,MATCH(Прайс!D453,Кат!$I:$I,0)),INDEX(Кат!$A:$A,MATCH(A453,Кат!$I:$I,0))),"")</f>
        <v/>
      </c>
      <c r="H453" s="105" t="str">
        <f>IFERROR(IFERROR(INDEX(Кат!$B:$B,MATCH(Прайс!D453,Кат!$I:$I,0)),INDEX(Кат!$B:$B,MATCH(A453,Кат!$I:$I,0))),"")</f>
        <v/>
      </c>
      <c r="I453" s="2" t="str">
        <f t="shared" si="15"/>
        <v>Блок монтаж 2106 большой (евро)</v>
      </c>
    </row>
    <row r="454" spans="1:9" s="2" customFormat="1" ht="12.75" x14ac:dyDescent="0.2">
      <c r="A454" s="40" t="str">
        <f t="shared" si="14"/>
        <v>Блок монтаж 2106 малый (евро)</v>
      </c>
      <c r="B454" s="82"/>
      <c r="C454" s="82" t="s">
        <v>1451</v>
      </c>
      <c r="D454" s="82"/>
      <c r="E454" s="12">
        <v>450</v>
      </c>
      <c r="F454" s="105" t="str">
        <f>IFERROR(IFERROR(VLOOKUP(D454,Кат!$I:$J,2,0),VLOOKUP(A454,Кат!$I:$J,2,0)),"")</f>
        <v/>
      </c>
      <c r="G454" s="105" t="str">
        <f>IFERROR(IFERROR(INDEX(Кат!$A:$A,MATCH(Прайс!D454,Кат!$I:$I,0)),INDEX(Кат!$A:$A,MATCH(A454,Кат!$I:$I,0))),"")</f>
        <v/>
      </c>
      <c r="H454" s="105" t="str">
        <f>IFERROR(IFERROR(INDEX(Кат!$B:$B,MATCH(Прайс!D454,Кат!$I:$I,0)),INDEX(Кат!$B:$B,MATCH(A454,Кат!$I:$I,0))),"")</f>
        <v/>
      </c>
      <c r="I454" s="2" t="str">
        <f t="shared" si="15"/>
        <v>Блок монтаж 2106 малый (евро)</v>
      </c>
    </row>
    <row r="455" spans="1:9" s="2" customFormat="1" ht="12.75" x14ac:dyDescent="0.2">
      <c r="A455" s="40" t="str">
        <f t="shared" si="14"/>
        <v>УЗС(Устройство защиты стартера)</v>
      </c>
      <c r="B455" s="82"/>
      <c r="C455" s="82" t="s">
        <v>1452</v>
      </c>
      <c r="D455" s="82"/>
      <c r="E455" s="12">
        <v>350</v>
      </c>
      <c r="F455" s="105" t="str">
        <f>IFERROR(IFERROR(VLOOKUP(D455,Кат!$I:$J,2,0),VLOOKUP(A455,Кат!$I:$J,2,0)),"")</f>
        <v/>
      </c>
      <c r="G455" s="105" t="str">
        <f>IFERROR(IFERROR(INDEX(Кат!$A:$A,MATCH(Прайс!D455,Кат!$I:$I,0)),INDEX(Кат!$A:$A,MATCH(A455,Кат!$I:$I,0))),"")</f>
        <v/>
      </c>
      <c r="H455" s="105" t="str">
        <f>IFERROR(IFERROR(INDEX(Кат!$B:$B,MATCH(Прайс!D455,Кат!$I:$I,0)),INDEX(Кат!$B:$B,MATCH(A455,Кат!$I:$I,0))),"")</f>
        <v/>
      </c>
      <c r="I455" s="2" t="str">
        <f t="shared" si="15"/>
        <v>УЗС(Устройство защиты стартера)</v>
      </c>
    </row>
    <row r="456" spans="1:9" s="2" customFormat="1" ht="12.75" x14ac:dyDescent="0.2">
      <c r="A456" s="40" t="str">
        <f t="shared" si="14"/>
        <v>Монтажный набор обогрева лобового стекла 2190;118</v>
      </c>
      <c r="B456" s="82"/>
      <c r="C456" s="82" t="s">
        <v>540</v>
      </c>
      <c r="D456" s="82"/>
      <c r="E456" s="12">
        <v>4000</v>
      </c>
      <c r="F456" s="105" t="str">
        <f>IFERROR(IFERROR(VLOOKUP(D456,Кат!$I:$J,2,0),VLOOKUP(A456,Кат!$I:$J,2,0)),"")</f>
        <v/>
      </c>
      <c r="G456" s="105" t="str">
        <f>IFERROR(IFERROR(INDEX(Кат!$A:$A,MATCH(Прайс!D456,Кат!$I:$I,0)),INDEX(Кат!$A:$A,MATCH(A456,Кат!$I:$I,0))),"")</f>
        <v/>
      </c>
      <c r="H456" s="105" t="str">
        <f>IFERROR(IFERROR(INDEX(Кат!$B:$B,MATCH(Прайс!D456,Кат!$I:$I,0)),INDEX(Кат!$B:$B,MATCH(A456,Кат!$I:$I,0))),"")</f>
        <v/>
      </c>
      <c r="I456" s="2" t="str">
        <f t="shared" si="15"/>
        <v>Монтажный набор обогрева лобового стекла 2190;118</v>
      </c>
    </row>
    <row r="457" spans="1:9" s="2" customFormat="1" ht="12.75" x14ac:dyDescent="0.2">
      <c r="A457" s="40" t="str">
        <f t="shared" si="14"/>
        <v>Монтажный набор обогрева лобового стекла 2170;2123</v>
      </c>
      <c r="B457" s="82"/>
      <c r="C457" s="82" t="s">
        <v>541</v>
      </c>
      <c r="D457" s="82"/>
      <c r="E457" s="12">
        <v>5500</v>
      </c>
      <c r="F457" s="105" t="str">
        <f>IFERROR(IFERROR(VLOOKUP(D457,Кат!$I:$J,2,0),VLOOKUP(A457,Кат!$I:$J,2,0)),"")</f>
        <v/>
      </c>
      <c r="G457" s="105" t="str">
        <f>IFERROR(IFERROR(INDEX(Кат!$A:$A,MATCH(Прайс!D457,Кат!$I:$I,0)),INDEX(Кат!$A:$A,MATCH(A457,Кат!$I:$I,0))),"")</f>
        <v/>
      </c>
      <c r="H457" s="105" t="str">
        <f>IFERROR(IFERROR(INDEX(Кат!$B:$B,MATCH(Прайс!D457,Кат!$I:$I,0)),INDEX(Кат!$B:$B,MATCH(A457,Кат!$I:$I,0))),"")</f>
        <v/>
      </c>
      <c r="I457" s="2" t="str">
        <f t="shared" si="15"/>
        <v>Монтажный набор обогрева лобового стекла 2170;2123</v>
      </c>
    </row>
    <row r="458" spans="1:9" s="2" customFormat="1" ht="12.75" x14ac:dyDescent="0.2">
      <c r="A458" s="40" t="str">
        <f t="shared" si="14"/>
        <v>Набор для подключения "Волговских сигналов"</v>
      </c>
      <c r="B458" s="82"/>
      <c r="C458" s="82" t="s">
        <v>542</v>
      </c>
      <c r="D458" s="82"/>
      <c r="E458" s="12">
        <v>300</v>
      </c>
      <c r="F458" s="105" t="str">
        <f>IFERROR(IFERROR(VLOOKUP(D458,Кат!$I:$J,2,0),VLOOKUP(A458,Кат!$I:$J,2,0)),"")</f>
        <v/>
      </c>
      <c r="G458" s="105" t="str">
        <f>IFERROR(IFERROR(INDEX(Кат!$A:$A,MATCH(Прайс!D458,Кат!$I:$I,0)),INDEX(Кат!$A:$A,MATCH(A458,Кат!$I:$I,0))),"")</f>
        <v/>
      </c>
      <c r="H458" s="105" t="str">
        <f>IFERROR(IFERROR(INDEX(Кат!$B:$B,MATCH(Прайс!D458,Кат!$I:$I,0)),INDEX(Кат!$B:$B,MATCH(A458,Кат!$I:$I,0))),"")</f>
        <v/>
      </c>
      <c r="I458" s="2" t="str">
        <f t="shared" si="15"/>
        <v>Набор для подключения "Волговских сигналов"</v>
      </c>
    </row>
    <row r="459" spans="1:9" s="2" customFormat="1" ht="12.75" x14ac:dyDescent="0.2">
      <c r="A459" s="40" t="str">
        <f t="shared" si="14"/>
        <v>Набор для подключения противотуманных фар-(проводка;реле;кнопка) 2114</v>
      </c>
      <c r="B459" s="82"/>
      <c r="C459" s="82" t="s">
        <v>543</v>
      </c>
      <c r="D459" s="82"/>
      <c r="E459" s="12">
        <v>650</v>
      </c>
      <c r="F459" s="105" t="str">
        <f>IFERROR(IFERROR(VLOOKUP(D459,Кат!$I:$J,2,0),VLOOKUP(A459,Кат!$I:$J,2,0)),"")</f>
        <v/>
      </c>
      <c r="G459" s="105" t="str">
        <f>IFERROR(IFERROR(INDEX(Кат!$A:$A,MATCH(Прайс!D459,Кат!$I:$I,0)),INDEX(Кат!$A:$A,MATCH(A459,Кат!$I:$I,0))),"")</f>
        <v/>
      </c>
      <c r="H459" s="105" t="str">
        <f>IFERROR(IFERROR(INDEX(Кат!$B:$B,MATCH(Прайс!D459,Кат!$I:$I,0)),INDEX(Кат!$B:$B,MATCH(A459,Кат!$I:$I,0))),"")</f>
        <v/>
      </c>
      <c r="I459" s="2" t="str">
        <f t="shared" si="15"/>
        <v>Набор для подключения противотуманных фар-(проводка;реле;кнопка) 2114</v>
      </c>
    </row>
    <row r="460" spans="1:9" s="2" customFormat="1" ht="12.75" x14ac:dyDescent="0.2">
      <c r="A460" s="40" t="str">
        <f t="shared" si="14"/>
        <v>Набор для подключения противотуманных фар-(проводка;реле;кнопка) 2106</v>
      </c>
      <c r="B460" s="82"/>
      <c r="C460" s="82" t="s">
        <v>544</v>
      </c>
      <c r="D460" s="82"/>
      <c r="E460" s="12">
        <v>650</v>
      </c>
      <c r="F460" s="105" t="str">
        <f>IFERROR(IFERROR(VLOOKUP(D460,Кат!$I:$J,2,0),VLOOKUP(A460,Кат!$I:$J,2,0)),"")</f>
        <v/>
      </c>
      <c r="G460" s="105" t="str">
        <f>IFERROR(IFERROR(INDEX(Кат!$A:$A,MATCH(Прайс!D460,Кат!$I:$I,0)),INDEX(Кат!$A:$A,MATCH(A460,Кат!$I:$I,0))),"")</f>
        <v/>
      </c>
      <c r="H460" s="105" t="str">
        <f>IFERROR(IFERROR(INDEX(Кат!$B:$B,MATCH(Прайс!D460,Кат!$I:$I,0)),INDEX(Кат!$B:$B,MATCH(A460,Кат!$I:$I,0))),"")</f>
        <v/>
      </c>
      <c r="I460" s="2" t="str">
        <f t="shared" si="15"/>
        <v>Набор для подключения противотуманных фар-(проводка;реле;кнопка) 2106</v>
      </c>
    </row>
    <row r="461" spans="1:9" s="2" customFormat="1" ht="12.75" x14ac:dyDescent="0.2">
      <c r="A461" s="40" t="str">
        <f t="shared" si="14"/>
        <v>Набор для подключения противотуманных фар-(проводка;реле;кнопка) 2107</v>
      </c>
      <c r="B461" s="82"/>
      <c r="C461" s="82" t="s">
        <v>545</v>
      </c>
      <c r="D461" s="82"/>
      <c r="E461" s="12">
        <v>650</v>
      </c>
      <c r="F461" s="105" t="str">
        <f>IFERROR(IFERROR(VLOOKUP(D461,Кат!$I:$J,2,0),VLOOKUP(A461,Кат!$I:$J,2,0)),"")</f>
        <v/>
      </c>
      <c r="G461" s="105" t="str">
        <f>IFERROR(IFERROR(INDEX(Кат!$A:$A,MATCH(Прайс!D461,Кат!$I:$I,0)),INDEX(Кат!$A:$A,MATCH(A461,Кат!$I:$I,0))),"")</f>
        <v/>
      </c>
      <c r="H461" s="105" t="str">
        <f>IFERROR(IFERROR(INDEX(Кат!$B:$B,MATCH(Прайс!D461,Кат!$I:$I,0)),INDEX(Кат!$B:$B,MATCH(A461,Кат!$I:$I,0))),"")</f>
        <v/>
      </c>
      <c r="I461" s="2" t="str">
        <f t="shared" si="15"/>
        <v>Набор для подключения противотуманных фар-(проводка;реле;кнопка) 2107</v>
      </c>
    </row>
    <row r="462" spans="1:9" s="2" customFormat="1" ht="12.75" x14ac:dyDescent="0.2">
      <c r="A462" s="40" t="str">
        <f t="shared" si="14"/>
        <v>Набор для подключения противотуманных фар-(проводка;реле;кнопка) 2108</v>
      </c>
      <c r="B462" s="82"/>
      <c r="C462" s="82" t="s">
        <v>546</v>
      </c>
      <c r="D462" s="82"/>
      <c r="E462" s="12">
        <v>650</v>
      </c>
      <c r="F462" s="105" t="str">
        <f>IFERROR(IFERROR(VLOOKUP(D462,Кат!$I:$J,2,0),VLOOKUP(A462,Кат!$I:$J,2,0)),"")</f>
        <v/>
      </c>
      <c r="G462" s="105" t="str">
        <f>IFERROR(IFERROR(INDEX(Кат!$A:$A,MATCH(Прайс!D462,Кат!$I:$I,0)),INDEX(Кат!$A:$A,MATCH(A462,Кат!$I:$I,0))),"")</f>
        <v/>
      </c>
      <c r="H462" s="105" t="str">
        <f>IFERROR(IFERROR(INDEX(Кат!$B:$B,MATCH(Прайс!D462,Кат!$I:$I,0)),INDEX(Кат!$B:$B,MATCH(A462,Кат!$I:$I,0))),"")</f>
        <v/>
      </c>
      <c r="I462" s="2" t="str">
        <f t="shared" si="15"/>
        <v>Набор для подключения противотуманных фар-(проводка;реле;кнопка) 2108</v>
      </c>
    </row>
    <row r="463" spans="1:9" s="2" customFormat="1" ht="12.75" x14ac:dyDescent="0.2">
      <c r="A463" s="40" t="str">
        <f t="shared" si="14"/>
        <v>Набор для подключения противотуманных фар-(проводка;реле;кнопка) 2110</v>
      </c>
      <c r="B463" s="82"/>
      <c r="C463" s="82" t="s">
        <v>547</v>
      </c>
      <c r="D463" s="82"/>
      <c r="E463" s="12">
        <v>750</v>
      </c>
      <c r="F463" s="105" t="str">
        <f>IFERROR(IFERROR(VLOOKUP(D463,Кат!$I:$J,2,0),VLOOKUP(A463,Кат!$I:$J,2,0)),"")</f>
        <v/>
      </c>
      <c r="G463" s="105" t="str">
        <f>IFERROR(IFERROR(INDEX(Кат!$A:$A,MATCH(Прайс!D463,Кат!$I:$I,0)),INDEX(Кат!$A:$A,MATCH(A463,Кат!$I:$I,0))),"")</f>
        <v/>
      </c>
      <c r="H463" s="105" t="str">
        <f>IFERROR(IFERROR(INDEX(Кат!$B:$B,MATCH(Прайс!D463,Кат!$I:$I,0)),INDEX(Кат!$B:$B,MATCH(A463,Кат!$I:$I,0))),"")</f>
        <v/>
      </c>
      <c r="I463" s="2" t="str">
        <f t="shared" si="15"/>
        <v>Набор для подключения противотуманных фар-(проводка;реле;кнопка) 2110</v>
      </c>
    </row>
    <row r="464" spans="1:9" s="2" customFormat="1" ht="12.75" x14ac:dyDescent="0.2">
      <c r="A464" s="40" t="str">
        <f t="shared" si="14"/>
        <v>Набор для подключения противотуманных фар-(проводка;реле;кнопка) 2110 Е</v>
      </c>
      <c r="B464" s="82"/>
      <c r="C464" s="82" t="s">
        <v>548</v>
      </c>
      <c r="D464" s="82"/>
      <c r="E464" s="12">
        <v>750</v>
      </c>
      <c r="F464" s="105" t="str">
        <f>IFERROR(IFERROR(VLOOKUP(D464,Кат!$I:$J,2,0),VLOOKUP(A464,Кат!$I:$J,2,0)),"")</f>
        <v/>
      </c>
      <c r="G464" s="105" t="str">
        <f>IFERROR(IFERROR(INDEX(Кат!$A:$A,MATCH(Прайс!D464,Кат!$I:$I,0)),INDEX(Кат!$A:$A,MATCH(A464,Кат!$I:$I,0))),"")</f>
        <v/>
      </c>
      <c r="H464" s="105" t="str">
        <f>IFERROR(IFERROR(INDEX(Кат!$B:$B,MATCH(Прайс!D464,Кат!$I:$I,0)),INDEX(Кат!$B:$B,MATCH(A464,Кат!$I:$I,0))),"")</f>
        <v/>
      </c>
      <c r="I464" s="2" t="str">
        <f t="shared" si="15"/>
        <v>Набор для подключения противотуманных фар-(проводка;реле;кнопка) 2110 Е</v>
      </c>
    </row>
    <row r="465" spans="1:9" s="2" customFormat="1" ht="12.75" x14ac:dyDescent="0.2">
      <c r="A465" s="40" t="str">
        <f t="shared" si="14"/>
        <v>Набор для подключения противотуманных фар-(проводка;реле;кнопка) 118</v>
      </c>
      <c r="B465" s="82"/>
      <c r="C465" s="82" t="s">
        <v>549</v>
      </c>
      <c r="D465" s="82"/>
      <c r="E465" s="12">
        <v>750</v>
      </c>
      <c r="F465" s="105" t="str">
        <f>IFERROR(IFERROR(VLOOKUP(D465,Кат!$I:$J,2,0),VLOOKUP(A465,Кат!$I:$J,2,0)),"")</f>
        <v/>
      </c>
      <c r="G465" s="105" t="str">
        <f>IFERROR(IFERROR(INDEX(Кат!$A:$A,MATCH(Прайс!D465,Кат!$I:$I,0)),INDEX(Кат!$A:$A,MATCH(A465,Кат!$I:$I,0))),"")</f>
        <v/>
      </c>
      <c r="H465" s="105" t="str">
        <f>IFERROR(IFERROR(INDEX(Кат!$B:$B,MATCH(Прайс!D465,Кат!$I:$I,0)),INDEX(Кат!$B:$B,MATCH(A465,Кат!$I:$I,0))),"")</f>
        <v/>
      </c>
      <c r="I465" s="2" t="str">
        <f t="shared" si="15"/>
        <v>Набор для подключения противотуманных фар-(проводка;реле;кнопка) 118</v>
      </c>
    </row>
    <row r="466" spans="1:9" s="2" customFormat="1" ht="12.75" x14ac:dyDescent="0.2">
      <c r="A466" s="40" t="str">
        <f t="shared" si="14"/>
        <v>Набор для подключения противотуманных фар-(проводка;реле;кнопка) 2170</v>
      </c>
      <c r="B466" s="82"/>
      <c r="C466" s="82" t="s">
        <v>550</v>
      </c>
      <c r="D466" s="82"/>
      <c r="E466" s="12">
        <v>750</v>
      </c>
      <c r="F466" s="105" t="str">
        <f>IFERROR(IFERROR(VLOOKUP(D466,Кат!$I:$J,2,0),VLOOKUP(A466,Кат!$I:$J,2,0)),"")</f>
        <v/>
      </c>
      <c r="G466" s="105" t="str">
        <f>IFERROR(IFERROR(INDEX(Кат!$A:$A,MATCH(Прайс!D466,Кат!$I:$I,0)),INDEX(Кат!$A:$A,MATCH(A466,Кат!$I:$I,0))),"")</f>
        <v/>
      </c>
      <c r="H466" s="105" t="str">
        <f>IFERROR(IFERROR(INDEX(Кат!$B:$B,MATCH(Прайс!D466,Кат!$I:$I,0)),INDEX(Кат!$B:$B,MATCH(A466,Кат!$I:$I,0))),"")</f>
        <v/>
      </c>
      <c r="I466" s="2" t="str">
        <f t="shared" si="15"/>
        <v>Набор для подключения противотуманных фар-(проводка;реле;кнопка) 2170</v>
      </c>
    </row>
    <row r="467" spans="1:9" s="2" customFormat="1" ht="12.75" x14ac:dyDescent="0.2">
      <c r="A467" s="40" t="str">
        <f t="shared" si="14"/>
        <v>Набор для подключения противотуманных фар-(проводка;реле;кнопка) 2190</v>
      </c>
      <c r="B467" s="82"/>
      <c r="C467" s="82" t="s">
        <v>551</v>
      </c>
      <c r="D467" s="82"/>
      <c r="E467" s="12">
        <v>750</v>
      </c>
      <c r="F467" s="105" t="str">
        <f>IFERROR(IFERROR(VLOOKUP(D467,Кат!$I:$J,2,0),VLOOKUP(A467,Кат!$I:$J,2,0)),"")</f>
        <v/>
      </c>
      <c r="G467" s="105" t="str">
        <f>IFERROR(IFERROR(INDEX(Кат!$A:$A,MATCH(Прайс!D467,Кат!$I:$I,0)),INDEX(Кат!$A:$A,MATCH(A467,Кат!$I:$I,0))),"")</f>
        <v/>
      </c>
      <c r="H467" s="105" t="str">
        <f>IFERROR(IFERROR(INDEX(Кат!$B:$B,MATCH(Прайс!D467,Кат!$I:$I,0)),INDEX(Кат!$B:$B,MATCH(A467,Кат!$I:$I,0))),"")</f>
        <v/>
      </c>
      <c r="I467" s="2" t="str">
        <f t="shared" si="15"/>
        <v>Набор для подключения противотуманных фар-(проводка;реле;кнопка) 2190</v>
      </c>
    </row>
    <row r="468" spans="1:9" s="2" customFormat="1" ht="12.75" x14ac:dyDescent="0.2">
      <c r="A468" s="40" t="str">
        <f t="shared" si="14"/>
        <v>Набор для подключения противотуманных фар-(проводка;реле;кнопка) 2123</v>
      </c>
      <c r="B468" s="82"/>
      <c r="C468" s="82" t="s">
        <v>552</v>
      </c>
      <c r="D468" s="82"/>
      <c r="E468" s="12">
        <v>750</v>
      </c>
      <c r="F468" s="105" t="str">
        <f>IFERROR(IFERROR(VLOOKUP(D468,Кат!$I:$J,2,0),VLOOKUP(A468,Кат!$I:$J,2,0)),"")</f>
        <v/>
      </c>
      <c r="G468" s="105" t="str">
        <f>IFERROR(IFERROR(INDEX(Кат!$A:$A,MATCH(Прайс!D468,Кат!$I:$I,0)),INDEX(Кат!$A:$A,MATCH(A468,Кат!$I:$I,0))),"")</f>
        <v/>
      </c>
      <c r="H468" s="105" t="str">
        <f>IFERROR(IFERROR(INDEX(Кат!$B:$B,MATCH(Прайс!D468,Кат!$I:$I,0)),INDEX(Кат!$B:$B,MATCH(A468,Кат!$I:$I,0))),"")</f>
        <v/>
      </c>
      <c r="I468" s="2" t="str">
        <f t="shared" si="15"/>
        <v>Набор для подключения противотуманных фар-(проводка;реле;кнопка) 2123</v>
      </c>
    </row>
    <row r="469" spans="1:9" s="2" customFormat="1" ht="12.75" x14ac:dyDescent="0.2">
      <c r="A469" s="40" t="str">
        <f t="shared" si="14"/>
        <v>Набор для подключения противотуманных фар-(проводка;реле;кнопка) Vesta бюджет</v>
      </c>
      <c r="B469" s="82"/>
      <c r="C469" s="82" t="s">
        <v>553</v>
      </c>
      <c r="D469" s="82"/>
      <c r="E469" s="12">
        <v>800</v>
      </c>
      <c r="F469" s="105" t="str">
        <f>IFERROR(IFERROR(VLOOKUP(D469,Кат!$I:$J,2,0),VLOOKUP(A469,Кат!$I:$J,2,0)),"")</f>
        <v/>
      </c>
      <c r="G469" s="105" t="str">
        <f>IFERROR(IFERROR(INDEX(Кат!$A:$A,MATCH(Прайс!D469,Кат!$I:$I,0)),INDEX(Кат!$A:$A,MATCH(A469,Кат!$I:$I,0))),"")</f>
        <v/>
      </c>
      <c r="H469" s="105" t="str">
        <f>IFERROR(IFERROR(INDEX(Кат!$B:$B,MATCH(Прайс!D469,Кат!$I:$I,0)),INDEX(Кат!$B:$B,MATCH(A469,Кат!$I:$I,0))),"")</f>
        <v/>
      </c>
      <c r="I469" s="2" t="str">
        <f t="shared" si="15"/>
        <v>Набор для подключения противотуманных фар-(проводка;реле;кнопка) Vesta бюджет</v>
      </c>
    </row>
    <row r="470" spans="1:9" s="2" customFormat="1" ht="12.75" x14ac:dyDescent="0.2">
      <c r="A470" s="40" t="str">
        <f t="shared" si="14"/>
        <v>Набор для подключения противотуманных фар-(проводка;реле;кнопка) Vesta завод</v>
      </c>
      <c r="B470" s="82"/>
      <c r="C470" s="82" t="s">
        <v>554</v>
      </c>
      <c r="D470" s="82"/>
      <c r="E470" s="12">
        <v>3000</v>
      </c>
      <c r="F470" s="105" t="str">
        <f>IFERROR(IFERROR(VLOOKUP(D470,Кат!$I:$J,2,0),VLOOKUP(A470,Кат!$I:$J,2,0)),"")</f>
        <v/>
      </c>
      <c r="G470" s="105" t="str">
        <f>IFERROR(IFERROR(INDEX(Кат!$A:$A,MATCH(Прайс!D470,Кат!$I:$I,0)),INDEX(Кат!$A:$A,MATCH(A470,Кат!$I:$I,0))),"")</f>
        <v/>
      </c>
      <c r="H470" s="105" t="str">
        <f>IFERROR(IFERROR(INDEX(Кат!$B:$B,MATCH(Прайс!D470,Кат!$I:$I,0)),INDEX(Кат!$B:$B,MATCH(A470,Кат!$I:$I,0))),"")</f>
        <v/>
      </c>
      <c r="I470" s="2" t="str">
        <f t="shared" si="15"/>
        <v>Набор для подключения противотуманных фар-(проводка;реле;кнопка) Vesta завод</v>
      </c>
    </row>
    <row r="471" spans="1:9" s="2" customFormat="1" ht="12.75" x14ac:dyDescent="0.2">
      <c r="A471" s="40" t="str">
        <f t="shared" si="14"/>
        <v>Блок силовых предохранителей 2170(он же 2190)</v>
      </c>
      <c r="B471" s="82"/>
      <c r="C471" s="82" t="s">
        <v>859</v>
      </c>
      <c r="D471" s="82"/>
      <c r="E471" s="12">
        <v>1500</v>
      </c>
      <c r="F471" s="105" t="str">
        <f>IFERROR(IFERROR(VLOOKUP(D471,Кат!$I:$J,2,0),VLOOKUP(A471,Кат!$I:$J,2,0)),"")</f>
        <v/>
      </c>
      <c r="G471" s="105" t="str">
        <f>IFERROR(IFERROR(INDEX(Кат!$A:$A,MATCH(Прайс!D471,Кат!$I:$I,0)),INDEX(Кат!$A:$A,MATCH(A471,Кат!$I:$I,0))),"")</f>
        <v/>
      </c>
      <c r="H471" s="105" t="str">
        <f>IFERROR(IFERROR(INDEX(Кат!$B:$B,MATCH(Прайс!D471,Кат!$I:$I,0)),INDEX(Кат!$B:$B,MATCH(A471,Кат!$I:$I,0))),"")</f>
        <v/>
      </c>
      <c r="I471" s="2" t="str">
        <f t="shared" si="15"/>
        <v>Блок силовых предохранителей 2170(он же 2190)</v>
      </c>
    </row>
    <row r="472" spans="1:9" s="2" customFormat="1" ht="12.75" x14ac:dyDescent="0.2">
      <c r="A472" s="40" t="str">
        <f t="shared" si="14"/>
        <v>Крышка к блоку силовых предохранителей</v>
      </c>
      <c r="B472" s="82"/>
      <c r="C472" s="82" t="s">
        <v>860</v>
      </c>
      <c r="D472" s="82"/>
      <c r="E472" s="12">
        <v>150</v>
      </c>
      <c r="F472" s="105" t="str">
        <f>IFERROR(IFERROR(VLOOKUP(D472,Кат!$I:$J,2,0),VLOOKUP(A472,Кат!$I:$J,2,0)),"")</f>
        <v/>
      </c>
      <c r="G472" s="105" t="str">
        <f>IFERROR(IFERROR(INDEX(Кат!$A:$A,MATCH(Прайс!D472,Кат!$I:$I,0)),INDEX(Кат!$A:$A,MATCH(A472,Кат!$I:$I,0))),"")</f>
        <v/>
      </c>
      <c r="H472" s="105" t="str">
        <f>IFERROR(IFERROR(INDEX(Кат!$B:$B,MATCH(Прайс!D472,Кат!$I:$I,0)),INDEX(Кат!$B:$B,MATCH(A472,Кат!$I:$I,0))),"")</f>
        <v/>
      </c>
      <c r="I472" s="2" t="str">
        <f t="shared" si="15"/>
        <v>Крышка к блоку силовых предохранителей</v>
      </c>
    </row>
    <row r="473" spans="1:9" s="2" customFormat="1" ht="12.75" x14ac:dyDescent="0.2">
      <c r="A473" s="40" t="str">
        <f t="shared" si="14"/>
        <v>ПРОВОДА высоковольтные LADA Гранта FL, LADA Ларгус 8-ми клап.</v>
      </c>
      <c r="B473" s="82"/>
      <c r="C473" s="82" t="s">
        <v>930</v>
      </c>
      <c r="D473" s="82"/>
      <c r="E473" s="12">
        <v>1000</v>
      </c>
      <c r="F473" s="105" t="str">
        <f>IFERROR(IFERROR(VLOOKUP(D473,Кат!$I:$J,2,0),VLOOKUP(A473,Кат!$I:$J,2,0)),"")</f>
        <v/>
      </c>
      <c r="G473" s="105" t="str">
        <f>IFERROR(IFERROR(INDEX(Кат!$A:$A,MATCH(Прайс!D473,Кат!$I:$I,0)),INDEX(Кат!$A:$A,MATCH(A473,Кат!$I:$I,0))),"")</f>
        <v/>
      </c>
      <c r="H473" s="105" t="str">
        <f>IFERROR(IFERROR(INDEX(Кат!$B:$B,MATCH(Прайс!D473,Кат!$I:$I,0)),INDEX(Кат!$B:$B,MATCH(A473,Кат!$I:$I,0))),"")</f>
        <v/>
      </c>
      <c r="I473" s="2" t="str">
        <f t="shared" si="15"/>
        <v>ПРОВОДА высоковольтные LADA Гранта FL, LADA Ларгус 8-ми клап.</v>
      </c>
    </row>
    <row r="474" spans="1:9" s="2" customFormat="1" ht="12.75" x14ac:dyDescent="0.2">
      <c r="A474" s="40" t="str">
        <f t="shared" si="14"/>
        <v>Гофра проводки автомобильная разрезная 4,7 / 7,3 (намотка 350 м ,50 м)</v>
      </c>
      <c r="B474" s="82"/>
      <c r="C474" s="82" t="s">
        <v>1453</v>
      </c>
      <c r="D474" s="82"/>
      <c r="E474" s="12">
        <v>9</v>
      </c>
      <c r="F474" s="105" t="str">
        <f>IFERROR(IFERROR(VLOOKUP(D474,Кат!$I:$J,2,0),VLOOKUP(A474,Кат!$I:$J,2,0)),"")</f>
        <v/>
      </c>
      <c r="G474" s="105" t="str">
        <f>IFERROR(IFERROR(INDEX(Кат!$A:$A,MATCH(Прайс!D474,Кат!$I:$I,0)),INDEX(Кат!$A:$A,MATCH(A474,Кат!$I:$I,0))),"")</f>
        <v/>
      </c>
      <c r="H474" s="105" t="str">
        <f>IFERROR(IFERROR(INDEX(Кат!$B:$B,MATCH(Прайс!D474,Кат!$I:$I,0)),INDEX(Кат!$B:$B,MATCH(A474,Кат!$I:$I,0))),"")</f>
        <v/>
      </c>
      <c r="I474" s="2" t="str">
        <f t="shared" si="15"/>
        <v>Гофра проводки автомобильная разрезная 4,7 / 7,3 (намотка 350 м ,50 м)</v>
      </c>
    </row>
    <row r="475" spans="1:9" s="2" customFormat="1" ht="12.75" x14ac:dyDescent="0.2">
      <c r="A475" s="40" t="str">
        <f t="shared" si="14"/>
        <v>Гофра проводки автомобильная разрезная 6,0 / 9,0 (намотка 300 м ,50 м)</v>
      </c>
      <c r="B475" s="82"/>
      <c r="C475" s="82" t="s">
        <v>1454</v>
      </c>
      <c r="D475" s="82"/>
      <c r="E475" s="12">
        <v>10</v>
      </c>
      <c r="F475" s="105" t="str">
        <f>IFERROR(IFERROR(VLOOKUP(D475,Кат!$I:$J,2,0),VLOOKUP(A475,Кат!$I:$J,2,0)),"")</f>
        <v/>
      </c>
      <c r="G475" s="105" t="str">
        <f>IFERROR(IFERROR(INDEX(Кат!$A:$A,MATCH(Прайс!D475,Кат!$I:$I,0)),INDEX(Кат!$A:$A,MATCH(A475,Кат!$I:$I,0))),"")</f>
        <v/>
      </c>
      <c r="H475" s="105" t="str">
        <f>IFERROR(IFERROR(INDEX(Кат!$B:$B,MATCH(Прайс!D475,Кат!$I:$I,0)),INDEX(Кат!$B:$B,MATCH(A475,Кат!$I:$I,0))),"")</f>
        <v/>
      </c>
      <c r="I475" s="2" t="str">
        <f>_xlfn.CONCAT(B475:D475)</f>
        <v>Гофра проводки автомобильная разрезная 6,0 / 9,0 (намотка 300 м ,50 м)</v>
      </c>
    </row>
    <row r="476" spans="1:9" s="2" customFormat="1" ht="12.75" x14ac:dyDescent="0.2">
      <c r="A476" s="40" t="str">
        <f t="shared" si="14"/>
        <v>Гофра проводки автомобильная разрезная 6,6/9,6 (намотка 300 м ,50 м)</v>
      </c>
      <c r="B476" s="82"/>
      <c r="C476" s="82" t="s">
        <v>1455</v>
      </c>
      <c r="D476" s="82"/>
      <c r="E476" s="12">
        <v>10</v>
      </c>
      <c r="F476" s="105" t="str">
        <f>IFERROR(IFERROR(VLOOKUP(D476,Кат!$I:$J,2,0),VLOOKUP(A476,Кат!$I:$J,2,0)),"")</f>
        <v/>
      </c>
      <c r="G476" s="105" t="str">
        <f>IFERROR(IFERROR(INDEX(Кат!$A:$A,MATCH(Прайс!D476,Кат!$I:$I,0)),INDEX(Кат!$A:$A,MATCH(A476,Кат!$I:$I,0))),"")</f>
        <v/>
      </c>
      <c r="H476" s="105" t="str">
        <f>IFERROR(IFERROR(INDEX(Кат!$B:$B,MATCH(Прайс!D476,Кат!$I:$I,0)),INDEX(Кат!$B:$B,MATCH(A476,Кат!$I:$I,0))),"")</f>
        <v/>
      </c>
      <c r="I476" s="2" t="str">
        <f t="shared" ref="I476:I477" si="16">_xlfn.CONCAT(B476:D476)</f>
        <v>Гофра проводки автомобильная разрезная 6,6/9,6 (намотка 300 м ,50 м)</v>
      </c>
    </row>
    <row r="477" spans="1:9" s="2" customFormat="1" ht="12.75" x14ac:dyDescent="0.2">
      <c r="A477" s="40" t="str">
        <f t="shared" si="14"/>
        <v>Гофра проводки автомобильная разрезная 7,5/11,0 (намотка 200 м ,50 м)</v>
      </c>
      <c r="B477" s="82"/>
      <c r="C477" s="82" t="s">
        <v>1456</v>
      </c>
      <c r="D477" s="82"/>
      <c r="E477" s="12">
        <v>11</v>
      </c>
      <c r="F477" s="105" t="str">
        <f>IFERROR(IFERROR(VLOOKUP(D477,Кат!$I:$J,2,0),VLOOKUP(A477,Кат!$I:$J,2,0)),"")</f>
        <v/>
      </c>
      <c r="G477" s="105" t="str">
        <f>IFERROR(IFERROR(INDEX(Кат!$A:$A,MATCH(Прайс!D477,Кат!$I:$I,0)),INDEX(Кат!$A:$A,MATCH(A477,Кат!$I:$I,0))),"")</f>
        <v/>
      </c>
      <c r="H477" s="105" t="str">
        <f>IFERROR(IFERROR(INDEX(Кат!$B:$B,MATCH(Прайс!D477,Кат!$I:$I,0)),INDEX(Кат!$B:$B,MATCH(A477,Кат!$I:$I,0))),"")</f>
        <v/>
      </c>
      <c r="I477" s="2" t="str">
        <f t="shared" si="16"/>
        <v>Гофра проводки автомобильная разрезная 7,5/11,0 (намотка 200 м ,50 м)</v>
      </c>
    </row>
    <row r="478" spans="1:9" x14ac:dyDescent="0.25">
      <c r="A478" s="84" t="str">
        <f t="shared" si="14"/>
        <v>Гофра проводки автомобильная разрезная 9,0/12,0 (намотка 200 м ,50 м)</v>
      </c>
      <c r="B478" s="82"/>
      <c r="C478" s="82" t="s">
        <v>1457</v>
      </c>
      <c r="D478" s="82"/>
      <c r="E478" s="12">
        <v>12</v>
      </c>
      <c r="F478" s="105" t="str">
        <f>IFERROR(IFERROR(VLOOKUP(D478,Кат!$I:$J,2,0),VLOOKUP(A478,Кат!$I:$J,2,0)),"")</f>
        <v/>
      </c>
      <c r="G478" s="105" t="str">
        <f>IFERROR(IFERROR(INDEX(Кат!$A:$A,MATCH(Прайс!D478,Кат!$I:$I,0)),INDEX(Кат!$A:$A,MATCH(A478,Кат!$I:$I,0))),"")</f>
        <v/>
      </c>
      <c r="H478" s="105" t="str">
        <f>IFERROR(IFERROR(INDEX(Кат!$B:$B,MATCH(Прайс!D478,Кат!$I:$I,0)),INDEX(Кат!$B:$B,MATCH(A478,Кат!$I:$I,0))),"")</f>
        <v/>
      </c>
      <c r="I478" s="2" t="str">
        <f t="shared" ref="I478:I485" si="17">_xlfn.CONCAT(B478:D478)</f>
        <v>Гофра проводки автомобильная разрезная 9,0/12,0 (намотка 200 м ,50 м)</v>
      </c>
    </row>
    <row r="479" spans="1:9" x14ac:dyDescent="0.25">
      <c r="A479" s="84" t="str">
        <f t="shared" si="14"/>
        <v>Гофра проводки автомобильная разрезная 9,8/12,7 (намотка 150 м ,50 м)</v>
      </c>
      <c r="B479" s="82"/>
      <c r="C479" s="82" t="s">
        <v>1458</v>
      </c>
      <c r="D479" s="82"/>
      <c r="E479" s="12">
        <v>13</v>
      </c>
      <c r="F479" s="105" t="str">
        <f>IFERROR(IFERROR(VLOOKUP(D479,Кат!$I:$J,2,0),VLOOKUP(A479,Кат!$I:$J,2,0)),"")</f>
        <v/>
      </c>
      <c r="G479" s="105" t="str">
        <f>IFERROR(IFERROR(INDEX(Кат!$A:$A,MATCH(Прайс!D479,Кат!$I:$I,0)),INDEX(Кат!$A:$A,MATCH(A479,Кат!$I:$I,0))),"")</f>
        <v/>
      </c>
      <c r="H479" s="105" t="str">
        <f>IFERROR(IFERROR(INDEX(Кат!$B:$B,MATCH(Прайс!D479,Кат!$I:$I,0)),INDEX(Кат!$B:$B,MATCH(A479,Кат!$I:$I,0))),"")</f>
        <v/>
      </c>
      <c r="I479" s="2" t="str">
        <f t="shared" si="17"/>
        <v>Гофра проводки автомобильная разрезная 9,8/12,7 (намотка 150 м ,50 м)</v>
      </c>
    </row>
    <row r="480" spans="1:9" x14ac:dyDescent="0.25">
      <c r="A480" s="84" t="str">
        <f t="shared" si="14"/>
        <v>Гофра проводки автомобильная разрезная 11,0/15,2 (намотка 150 м ,50 м)</v>
      </c>
      <c r="B480" s="82"/>
      <c r="C480" s="82" t="s">
        <v>1459</v>
      </c>
      <c r="D480" s="82"/>
      <c r="E480" s="12">
        <v>15</v>
      </c>
      <c r="F480" s="105" t="str">
        <f>IFERROR(IFERROR(VLOOKUP(D480,Кат!$I:$J,2,0),VLOOKUP(A480,Кат!$I:$J,2,0)),"")</f>
        <v/>
      </c>
      <c r="G480" s="105" t="str">
        <f>IFERROR(IFERROR(INDEX(Кат!$A:$A,MATCH(Прайс!D480,Кат!$I:$I,0)),INDEX(Кат!$A:$A,MATCH(A480,Кат!$I:$I,0))),"")</f>
        <v/>
      </c>
      <c r="H480" s="105" t="str">
        <f>IFERROR(IFERROR(INDEX(Кат!$B:$B,MATCH(Прайс!D480,Кат!$I:$I,0)),INDEX(Кат!$B:$B,MATCH(A480,Кат!$I:$I,0))),"")</f>
        <v/>
      </c>
      <c r="I480" s="2" t="str">
        <f t="shared" si="17"/>
        <v>Гофра проводки автомобильная разрезная 11,0/15,2 (намотка 150 м ,50 м)</v>
      </c>
    </row>
    <row r="481" spans="1:9" x14ac:dyDescent="0.25">
      <c r="A481" s="84" t="str">
        <f t="shared" si="14"/>
        <v>Гофра проводки автомобильная разрезная 12,0/16,0 (намотка 150 м ,50 м)</v>
      </c>
      <c r="B481" s="82"/>
      <c r="C481" s="82" t="s">
        <v>1460</v>
      </c>
      <c r="D481" s="82"/>
      <c r="E481" s="12">
        <v>16</v>
      </c>
      <c r="F481" s="105" t="str">
        <f>IFERROR(IFERROR(VLOOKUP(D481,Кат!$I:$J,2,0),VLOOKUP(A481,Кат!$I:$J,2,0)),"")</f>
        <v/>
      </c>
      <c r="G481" s="105" t="str">
        <f>IFERROR(IFERROR(INDEX(Кат!$A:$A,MATCH(Прайс!D481,Кат!$I:$I,0)),INDEX(Кат!$A:$A,MATCH(A481,Кат!$I:$I,0))),"")</f>
        <v/>
      </c>
      <c r="H481" s="105" t="str">
        <f>IFERROR(IFERROR(INDEX(Кат!$B:$B,MATCH(Прайс!D481,Кат!$I:$I,0)),INDEX(Кат!$B:$B,MATCH(A481,Кат!$I:$I,0))),"")</f>
        <v/>
      </c>
      <c r="I481" s="2" t="str">
        <f t="shared" si="17"/>
        <v>Гофра проводки автомобильная разрезная 12,0/16,0 (намотка 150 м ,50 м)</v>
      </c>
    </row>
    <row r="482" spans="1:9" x14ac:dyDescent="0.25">
      <c r="A482" s="84" t="str">
        <f t="shared" si="14"/>
        <v>Гофра проводки автомобильная разрезная 12,9/17,0 (намотка 150 м ,50 м)</v>
      </c>
      <c r="B482" s="82"/>
      <c r="C482" s="82" t="s">
        <v>1461</v>
      </c>
      <c r="D482" s="82"/>
      <c r="E482" s="12">
        <v>17</v>
      </c>
      <c r="F482" s="105" t="str">
        <f>IFERROR(IFERROR(VLOOKUP(D482,Кат!$I:$J,2,0),VLOOKUP(A482,Кат!$I:$J,2,0)),"")</f>
        <v/>
      </c>
      <c r="G482" s="105" t="str">
        <f>IFERROR(IFERROR(INDEX(Кат!$A:$A,MATCH(Прайс!D482,Кат!$I:$I,0)),INDEX(Кат!$A:$A,MATCH(A482,Кат!$I:$I,0))),"")</f>
        <v/>
      </c>
      <c r="H482" s="105" t="str">
        <f>IFERROR(IFERROR(INDEX(Кат!$B:$B,MATCH(Прайс!D482,Кат!$I:$I,0)),INDEX(Кат!$B:$B,MATCH(A482,Кат!$I:$I,0))),"")</f>
        <v/>
      </c>
      <c r="I482" s="2" t="str">
        <f t="shared" si="17"/>
        <v>Гофра проводки автомобильная разрезная 12,9/17,0 (намотка 150 м ,50 м)</v>
      </c>
    </row>
    <row r="483" spans="1:9" x14ac:dyDescent="0.25">
      <c r="A483" s="84" t="str">
        <f t="shared" si="14"/>
        <v>Гофра проводки автомобильная разрезная 14,7/19,3 (намотка 100 м ,50 м)</v>
      </c>
      <c r="B483" s="82"/>
      <c r="C483" s="82" t="s">
        <v>1462</v>
      </c>
      <c r="D483" s="82"/>
      <c r="E483" s="12">
        <v>19</v>
      </c>
      <c r="F483" s="105" t="str">
        <f>IFERROR(IFERROR(VLOOKUP(D483,Кат!$I:$J,2,0),VLOOKUP(A483,Кат!$I:$J,2,0)),"")</f>
        <v/>
      </c>
      <c r="G483" s="105" t="str">
        <f>IFERROR(IFERROR(INDEX(Кат!$A:$A,MATCH(Прайс!D483,Кат!$I:$I,0)),INDEX(Кат!$A:$A,MATCH(A483,Кат!$I:$I,0))),"")</f>
        <v/>
      </c>
      <c r="H483" s="105" t="str">
        <f>IFERROR(IFERROR(INDEX(Кат!$B:$B,MATCH(Прайс!D483,Кат!$I:$I,0)),INDEX(Кат!$B:$B,MATCH(A483,Кат!$I:$I,0))),"")</f>
        <v/>
      </c>
      <c r="I483" s="2" t="str">
        <f t="shared" si="17"/>
        <v>Гофра проводки автомобильная разрезная 14,7/19,3 (намотка 100 м ,50 м)</v>
      </c>
    </row>
    <row r="484" spans="1:9" x14ac:dyDescent="0.25">
      <c r="A484" s="84" t="str">
        <f t="shared" si="14"/>
        <v>Гофра проводки автомобильная разрезная 16,0/20,0 (намотка 90 м ,50 м)</v>
      </c>
      <c r="B484" s="82"/>
      <c r="C484" s="82" t="s">
        <v>1463</v>
      </c>
      <c r="D484" s="82"/>
      <c r="E484" s="12">
        <v>20</v>
      </c>
      <c r="F484" s="105" t="str">
        <f>IFERROR(IFERROR(VLOOKUP(D484,Кат!$I:$J,2,0),VLOOKUP(A484,Кат!$I:$J,2,0)),"")</f>
        <v/>
      </c>
      <c r="G484" s="105" t="str">
        <f>IFERROR(IFERROR(INDEX(Кат!$A:$A,MATCH(Прайс!D484,Кат!$I:$I,0)),INDEX(Кат!$A:$A,MATCH(A484,Кат!$I:$I,0))),"")</f>
        <v/>
      </c>
      <c r="H484" s="105" t="str">
        <f>IFERROR(IFERROR(INDEX(Кат!$B:$B,MATCH(Прайс!D484,Кат!$I:$I,0)),INDEX(Кат!$B:$B,MATCH(A484,Кат!$I:$I,0))),"")</f>
        <v/>
      </c>
      <c r="I484" s="2" t="str">
        <f t="shared" si="17"/>
        <v>Гофра проводки автомобильная разрезная 16,0/20,0 (намотка 90 м ,50 м)</v>
      </c>
    </row>
    <row r="485" spans="1:9" x14ac:dyDescent="0.25">
      <c r="A485" s="84" t="str">
        <f t="shared" si="14"/>
        <v>Гофра проводки автомобильная разрезная 19,9/25,0 (намотка 70 м)</v>
      </c>
      <c r="B485" s="82"/>
      <c r="C485" s="82" t="s">
        <v>1464</v>
      </c>
      <c r="D485" s="82"/>
      <c r="E485" s="12">
        <v>25</v>
      </c>
      <c r="F485" s="105" t="str">
        <f>IFERROR(IFERROR(VLOOKUP(D485,Кат!$I:$J,2,0),VLOOKUP(A485,Кат!$I:$J,2,0)),"")</f>
        <v/>
      </c>
      <c r="G485" s="105" t="str">
        <f>IFERROR(IFERROR(INDEX(Кат!$A:$A,MATCH(Прайс!D485,Кат!$I:$I,0)),INDEX(Кат!$A:$A,MATCH(A485,Кат!$I:$I,0))),"")</f>
        <v/>
      </c>
      <c r="H485" s="105" t="str">
        <f>IFERROR(IFERROR(INDEX(Кат!$B:$B,MATCH(Прайс!D485,Кат!$I:$I,0)),INDEX(Кат!$B:$B,MATCH(A485,Кат!$I:$I,0))),"")</f>
        <v/>
      </c>
      <c r="I485" s="2" t="str">
        <f t="shared" si="17"/>
        <v>Гофра проводки автомобильная разрезная 19,9/25,0 (намотка 70 м)</v>
      </c>
    </row>
  </sheetData>
  <autoFilter ref="A1:G485" xr:uid="{0D0923BB-5D78-4A0A-BB36-705C12EF50A9}"/>
  <conditionalFormatting sqref="D1:D477">
    <cfRule type="duplicateValues" dxfId="2" priority="3"/>
  </conditionalFormatting>
  <conditionalFormatting sqref="A1:A485">
    <cfRule type="duplicateValues" dxfId="1" priority="95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51A1C-0F86-4FED-B332-19513ECB2ADD}">
  <sheetPr codeName="Лист4"/>
  <dimension ref="A1:I8"/>
  <sheetViews>
    <sheetView workbookViewId="0">
      <selection activeCell="B36" sqref="B36"/>
    </sheetView>
  </sheetViews>
  <sheetFormatPr defaultRowHeight="15" x14ac:dyDescent="0.25"/>
  <cols>
    <col min="4" max="7" width="9.140625" style="8"/>
  </cols>
  <sheetData>
    <row r="1" spans="1:9" x14ac:dyDescent="0.25">
      <c r="A1" s="3">
        <v>0.1</v>
      </c>
      <c r="B1" s="3">
        <v>2</v>
      </c>
      <c r="D1" s="3">
        <v>0.1</v>
      </c>
      <c r="E1" s="3">
        <v>2</v>
      </c>
    </row>
    <row r="2" spans="1:9" x14ac:dyDescent="0.25">
      <c r="A2" s="3">
        <v>100</v>
      </c>
      <c r="B2" s="3">
        <v>1.8</v>
      </c>
      <c r="D2" s="3">
        <v>100</v>
      </c>
      <c r="E2" s="3">
        <v>1.8</v>
      </c>
      <c r="H2" t="s">
        <v>758</v>
      </c>
      <c r="I2" s="11">
        <f>MIN(Кат!T:T)</f>
        <v>0.29899999999999993</v>
      </c>
    </row>
    <row r="3" spans="1:9" x14ac:dyDescent="0.25">
      <c r="A3" s="4">
        <v>300</v>
      </c>
      <c r="B3" s="13">
        <v>1.75</v>
      </c>
      <c r="D3" s="4">
        <v>300</v>
      </c>
      <c r="E3" s="3">
        <v>1.6</v>
      </c>
      <c r="H3" t="s">
        <v>759</v>
      </c>
      <c r="I3" s="11">
        <f>MAX(Кат!T:T)</f>
        <v>0.9882352941176471</v>
      </c>
    </row>
    <row r="4" spans="1:9" x14ac:dyDescent="0.25">
      <c r="A4" s="4">
        <v>500</v>
      </c>
      <c r="B4" s="13">
        <v>1.63</v>
      </c>
      <c r="D4" s="4">
        <v>500</v>
      </c>
      <c r="E4" s="4">
        <v>1.55</v>
      </c>
    </row>
    <row r="5" spans="1:9" x14ac:dyDescent="0.25">
      <c r="A5" s="4">
        <v>1000</v>
      </c>
      <c r="B5" s="4">
        <v>1.5</v>
      </c>
      <c r="D5" s="4">
        <v>1000</v>
      </c>
      <c r="E5" s="4">
        <v>1.5</v>
      </c>
    </row>
    <row r="6" spans="1:9" x14ac:dyDescent="0.25">
      <c r="A6" s="4">
        <v>2000</v>
      </c>
      <c r="B6" s="4">
        <v>1.4</v>
      </c>
      <c r="D6" s="4">
        <v>2000</v>
      </c>
      <c r="E6" s="4">
        <v>1.4</v>
      </c>
    </row>
    <row r="7" spans="1:9" x14ac:dyDescent="0.25">
      <c r="A7" s="4">
        <v>5000</v>
      </c>
      <c r="B7" s="13">
        <v>1.32</v>
      </c>
      <c r="D7" s="4">
        <v>5000</v>
      </c>
      <c r="E7" s="3">
        <v>1.35</v>
      </c>
    </row>
    <row r="8" spans="1:9" x14ac:dyDescent="0.25">
      <c r="A8" s="4">
        <v>10000</v>
      </c>
      <c r="B8" s="4">
        <v>1.3</v>
      </c>
      <c r="D8" s="4">
        <v>10000</v>
      </c>
      <c r="E8" s="4">
        <v>1.3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2A709-412B-48EC-A3AF-C23CA81192C6}">
  <sheetPr codeName="Лист5"/>
  <dimension ref="A1:Q287"/>
  <sheetViews>
    <sheetView workbookViewId="0">
      <pane ySplit="1" topLeftCell="A2" activePane="bottomLeft" state="frozen"/>
      <selection pane="bottomLeft" activeCell="I8" sqref="I8"/>
    </sheetView>
  </sheetViews>
  <sheetFormatPr defaultRowHeight="15" x14ac:dyDescent="0.25"/>
  <cols>
    <col min="1" max="1" width="7" style="6" bestFit="1" customWidth="1"/>
    <col min="2" max="2" width="7" style="8" customWidth="1"/>
    <col min="3" max="3" width="44.5703125" style="6" customWidth="1"/>
    <col min="4" max="4" width="7.5703125" style="6" bestFit="1" customWidth="1"/>
    <col min="5" max="5" width="7.140625" style="8" bestFit="1" customWidth="1"/>
    <col min="6" max="6" width="21.140625" style="8" bestFit="1" customWidth="1"/>
    <col min="7" max="7" width="7.5703125" style="6" bestFit="1" customWidth="1"/>
    <col min="8" max="8" width="16.85546875" style="6" bestFit="1" customWidth="1"/>
    <col min="9" max="9" width="13.28515625" style="6" bestFit="1" customWidth="1"/>
    <col min="10" max="11" width="6" style="6" bestFit="1" customWidth="1"/>
    <col min="12" max="12" width="28.5703125" style="8" customWidth="1"/>
    <col min="13" max="13" width="9.5703125" style="6" bestFit="1" customWidth="1"/>
    <col min="14" max="14" width="6.7109375" style="6" bestFit="1" customWidth="1"/>
    <col min="15" max="15" width="8" style="6" bestFit="1" customWidth="1"/>
    <col min="16" max="16" width="4.85546875" style="6" bestFit="1" customWidth="1"/>
    <col min="17" max="17" width="16.42578125" style="6" bestFit="1" customWidth="1"/>
    <col min="18" max="16384" width="9.140625" style="6"/>
  </cols>
  <sheetData>
    <row r="1" spans="1:17" ht="30" x14ac:dyDescent="0.25">
      <c r="A1" s="87" t="s">
        <v>0</v>
      </c>
      <c r="B1" s="87" t="s">
        <v>915</v>
      </c>
      <c r="C1" s="87" t="s">
        <v>1498</v>
      </c>
      <c r="D1" s="87" t="s">
        <v>917</v>
      </c>
      <c r="E1" s="87" t="s">
        <v>1218</v>
      </c>
      <c r="F1" s="87" t="s">
        <v>1499</v>
      </c>
      <c r="G1" s="87" t="s">
        <v>1484</v>
      </c>
      <c r="H1" s="87" t="s">
        <v>1500</v>
      </c>
      <c r="I1" s="87" t="s">
        <v>524</v>
      </c>
      <c r="J1" s="87" t="s">
        <v>1203</v>
      </c>
      <c r="K1" s="87" t="s">
        <v>1202</v>
      </c>
      <c r="L1" s="87" t="s">
        <v>1501</v>
      </c>
      <c r="M1" s="87" t="s">
        <v>918</v>
      </c>
      <c r="N1" s="87" t="s">
        <v>1502</v>
      </c>
      <c r="O1" s="87" t="s">
        <v>525</v>
      </c>
      <c r="P1" s="5"/>
      <c r="Q1" s="5"/>
    </row>
    <row r="2" spans="1:17" ht="45" x14ac:dyDescent="0.25">
      <c r="A2" s="88">
        <v>136867</v>
      </c>
      <c r="B2" s="88">
        <v>17719</v>
      </c>
      <c r="C2" s="89" t="s">
        <v>1219</v>
      </c>
      <c r="D2" s="89" t="s">
        <v>919</v>
      </c>
      <c r="E2" s="89" t="s">
        <v>1503</v>
      </c>
      <c r="F2" s="89" t="s">
        <v>1504</v>
      </c>
      <c r="G2" s="89" t="s">
        <v>1505</v>
      </c>
      <c r="H2" s="89"/>
      <c r="I2" s="89" t="s">
        <v>526</v>
      </c>
      <c r="J2" s="90">
        <v>5000</v>
      </c>
      <c r="K2" s="90">
        <v>6590</v>
      </c>
      <c r="L2" s="89" t="s">
        <v>1071</v>
      </c>
      <c r="M2" s="89" t="s">
        <v>528</v>
      </c>
      <c r="N2" s="89"/>
      <c r="O2" s="89"/>
      <c r="P2" s="5" t="str">
        <f>_xlfn.CONCAT(M2,IF(N2&lt;&gt;"",_xlfn.CONCAT("ск",N2),""))</f>
        <v>1</v>
      </c>
      <c r="Q2" s="5" t="str">
        <f>INDEX(Кат!$J:$J,MATCH($A2,Кат!$A:$A,0))</f>
        <v>сергей проводка</v>
      </c>
    </row>
    <row r="3" spans="1:17" ht="60" x14ac:dyDescent="0.25">
      <c r="A3" s="88">
        <v>136868</v>
      </c>
      <c r="B3" s="88">
        <v>12192</v>
      </c>
      <c r="C3" s="89" t="s">
        <v>1220</v>
      </c>
      <c r="D3" s="89" t="s">
        <v>919</v>
      </c>
      <c r="E3" s="89" t="s">
        <v>1506</v>
      </c>
      <c r="F3" s="89" t="s">
        <v>1507</v>
      </c>
      <c r="G3" s="89" t="s">
        <v>1508</v>
      </c>
      <c r="H3" s="89"/>
      <c r="I3" s="89" t="s">
        <v>526</v>
      </c>
      <c r="J3" s="90">
        <v>4500</v>
      </c>
      <c r="K3" s="90">
        <v>7090</v>
      </c>
      <c r="L3" s="89" t="s">
        <v>1074</v>
      </c>
      <c r="M3" s="89" t="s">
        <v>528</v>
      </c>
      <c r="N3" s="89"/>
      <c r="O3" s="89"/>
      <c r="P3" s="5" t="str">
        <f t="shared" ref="P3:P66" si="0">_xlfn.CONCAT(M3,IF(N3&lt;&gt;"",_xlfn.CONCAT("ск",N3),""))</f>
        <v>1</v>
      </c>
      <c r="Q3" s="5" t="str">
        <f>INDEX(Кат!$J:$J,MATCH($A3,Кат!$A:$A,0))</f>
        <v>сергей проводка</v>
      </c>
    </row>
    <row r="4" spans="1:17" ht="45" x14ac:dyDescent="0.25">
      <c r="A4" s="88">
        <v>136869</v>
      </c>
      <c r="B4" s="88">
        <v>3980</v>
      </c>
      <c r="C4" s="89" t="s">
        <v>1221</v>
      </c>
      <c r="D4" s="89" t="s">
        <v>919</v>
      </c>
      <c r="E4" s="89" t="s">
        <v>1503</v>
      </c>
      <c r="F4" s="89" t="s">
        <v>1509</v>
      </c>
      <c r="G4" s="89" t="s">
        <v>1510</v>
      </c>
      <c r="H4" s="89"/>
      <c r="I4" s="89" t="s">
        <v>526</v>
      </c>
      <c r="J4" s="90">
        <v>5500</v>
      </c>
      <c r="K4" s="90">
        <v>7290</v>
      </c>
      <c r="L4" s="89" t="s">
        <v>1071</v>
      </c>
      <c r="M4" s="89" t="s">
        <v>528</v>
      </c>
      <c r="N4" s="89"/>
      <c r="O4" s="89"/>
      <c r="P4" s="5" t="str">
        <f t="shared" si="0"/>
        <v>1</v>
      </c>
      <c r="Q4" s="5" t="str">
        <f>INDEX(Кат!$J:$J,MATCH($A4,Кат!$A:$A,0))</f>
        <v>сергей проводка</v>
      </c>
    </row>
    <row r="5" spans="1:17" ht="60" x14ac:dyDescent="0.25">
      <c r="A5" s="88">
        <v>144811</v>
      </c>
      <c r="B5" s="88">
        <v>13340</v>
      </c>
      <c r="C5" s="89" t="s">
        <v>1148</v>
      </c>
      <c r="D5" s="89" t="s">
        <v>919</v>
      </c>
      <c r="E5" s="89"/>
      <c r="F5" s="89" t="s">
        <v>1511</v>
      </c>
      <c r="G5" s="89" t="s">
        <v>1149</v>
      </c>
      <c r="H5" s="89"/>
      <c r="I5" s="89" t="s">
        <v>526</v>
      </c>
      <c r="J5" s="90">
        <v>20000</v>
      </c>
      <c r="K5" s="90">
        <v>27390</v>
      </c>
      <c r="L5" s="89" t="s">
        <v>813</v>
      </c>
      <c r="M5" s="89" t="s">
        <v>528</v>
      </c>
      <c r="N5" s="89"/>
      <c r="O5" s="89"/>
      <c r="P5" s="5" t="str">
        <f t="shared" si="0"/>
        <v>1</v>
      </c>
      <c r="Q5" s="5" t="str">
        <f>INDEX(Кат!$J:$J,MATCH($A5,Кат!$A:$A,0))</f>
        <v>сергей проводка</v>
      </c>
    </row>
    <row r="6" spans="1:17" ht="60" x14ac:dyDescent="0.25">
      <c r="A6" s="88">
        <v>144812</v>
      </c>
      <c r="B6" s="88">
        <v>13342</v>
      </c>
      <c r="C6" s="89" t="s">
        <v>1150</v>
      </c>
      <c r="D6" s="89" t="s">
        <v>919</v>
      </c>
      <c r="E6" s="89"/>
      <c r="F6" s="89" t="s">
        <v>1512</v>
      </c>
      <c r="G6" s="89" t="s">
        <v>1149</v>
      </c>
      <c r="H6" s="89"/>
      <c r="I6" s="89" t="s">
        <v>526</v>
      </c>
      <c r="J6" s="90">
        <v>20000</v>
      </c>
      <c r="K6" s="90">
        <v>25990</v>
      </c>
      <c r="L6" s="89" t="s">
        <v>746</v>
      </c>
      <c r="M6" s="89" t="s">
        <v>528</v>
      </c>
      <c r="N6" s="89"/>
      <c r="O6" s="89"/>
      <c r="P6" s="5" t="str">
        <f t="shared" si="0"/>
        <v>1</v>
      </c>
      <c r="Q6" s="5" t="str">
        <f>INDEX(Кат!$J:$J,MATCH($A6,Кат!$A:$A,0))</f>
        <v>сергей проводка</v>
      </c>
    </row>
    <row r="7" spans="1:17" ht="60" x14ac:dyDescent="0.25">
      <c r="A7" s="88">
        <v>144813</v>
      </c>
      <c r="B7" s="88">
        <v>13343</v>
      </c>
      <c r="C7" s="89" t="s">
        <v>1151</v>
      </c>
      <c r="D7" s="89" t="s">
        <v>919</v>
      </c>
      <c r="E7" s="89"/>
      <c r="F7" s="89" t="s">
        <v>1513</v>
      </c>
      <c r="G7" s="89" t="s">
        <v>1149</v>
      </c>
      <c r="H7" s="89"/>
      <c r="I7" s="89" t="s">
        <v>526</v>
      </c>
      <c r="J7" s="90">
        <v>20000</v>
      </c>
      <c r="K7" s="90">
        <v>25990</v>
      </c>
      <c r="L7" s="89" t="s">
        <v>745</v>
      </c>
      <c r="M7" s="89" t="s">
        <v>528</v>
      </c>
      <c r="N7" s="89"/>
      <c r="O7" s="89"/>
      <c r="P7" s="5" t="str">
        <f t="shared" si="0"/>
        <v>1</v>
      </c>
      <c r="Q7" s="5" t="str">
        <f>INDEX(Кат!$J:$J,MATCH($A7,Кат!$A:$A,0))</f>
        <v>сергей проводка</v>
      </c>
    </row>
    <row r="8" spans="1:17" ht="60" x14ac:dyDescent="0.25">
      <c r="A8" s="88">
        <v>144913</v>
      </c>
      <c r="B8" s="88">
        <v>13351</v>
      </c>
      <c r="C8" s="89" t="s">
        <v>1152</v>
      </c>
      <c r="D8" s="89" t="s">
        <v>919</v>
      </c>
      <c r="E8" s="89"/>
      <c r="F8" s="89" t="s">
        <v>1514</v>
      </c>
      <c r="G8" s="89" t="s">
        <v>1149</v>
      </c>
      <c r="H8" s="89"/>
      <c r="I8" s="89" t="s">
        <v>526</v>
      </c>
      <c r="J8" s="90">
        <v>17000</v>
      </c>
      <c r="K8" s="90">
        <v>22090</v>
      </c>
      <c r="L8" s="89" t="s">
        <v>1027</v>
      </c>
      <c r="M8" s="89" t="s">
        <v>528</v>
      </c>
      <c r="N8" s="89"/>
      <c r="O8" s="89"/>
      <c r="P8" s="5" t="str">
        <f t="shared" si="0"/>
        <v>1</v>
      </c>
      <c r="Q8" s="5" t="str">
        <f>INDEX(Кат!$J:$J,MATCH($A8,Кат!$A:$A,0))</f>
        <v>сергей проводка</v>
      </c>
    </row>
    <row r="9" spans="1:17" ht="60" x14ac:dyDescent="0.25">
      <c r="A9" s="88">
        <v>144814</v>
      </c>
      <c r="B9" s="88">
        <v>13344</v>
      </c>
      <c r="C9" s="89" t="s">
        <v>1153</v>
      </c>
      <c r="D9" s="89" t="s">
        <v>919</v>
      </c>
      <c r="E9" s="89"/>
      <c r="F9" s="89" t="s">
        <v>1515</v>
      </c>
      <c r="G9" s="89" t="s">
        <v>1149</v>
      </c>
      <c r="H9" s="89"/>
      <c r="I9" s="89" t="s">
        <v>526</v>
      </c>
      <c r="J9" s="90">
        <v>20000</v>
      </c>
      <c r="K9" s="90">
        <v>27390</v>
      </c>
      <c r="L9" s="89" t="s">
        <v>744</v>
      </c>
      <c r="M9" s="89" t="s">
        <v>528</v>
      </c>
      <c r="N9" s="89"/>
      <c r="O9" s="89"/>
      <c r="P9" s="5" t="str">
        <f t="shared" si="0"/>
        <v>1</v>
      </c>
      <c r="Q9" s="5" t="str">
        <f>INDEX(Кат!$J:$J,MATCH($A9,Кат!$A:$A,0))</f>
        <v>сергей проводка</v>
      </c>
    </row>
    <row r="10" spans="1:17" ht="60" x14ac:dyDescent="0.25">
      <c r="A10" s="88">
        <v>144815</v>
      </c>
      <c r="B10" s="88">
        <v>13341</v>
      </c>
      <c r="C10" s="89" t="s">
        <v>1154</v>
      </c>
      <c r="D10" s="89" t="s">
        <v>919</v>
      </c>
      <c r="E10" s="89"/>
      <c r="F10" s="89" t="s">
        <v>1516</v>
      </c>
      <c r="G10" s="89" t="s">
        <v>1155</v>
      </c>
      <c r="H10" s="89"/>
      <c r="I10" s="89" t="s">
        <v>526</v>
      </c>
      <c r="J10" s="90">
        <v>20000</v>
      </c>
      <c r="K10" s="90">
        <v>27390</v>
      </c>
      <c r="L10" s="89" t="s">
        <v>813</v>
      </c>
      <c r="M10" s="89" t="s">
        <v>528</v>
      </c>
      <c r="N10" s="89"/>
      <c r="O10" s="89"/>
      <c r="P10" s="5" t="str">
        <f t="shared" si="0"/>
        <v>1</v>
      </c>
      <c r="Q10" s="5" t="str">
        <f>INDEX(Кат!$J:$J,MATCH($A10,Кат!$A:$A,0))</f>
        <v>сергей проводка</v>
      </c>
    </row>
    <row r="11" spans="1:17" ht="90" x14ac:dyDescent="0.25">
      <c r="A11" s="88">
        <v>426984</v>
      </c>
      <c r="B11" s="88">
        <v>426984</v>
      </c>
      <c r="C11" s="89" t="s">
        <v>1222</v>
      </c>
      <c r="D11" s="89" t="s">
        <v>919</v>
      </c>
      <c r="E11" s="89"/>
      <c r="F11" s="89" t="s">
        <v>1223</v>
      </c>
      <c r="G11" s="89"/>
      <c r="H11" s="89" t="s">
        <v>1224</v>
      </c>
      <c r="I11" s="89" t="s">
        <v>526</v>
      </c>
      <c r="J11" s="90">
        <v>20000</v>
      </c>
      <c r="K11" s="90">
        <v>25990</v>
      </c>
      <c r="L11" s="89" t="s">
        <v>1225</v>
      </c>
      <c r="M11" s="89" t="s">
        <v>528</v>
      </c>
      <c r="N11" s="89"/>
      <c r="O11" s="89"/>
      <c r="P11" s="5" t="str">
        <f t="shared" si="0"/>
        <v>1</v>
      </c>
      <c r="Q11" s="5" t="str">
        <f>INDEX(Кат!$J:$J,MATCH($A11,Кат!$A:$A,0))</f>
        <v>сергей проводка</v>
      </c>
    </row>
    <row r="12" spans="1:17" ht="90" x14ac:dyDescent="0.25">
      <c r="A12" s="88">
        <v>426978</v>
      </c>
      <c r="B12" s="88">
        <v>426978</v>
      </c>
      <c r="C12" s="89" t="s">
        <v>1226</v>
      </c>
      <c r="D12" s="89" t="s">
        <v>919</v>
      </c>
      <c r="E12" s="89"/>
      <c r="F12" s="89" t="s">
        <v>1227</v>
      </c>
      <c r="G12" s="89"/>
      <c r="H12" s="89" t="s">
        <v>1228</v>
      </c>
      <c r="I12" s="89" t="s">
        <v>526</v>
      </c>
      <c r="J12" s="90">
        <v>20000</v>
      </c>
      <c r="K12" s="90">
        <v>25990</v>
      </c>
      <c r="L12" s="89" t="s">
        <v>1229</v>
      </c>
      <c r="M12" s="89" t="s">
        <v>528</v>
      </c>
      <c r="N12" s="89"/>
      <c r="O12" s="89"/>
      <c r="P12" s="5" t="str">
        <f t="shared" si="0"/>
        <v>1</v>
      </c>
      <c r="Q12" s="5" t="str">
        <f>INDEX(Кат!$J:$J,MATCH($A12,Кат!$A:$A,0))</f>
        <v>сергей проводка</v>
      </c>
    </row>
    <row r="13" spans="1:17" ht="90" x14ac:dyDescent="0.25">
      <c r="A13" s="88">
        <v>426985</v>
      </c>
      <c r="B13" s="88">
        <v>426985</v>
      </c>
      <c r="C13" s="89" t="s">
        <v>1230</v>
      </c>
      <c r="D13" s="89" t="s">
        <v>919</v>
      </c>
      <c r="E13" s="89"/>
      <c r="F13" s="89" t="s">
        <v>1231</v>
      </c>
      <c r="G13" s="89"/>
      <c r="H13" s="89" t="s">
        <v>1232</v>
      </c>
      <c r="I13" s="89" t="s">
        <v>526</v>
      </c>
      <c r="J13" s="90">
        <v>20000</v>
      </c>
      <c r="K13" s="90">
        <v>25990</v>
      </c>
      <c r="L13" s="89" t="s">
        <v>1233</v>
      </c>
      <c r="M13" s="89" t="s">
        <v>528</v>
      </c>
      <c r="N13" s="89"/>
      <c r="O13" s="89"/>
      <c r="P13" s="5" t="str">
        <f t="shared" si="0"/>
        <v>1</v>
      </c>
      <c r="Q13" s="5" t="str">
        <f>INDEX(Кат!$J:$J,MATCH($A13,Кат!$A:$A,0))</f>
        <v>сергей проводка</v>
      </c>
    </row>
    <row r="14" spans="1:17" ht="60" x14ac:dyDescent="0.25">
      <c r="A14" s="88">
        <v>144810</v>
      </c>
      <c r="B14" s="88">
        <v>13345</v>
      </c>
      <c r="C14" s="89" t="s">
        <v>1234</v>
      </c>
      <c r="D14" s="89" t="s">
        <v>919</v>
      </c>
      <c r="E14" s="89"/>
      <c r="F14" s="89" t="s">
        <v>1517</v>
      </c>
      <c r="G14" s="89" t="s">
        <v>1156</v>
      </c>
      <c r="H14" s="89"/>
      <c r="I14" s="89" t="s">
        <v>526</v>
      </c>
      <c r="J14" s="90">
        <v>20000</v>
      </c>
      <c r="K14" s="90">
        <v>25990</v>
      </c>
      <c r="L14" s="89" t="s">
        <v>1024</v>
      </c>
      <c r="M14" s="89" t="s">
        <v>528</v>
      </c>
      <c r="N14" s="89"/>
      <c r="O14" s="89"/>
      <c r="P14" s="5" t="str">
        <f t="shared" si="0"/>
        <v>1</v>
      </c>
      <c r="Q14" s="5" t="str">
        <f>INDEX(Кат!$J:$J,MATCH($A14,Кат!$A:$A,0))</f>
        <v>сергей проводка</v>
      </c>
    </row>
    <row r="15" spans="1:17" ht="90" x14ac:dyDescent="0.25">
      <c r="A15" s="88">
        <v>144816</v>
      </c>
      <c r="B15" s="88">
        <v>13235</v>
      </c>
      <c r="C15" s="89" t="s">
        <v>1235</v>
      </c>
      <c r="D15" s="89" t="s">
        <v>919</v>
      </c>
      <c r="E15" s="89"/>
      <c r="F15" s="89" t="s">
        <v>1518</v>
      </c>
      <c r="G15" s="89" t="s">
        <v>1519</v>
      </c>
      <c r="H15" s="89"/>
      <c r="I15" s="89" t="s">
        <v>526</v>
      </c>
      <c r="J15" s="90">
        <v>4500</v>
      </c>
      <c r="K15" s="90">
        <v>6290</v>
      </c>
      <c r="L15" s="89" t="s">
        <v>1063</v>
      </c>
      <c r="M15" s="89" t="s">
        <v>528</v>
      </c>
      <c r="N15" s="89"/>
      <c r="O15" s="89"/>
      <c r="P15" s="5" t="str">
        <f t="shared" si="0"/>
        <v>1</v>
      </c>
      <c r="Q15" s="5" t="str">
        <f>INDEX(Кат!$J:$J,MATCH($A15,Кат!$A:$A,0))</f>
        <v>сергей проводка</v>
      </c>
    </row>
    <row r="16" spans="1:17" ht="45" x14ac:dyDescent="0.25">
      <c r="A16" s="88">
        <v>144817</v>
      </c>
      <c r="B16" s="88">
        <v>46484</v>
      </c>
      <c r="C16" s="89" t="s">
        <v>1236</v>
      </c>
      <c r="D16" s="89" t="s">
        <v>919</v>
      </c>
      <c r="E16" s="89"/>
      <c r="F16" s="89" t="s">
        <v>1520</v>
      </c>
      <c r="G16" s="89" t="s">
        <v>565</v>
      </c>
      <c r="H16" s="89" t="s">
        <v>47</v>
      </c>
      <c r="I16" s="89" t="s">
        <v>526</v>
      </c>
      <c r="J16" s="90">
        <v>4000</v>
      </c>
      <c r="K16" s="90">
        <v>5590</v>
      </c>
      <c r="L16" s="89"/>
      <c r="M16" s="89" t="s">
        <v>528</v>
      </c>
      <c r="N16" s="89"/>
      <c r="O16" s="89"/>
      <c r="P16" s="5" t="str">
        <f t="shared" si="0"/>
        <v>1</v>
      </c>
      <c r="Q16" s="5" t="str">
        <f>INDEX(Кат!$J:$J,MATCH($A16,Кат!$A:$A,0))</f>
        <v>сергей проводка</v>
      </c>
    </row>
    <row r="17" spans="1:17" ht="60" x14ac:dyDescent="0.25">
      <c r="A17" s="88">
        <v>144818</v>
      </c>
      <c r="B17" s="88">
        <v>13234</v>
      </c>
      <c r="C17" s="89" t="s">
        <v>1237</v>
      </c>
      <c r="D17" s="89" t="s">
        <v>919</v>
      </c>
      <c r="E17" s="89"/>
      <c r="F17" s="89" t="s">
        <v>1521</v>
      </c>
      <c r="G17" s="89" t="s">
        <v>560</v>
      </c>
      <c r="H17" s="89"/>
      <c r="I17" s="89" t="s">
        <v>526</v>
      </c>
      <c r="J17" s="90">
        <v>4500</v>
      </c>
      <c r="K17" s="90">
        <v>6290</v>
      </c>
      <c r="L17" s="89" t="s">
        <v>1061</v>
      </c>
      <c r="M17" s="89" t="s">
        <v>528</v>
      </c>
      <c r="N17" s="89"/>
      <c r="O17" s="89"/>
      <c r="P17" s="5" t="str">
        <f t="shared" si="0"/>
        <v>1</v>
      </c>
      <c r="Q17" s="5" t="str">
        <f>INDEX(Кат!$J:$J,MATCH($A17,Кат!$A:$A,0))</f>
        <v>сергей проводка</v>
      </c>
    </row>
    <row r="18" spans="1:17" ht="45" x14ac:dyDescent="0.25">
      <c r="A18" s="88">
        <v>160435</v>
      </c>
      <c r="B18" s="88">
        <v>13250</v>
      </c>
      <c r="C18" s="89" t="s">
        <v>932</v>
      </c>
      <c r="D18" s="89" t="s">
        <v>919</v>
      </c>
      <c r="E18" s="89"/>
      <c r="F18" s="89" t="s">
        <v>1522</v>
      </c>
      <c r="G18" s="89" t="s">
        <v>933</v>
      </c>
      <c r="H18" s="89"/>
      <c r="I18" s="89" t="s">
        <v>526</v>
      </c>
      <c r="J18" s="90">
        <v>700</v>
      </c>
      <c r="K18" s="90">
        <v>1090</v>
      </c>
      <c r="L18" s="89" t="s">
        <v>780</v>
      </c>
      <c r="M18" s="89" t="s">
        <v>528</v>
      </c>
      <c r="N18" s="89"/>
      <c r="O18" s="89"/>
      <c r="P18" s="5" t="str">
        <f t="shared" si="0"/>
        <v>1</v>
      </c>
      <c r="Q18" s="5" t="str">
        <f>INDEX(Кат!$J:$J,MATCH($A18,Кат!$A:$A,0))</f>
        <v>сергей проводка</v>
      </c>
    </row>
    <row r="19" spans="1:17" ht="45" x14ac:dyDescent="0.25">
      <c r="A19" s="88">
        <v>144805</v>
      </c>
      <c r="B19" s="88">
        <v>13251</v>
      </c>
      <c r="C19" s="89" t="s">
        <v>1238</v>
      </c>
      <c r="D19" s="89" t="s">
        <v>919</v>
      </c>
      <c r="E19" s="89"/>
      <c r="F19" s="89" t="s">
        <v>1523</v>
      </c>
      <c r="G19" s="89" t="s">
        <v>934</v>
      </c>
      <c r="H19" s="89"/>
      <c r="I19" s="89" t="s">
        <v>526</v>
      </c>
      <c r="J19" s="90">
        <v>4500</v>
      </c>
      <c r="K19" s="90">
        <v>6290</v>
      </c>
      <c r="L19" s="89" t="s">
        <v>787</v>
      </c>
      <c r="M19" s="89" t="s">
        <v>528</v>
      </c>
      <c r="N19" s="89"/>
      <c r="O19" s="89"/>
      <c r="P19" s="5" t="str">
        <f t="shared" si="0"/>
        <v>1</v>
      </c>
      <c r="Q19" s="5" t="str">
        <f>INDEX(Кат!$J:$J,MATCH($A19,Кат!$A:$A,0))</f>
        <v>сергей проводка</v>
      </c>
    </row>
    <row r="20" spans="1:17" ht="45" x14ac:dyDescent="0.25">
      <c r="A20" s="88">
        <v>144804</v>
      </c>
      <c r="B20" s="88">
        <v>13236</v>
      </c>
      <c r="C20" s="89" t="s">
        <v>1239</v>
      </c>
      <c r="D20" s="89" t="s">
        <v>919</v>
      </c>
      <c r="E20" s="89"/>
      <c r="F20" s="89" t="s">
        <v>1524</v>
      </c>
      <c r="G20" s="89" t="s">
        <v>931</v>
      </c>
      <c r="H20" s="89"/>
      <c r="I20" s="89" t="s">
        <v>526</v>
      </c>
      <c r="J20" s="90">
        <v>4000</v>
      </c>
      <c r="K20" s="90">
        <v>5590</v>
      </c>
      <c r="L20" s="89" t="s">
        <v>902</v>
      </c>
      <c r="M20" s="89" t="s">
        <v>528</v>
      </c>
      <c r="N20" s="89"/>
      <c r="O20" s="89"/>
      <c r="P20" s="5" t="str">
        <f t="shared" si="0"/>
        <v>1</v>
      </c>
      <c r="Q20" s="5" t="str">
        <f>INDEX(Кат!$J:$J,MATCH($A20,Кат!$A:$A,0))</f>
        <v>сергей проводка</v>
      </c>
    </row>
    <row r="21" spans="1:17" ht="45" x14ac:dyDescent="0.25">
      <c r="A21" s="88">
        <v>160436</v>
      </c>
      <c r="B21" s="88">
        <v>13253</v>
      </c>
      <c r="C21" s="89" t="s">
        <v>935</v>
      </c>
      <c r="D21" s="89" t="s">
        <v>919</v>
      </c>
      <c r="E21" s="89"/>
      <c r="F21" s="89" t="s">
        <v>1525</v>
      </c>
      <c r="G21" s="89" t="s">
        <v>936</v>
      </c>
      <c r="H21" s="89"/>
      <c r="I21" s="89" t="s">
        <v>526</v>
      </c>
      <c r="J21" s="90">
        <v>600</v>
      </c>
      <c r="K21" s="90">
        <v>959</v>
      </c>
      <c r="L21" s="89" t="s">
        <v>776</v>
      </c>
      <c r="M21" s="89" t="s">
        <v>528</v>
      </c>
      <c r="N21" s="89"/>
      <c r="O21" s="89"/>
      <c r="P21" s="5" t="str">
        <f t="shared" si="0"/>
        <v>1</v>
      </c>
      <c r="Q21" s="5" t="str">
        <f>INDEX(Кат!$J:$J,MATCH($A21,Кат!$A:$A,0))</f>
        <v>сергей проводка</v>
      </c>
    </row>
    <row r="22" spans="1:17" ht="60" x14ac:dyDescent="0.25">
      <c r="A22" s="88">
        <v>144807</v>
      </c>
      <c r="B22" s="88">
        <v>13261</v>
      </c>
      <c r="C22" s="89" t="s">
        <v>1240</v>
      </c>
      <c r="D22" s="89" t="s">
        <v>919</v>
      </c>
      <c r="E22" s="89"/>
      <c r="F22" s="89" t="s">
        <v>1526</v>
      </c>
      <c r="G22" s="89" t="s">
        <v>1527</v>
      </c>
      <c r="H22" s="89"/>
      <c r="I22" s="89" t="s">
        <v>526</v>
      </c>
      <c r="J22" s="90">
        <v>4500</v>
      </c>
      <c r="K22" s="90">
        <v>6290</v>
      </c>
      <c r="L22" s="89" t="s">
        <v>894</v>
      </c>
      <c r="M22" s="89" t="s">
        <v>528</v>
      </c>
      <c r="N22" s="89" t="s">
        <v>556</v>
      </c>
      <c r="O22" s="89"/>
      <c r="P22" s="5" t="str">
        <f t="shared" si="0"/>
        <v>1ск6</v>
      </c>
      <c r="Q22" s="5" t="str">
        <f>INDEX(Кат!$J:$J,MATCH($A22,Кат!$A:$A,0))</f>
        <v>сергей проводка</v>
      </c>
    </row>
    <row r="23" spans="1:17" ht="60" x14ac:dyDescent="0.25">
      <c r="A23" s="88">
        <v>144806</v>
      </c>
      <c r="B23" s="88">
        <v>13260</v>
      </c>
      <c r="C23" s="89" t="s">
        <v>1241</v>
      </c>
      <c r="D23" s="89" t="s">
        <v>919</v>
      </c>
      <c r="E23" s="89"/>
      <c r="F23" s="89" t="s">
        <v>1528</v>
      </c>
      <c r="G23" s="89" t="s">
        <v>937</v>
      </c>
      <c r="H23" s="89"/>
      <c r="I23" s="89" t="s">
        <v>526</v>
      </c>
      <c r="J23" s="90">
        <v>4500</v>
      </c>
      <c r="K23" s="90">
        <v>6290</v>
      </c>
      <c r="L23" s="89" t="s">
        <v>900</v>
      </c>
      <c r="M23" s="89" t="s">
        <v>528</v>
      </c>
      <c r="N23" s="89"/>
      <c r="O23" s="89"/>
      <c r="P23" s="5" t="str">
        <f t="shared" si="0"/>
        <v>1</v>
      </c>
      <c r="Q23" s="5" t="str">
        <f>INDEX(Кат!$J:$J,MATCH($A23,Кат!$A:$A,0))</f>
        <v>сергей проводка</v>
      </c>
    </row>
    <row r="24" spans="1:17" ht="60" x14ac:dyDescent="0.25">
      <c r="A24" s="88">
        <v>144808</v>
      </c>
      <c r="B24" s="88">
        <v>13287</v>
      </c>
      <c r="C24" s="89" t="s">
        <v>1242</v>
      </c>
      <c r="D24" s="89" t="s">
        <v>919</v>
      </c>
      <c r="E24" s="89"/>
      <c r="F24" s="89" t="s">
        <v>1529</v>
      </c>
      <c r="G24" s="89" t="s">
        <v>938</v>
      </c>
      <c r="H24" s="89"/>
      <c r="I24" s="89" t="s">
        <v>526</v>
      </c>
      <c r="J24" s="90">
        <v>7500</v>
      </c>
      <c r="K24" s="90">
        <v>10190</v>
      </c>
      <c r="L24" s="89" t="s">
        <v>887</v>
      </c>
      <c r="M24" s="89" t="s">
        <v>528</v>
      </c>
      <c r="N24" s="89"/>
      <c r="O24" s="89"/>
      <c r="P24" s="5" t="str">
        <f t="shared" si="0"/>
        <v>1</v>
      </c>
      <c r="Q24" s="5" t="str">
        <f>INDEX(Кат!$J:$J,MATCH($A24,Кат!$A:$A,0))</f>
        <v>сергей проводка</v>
      </c>
    </row>
    <row r="25" spans="1:17" ht="60" x14ac:dyDescent="0.25">
      <c r="A25" s="88">
        <v>144809</v>
      </c>
      <c r="B25" s="88">
        <v>13305</v>
      </c>
      <c r="C25" s="89" t="s">
        <v>1243</v>
      </c>
      <c r="D25" s="89" t="s">
        <v>919</v>
      </c>
      <c r="E25" s="89"/>
      <c r="F25" s="89" t="s">
        <v>1530</v>
      </c>
      <c r="G25" s="89" t="s">
        <v>938</v>
      </c>
      <c r="H25" s="89"/>
      <c r="I25" s="89" t="s">
        <v>526</v>
      </c>
      <c r="J25" s="90">
        <v>7500</v>
      </c>
      <c r="K25" s="90">
        <v>10190</v>
      </c>
      <c r="L25" s="89" t="s">
        <v>800</v>
      </c>
      <c r="M25" s="89" t="s">
        <v>528</v>
      </c>
      <c r="N25" s="89"/>
      <c r="O25" s="89" t="s">
        <v>919</v>
      </c>
      <c r="P25" s="5" t="str">
        <f t="shared" si="0"/>
        <v>1</v>
      </c>
      <c r="Q25" s="5" t="str">
        <f>INDEX(Кат!$J:$J,MATCH($A25,Кат!$A:$A,0))</f>
        <v>сергей проводка</v>
      </c>
    </row>
    <row r="26" spans="1:17" ht="45" x14ac:dyDescent="0.25">
      <c r="A26" s="88">
        <v>426974</v>
      </c>
      <c r="B26" s="88">
        <v>426974</v>
      </c>
      <c r="C26" s="89" t="s">
        <v>1244</v>
      </c>
      <c r="D26" s="89" t="s">
        <v>919</v>
      </c>
      <c r="E26" s="89"/>
      <c r="F26" s="89"/>
      <c r="G26" s="89"/>
      <c r="H26" s="89" t="s">
        <v>1245</v>
      </c>
      <c r="I26" s="89" t="s">
        <v>526</v>
      </c>
      <c r="J26" s="90">
        <v>25000</v>
      </c>
      <c r="K26" s="90">
        <v>32490</v>
      </c>
      <c r="L26" s="89" t="s">
        <v>1246</v>
      </c>
      <c r="M26" s="89" t="s">
        <v>528</v>
      </c>
      <c r="N26" s="89"/>
      <c r="O26" s="89"/>
      <c r="P26" s="5" t="str">
        <f t="shared" si="0"/>
        <v>1</v>
      </c>
      <c r="Q26" s="5" t="str">
        <f>INDEX(Кат!$J:$J,MATCH($A26,Кат!$A:$A,0))</f>
        <v>сергей проводка</v>
      </c>
    </row>
    <row r="27" spans="1:17" ht="90" x14ac:dyDescent="0.25">
      <c r="A27" s="88">
        <v>144819</v>
      </c>
      <c r="B27" s="88">
        <v>13255</v>
      </c>
      <c r="C27" s="89" t="s">
        <v>939</v>
      </c>
      <c r="D27" s="89" t="s">
        <v>919</v>
      </c>
      <c r="E27" s="89"/>
      <c r="F27" s="89" t="s">
        <v>1531</v>
      </c>
      <c r="G27" s="89" t="s">
        <v>1532</v>
      </c>
      <c r="H27" s="89"/>
      <c r="I27" s="89" t="s">
        <v>526</v>
      </c>
      <c r="J27" s="90">
        <v>700</v>
      </c>
      <c r="K27" s="90">
        <v>1090</v>
      </c>
      <c r="L27" s="89" t="s">
        <v>1123</v>
      </c>
      <c r="M27" s="89" t="s">
        <v>528</v>
      </c>
      <c r="N27" s="89"/>
      <c r="O27" s="89"/>
      <c r="P27" s="5" t="str">
        <f t="shared" si="0"/>
        <v>1</v>
      </c>
      <c r="Q27" s="5" t="str">
        <f>INDEX(Кат!$J:$J,MATCH($A27,Кат!$A:$A,0))</f>
        <v>сергей проводка</v>
      </c>
    </row>
    <row r="28" spans="1:17" ht="60" x14ac:dyDescent="0.25">
      <c r="A28" s="88">
        <v>144820</v>
      </c>
      <c r="B28" s="88">
        <v>876</v>
      </c>
      <c r="C28" s="89" t="s">
        <v>1247</v>
      </c>
      <c r="D28" s="89" t="s">
        <v>919</v>
      </c>
      <c r="E28" s="89"/>
      <c r="F28" s="89"/>
      <c r="G28" s="89"/>
      <c r="H28" s="89"/>
      <c r="I28" s="89" t="s">
        <v>526</v>
      </c>
      <c r="J28" s="90">
        <v>1650</v>
      </c>
      <c r="K28" s="90">
        <v>2390</v>
      </c>
      <c r="L28" s="89" t="s">
        <v>1115</v>
      </c>
      <c r="M28" s="89" t="s">
        <v>528</v>
      </c>
      <c r="N28" s="89"/>
      <c r="O28" s="89"/>
      <c r="P28" s="5" t="str">
        <f t="shared" si="0"/>
        <v>1</v>
      </c>
      <c r="Q28" s="5" t="str">
        <f>INDEX(Кат!$J:$J,MATCH($A28,Кат!$A:$A,0))</f>
        <v>сергей проводка</v>
      </c>
    </row>
    <row r="29" spans="1:17" ht="45" x14ac:dyDescent="0.25">
      <c r="A29" s="88">
        <v>426967</v>
      </c>
      <c r="B29" s="88">
        <v>426967</v>
      </c>
      <c r="C29" s="89" t="s">
        <v>1248</v>
      </c>
      <c r="D29" s="89" t="s">
        <v>1533</v>
      </c>
      <c r="E29" s="89"/>
      <c r="F29" s="89"/>
      <c r="G29" s="89"/>
      <c r="H29" s="89" t="s">
        <v>1249</v>
      </c>
      <c r="I29" s="89" t="s">
        <v>526</v>
      </c>
      <c r="J29" s="90">
        <v>1200</v>
      </c>
      <c r="K29" s="90">
        <v>1690</v>
      </c>
      <c r="L29" s="89" t="s">
        <v>1468</v>
      </c>
      <c r="M29" s="89" t="s">
        <v>528</v>
      </c>
      <c r="N29" s="89"/>
      <c r="O29" s="89"/>
      <c r="P29" s="5" t="str">
        <f t="shared" si="0"/>
        <v>1</v>
      </c>
      <c r="Q29" s="5" t="str">
        <f>INDEX(Кат!$J:$J,MATCH($A29,Кат!$A:$A,0))</f>
        <v>сергей проводка</v>
      </c>
    </row>
    <row r="30" spans="1:17" ht="60" x14ac:dyDescent="0.25">
      <c r="A30" s="88">
        <v>144822</v>
      </c>
      <c r="B30" s="88">
        <v>13288</v>
      </c>
      <c r="C30" s="89" t="s">
        <v>940</v>
      </c>
      <c r="D30" s="89" t="s">
        <v>919</v>
      </c>
      <c r="E30" s="89"/>
      <c r="F30" s="89" t="s">
        <v>1534</v>
      </c>
      <c r="G30" s="89" t="s">
        <v>941</v>
      </c>
      <c r="H30" s="89"/>
      <c r="I30" s="89" t="s">
        <v>526</v>
      </c>
      <c r="J30" s="90">
        <v>1500</v>
      </c>
      <c r="K30" s="90">
        <v>2090</v>
      </c>
      <c r="L30" s="89" t="s">
        <v>1121</v>
      </c>
      <c r="M30" s="89" t="s">
        <v>528</v>
      </c>
      <c r="N30" s="89"/>
      <c r="O30" s="89"/>
      <c r="P30" s="5" t="str">
        <f t="shared" si="0"/>
        <v>1</v>
      </c>
      <c r="Q30" s="5" t="str">
        <f>INDEX(Кат!$J:$J,MATCH($A30,Кат!$A:$A,0))</f>
        <v>сергей проводка</v>
      </c>
    </row>
    <row r="31" spans="1:17" ht="45" x14ac:dyDescent="0.25">
      <c r="A31" s="88">
        <v>144823</v>
      </c>
      <c r="B31" s="88">
        <v>13289</v>
      </c>
      <c r="C31" s="89" t="s">
        <v>942</v>
      </c>
      <c r="D31" s="89" t="s">
        <v>919</v>
      </c>
      <c r="E31" s="89"/>
      <c r="F31" s="89" t="s">
        <v>1535</v>
      </c>
      <c r="G31" s="89" t="s">
        <v>943</v>
      </c>
      <c r="H31" s="89"/>
      <c r="I31" s="89" t="s">
        <v>526</v>
      </c>
      <c r="J31" s="90">
        <v>1800</v>
      </c>
      <c r="K31" s="90">
        <v>2590</v>
      </c>
      <c r="L31" s="89" t="s">
        <v>1116</v>
      </c>
      <c r="M31" s="89" t="s">
        <v>528</v>
      </c>
      <c r="N31" s="89"/>
      <c r="O31" s="89"/>
      <c r="P31" s="5" t="str">
        <f t="shared" si="0"/>
        <v>1</v>
      </c>
      <c r="Q31" s="5" t="str">
        <f>INDEX(Кат!$J:$J,MATCH($A31,Кат!$A:$A,0))</f>
        <v>сергей проводка</v>
      </c>
    </row>
    <row r="32" spans="1:17" ht="45" x14ac:dyDescent="0.25">
      <c r="A32" s="88">
        <v>144824</v>
      </c>
      <c r="B32" s="88">
        <v>13290</v>
      </c>
      <c r="C32" s="89" t="s">
        <v>944</v>
      </c>
      <c r="D32" s="89" t="s">
        <v>919</v>
      </c>
      <c r="E32" s="89"/>
      <c r="F32" s="89" t="s">
        <v>1536</v>
      </c>
      <c r="G32" s="89" t="s">
        <v>945</v>
      </c>
      <c r="H32" s="89"/>
      <c r="I32" s="89" t="s">
        <v>526</v>
      </c>
      <c r="J32" s="90">
        <v>1800</v>
      </c>
      <c r="K32" s="90">
        <v>2590</v>
      </c>
      <c r="L32" s="89" t="s">
        <v>1117</v>
      </c>
      <c r="M32" s="89" t="s">
        <v>528</v>
      </c>
      <c r="N32" s="89"/>
      <c r="O32" s="89"/>
      <c r="P32" s="5" t="str">
        <f t="shared" si="0"/>
        <v>1</v>
      </c>
      <c r="Q32" s="5" t="str">
        <f>INDEX(Кат!$J:$J,MATCH($A32,Кат!$A:$A,0))</f>
        <v>сергей проводка</v>
      </c>
    </row>
    <row r="33" spans="1:17" ht="45" x14ac:dyDescent="0.25">
      <c r="A33" s="88">
        <v>144825</v>
      </c>
      <c r="B33" s="88">
        <v>13291</v>
      </c>
      <c r="C33" s="89" t="s">
        <v>947</v>
      </c>
      <c r="D33" s="89" t="s">
        <v>919</v>
      </c>
      <c r="E33" s="89"/>
      <c r="F33" s="89" t="s">
        <v>1537</v>
      </c>
      <c r="G33" s="89" t="s">
        <v>946</v>
      </c>
      <c r="H33" s="89"/>
      <c r="I33" s="89" t="s">
        <v>526</v>
      </c>
      <c r="J33" s="90">
        <v>500</v>
      </c>
      <c r="K33" s="90">
        <v>859</v>
      </c>
      <c r="L33" s="89" t="s">
        <v>778</v>
      </c>
      <c r="M33" s="89" t="s">
        <v>528</v>
      </c>
      <c r="N33" s="89"/>
      <c r="O33" s="89"/>
      <c r="P33" s="5" t="str">
        <f t="shared" si="0"/>
        <v>1</v>
      </c>
      <c r="Q33" s="5" t="str">
        <f>INDEX(Кат!$J:$J,MATCH($A33,Кат!$A:$A,0))</f>
        <v>сергей проводка</v>
      </c>
    </row>
    <row r="34" spans="1:17" ht="45" x14ac:dyDescent="0.25">
      <c r="A34" s="88">
        <v>144826</v>
      </c>
      <c r="B34" s="88">
        <v>13292</v>
      </c>
      <c r="C34" s="89" t="s">
        <v>1250</v>
      </c>
      <c r="D34" s="89" t="s">
        <v>919</v>
      </c>
      <c r="E34" s="89"/>
      <c r="F34" s="89" t="s">
        <v>1538</v>
      </c>
      <c r="G34" s="89" t="s">
        <v>946</v>
      </c>
      <c r="H34" s="89"/>
      <c r="I34" s="89" t="s">
        <v>526</v>
      </c>
      <c r="J34" s="90">
        <v>500</v>
      </c>
      <c r="K34" s="90">
        <v>859</v>
      </c>
      <c r="L34" s="89" t="s">
        <v>778</v>
      </c>
      <c r="M34" s="89" t="s">
        <v>528</v>
      </c>
      <c r="N34" s="89"/>
      <c r="O34" s="89"/>
      <c r="P34" s="5" t="str">
        <f t="shared" si="0"/>
        <v>1</v>
      </c>
      <c r="Q34" s="5" t="str">
        <f>INDEX(Кат!$J:$J,MATCH($A34,Кат!$A:$A,0))</f>
        <v>сергей проводка</v>
      </c>
    </row>
    <row r="35" spans="1:17" ht="60" x14ac:dyDescent="0.25">
      <c r="A35" s="88">
        <v>144827</v>
      </c>
      <c r="B35" s="88">
        <v>13285</v>
      </c>
      <c r="C35" s="89" t="s">
        <v>948</v>
      </c>
      <c r="D35" s="89" t="s">
        <v>919</v>
      </c>
      <c r="E35" s="89"/>
      <c r="F35" s="89" t="s">
        <v>1539</v>
      </c>
      <c r="G35" s="89" t="s">
        <v>949</v>
      </c>
      <c r="H35" s="89"/>
      <c r="I35" s="89" t="s">
        <v>526</v>
      </c>
      <c r="J35" s="90">
        <v>2000</v>
      </c>
      <c r="K35" s="90">
        <v>2790</v>
      </c>
      <c r="L35" s="89" t="s">
        <v>1053</v>
      </c>
      <c r="M35" s="89" t="s">
        <v>528</v>
      </c>
      <c r="N35" s="89"/>
      <c r="O35" s="89"/>
      <c r="P35" s="5" t="str">
        <f t="shared" si="0"/>
        <v>1</v>
      </c>
      <c r="Q35" s="5" t="str">
        <f>INDEX(Кат!$J:$J,MATCH($A35,Кат!$A:$A,0))</f>
        <v>сергей проводка</v>
      </c>
    </row>
    <row r="36" spans="1:17" ht="60" x14ac:dyDescent="0.25">
      <c r="A36" s="88">
        <v>144828</v>
      </c>
      <c r="B36" s="88">
        <v>13432</v>
      </c>
      <c r="C36" s="89" t="s">
        <v>950</v>
      </c>
      <c r="D36" s="89" t="s">
        <v>919</v>
      </c>
      <c r="E36" s="89"/>
      <c r="F36" s="89" t="s">
        <v>1540</v>
      </c>
      <c r="G36" s="89" t="s">
        <v>1541</v>
      </c>
      <c r="H36" s="89"/>
      <c r="I36" s="89" t="s">
        <v>526</v>
      </c>
      <c r="J36" s="90">
        <v>400</v>
      </c>
      <c r="K36" s="90">
        <v>659</v>
      </c>
      <c r="L36" s="89" t="s">
        <v>1136</v>
      </c>
      <c r="M36" s="89" t="s">
        <v>528</v>
      </c>
      <c r="N36" s="89"/>
      <c r="O36" s="89"/>
      <c r="P36" s="5" t="str">
        <f t="shared" si="0"/>
        <v>1</v>
      </c>
      <c r="Q36" s="5" t="str">
        <f>INDEX(Кат!$J:$J,MATCH($A36,Кат!$A:$A,0))</f>
        <v>сергей проводка</v>
      </c>
    </row>
    <row r="37" spans="1:17" ht="75" x14ac:dyDescent="0.25">
      <c r="A37" s="88">
        <v>426432</v>
      </c>
      <c r="B37" s="88">
        <v>426432</v>
      </c>
      <c r="C37" s="89" t="s">
        <v>1251</v>
      </c>
      <c r="D37" s="89" t="s">
        <v>919</v>
      </c>
      <c r="E37" s="89"/>
      <c r="F37" s="89" t="s">
        <v>1542</v>
      </c>
      <c r="G37" s="89" t="s">
        <v>1543</v>
      </c>
      <c r="H37" s="89" t="s">
        <v>1252</v>
      </c>
      <c r="I37" s="89" t="s">
        <v>526</v>
      </c>
      <c r="J37" s="90">
        <v>1800</v>
      </c>
      <c r="K37" s="90">
        <v>2390</v>
      </c>
      <c r="L37" s="89" t="s">
        <v>1469</v>
      </c>
      <c r="M37" s="89" t="s">
        <v>528</v>
      </c>
      <c r="N37" s="89"/>
      <c r="O37" s="89"/>
      <c r="P37" s="5" t="str">
        <f t="shared" si="0"/>
        <v>1</v>
      </c>
      <c r="Q37" s="5" t="str">
        <f>INDEX(Кат!$J:$J,MATCH($A37,Кат!$A:$A,0))</f>
        <v>сергей проводка</v>
      </c>
    </row>
    <row r="38" spans="1:17" ht="45" x14ac:dyDescent="0.25">
      <c r="A38" s="88">
        <v>144829</v>
      </c>
      <c r="B38" s="88">
        <v>13393</v>
      </c>
      <c r="C38" s="89" t="s">
        <v>1157</v>
      </c>
      <c r="D38" s="89" t="s">
        <v>919</v>
      </c>
      <c r="E38" s="89"/>
      <c r="F38" s="89" t="s">
        <v>1544</v>
      </c>
      <c r="G38" s="89" t="s">
        <v>1545</v>
      </c>
      <c r="H38" s="89"/>
      <c r="I38" s="89" t="s">
        <v>526</v>
      </c>
      <c r="J38" s="90">
        <v>450</v>
      </c>
      <c r="K38" s="90">
        <v>789</v>
      </c>
      <c r="L38" s="89"/>
      <c r="M38" s="89" t="s">
        <v>920</v>
      </c>
      <c r="N38" s="89"/>
      <c r="O38" s="89"/>
      <c r="P38" s="5" t="str">
        <f t="shared" si="0"/>
        <v>0</v>
      </c>
      <c r="Q38" s="5" t="str">
        <f>INDEX(Кат!$J:$J,MATCH($A38,Кат!$A:$A,0))</f>
        <v>сергей проводка</v>
      </c>
    </row>
    <row r="39" spans="1:17" ht="45" x14ac:dyDescent="0.25">
      <c r="A39" s="88">
        <v>265184</v>
      </c>
      <c r="B39" s="88">
        <v>214163</v>
      </c>
      <c r="C39" s="89" t="s">
        <v>1158</v>
      </c>
      <c r="D39" s="89" t="s">
        <v>919</v>
      </c>
      <c r="E39" s="89"/>
      <c r="F39" s="89" t="s">
        <v>1546</v>
      </c>
      <c r="G39" s="89" t="s">
        <v>1547</v>
      </c>
      <c r="H39" s="89" t="s">
        <v>922</v>
      </c>
      <c r="I39" s="89" t="s">
        <v>526</v>
      </c>
      <c r="J39" s="90">
        <v>1200</v>
      </c>
      <c r="K39" s="90">
        <v>1790</v>
      </c>
      <c r="L39" s="89"/>
      <c r="M39" s="89" t="s">
        <v>528</v>
      </c>
      <c r="N39" s="89"/>
      <c r="O39" s="89"/>
      <c r="P39" s="5" t="str">
        <f t="shared" si="0"/>
        <v>1</v>
      </c>
      <c r="Q39" s="5" t="str">
        <f>INDEX(Кат!$J:$J,MATCH($A39,Кат!$A:$A,0))</f>
        <v>сергей проводка</v>
      </c>
    </row>
    <row r="40" spans="1:17" ht="45" x14ac:dyDescent="0.25">
      <c r="A40" s="88">
        <v>265183</v>
      </c>
      <c r="B40" s="88">
        <v>214161</v>
      </c>
      <c r="C40" s="89" t="s">
        <v>951</v>
      </c>
      <c r="D40" s="89" t="s">
        <v>919</v>
      </c>
      <c r="E40" s="89"/>
      <c r="F40" s="89" t="s">
        <v>1548</v>
      </c>
      <c r="G40" s="89" t="s">
        <v>1549</v>
      </c>
      <c r="H40" s="89" t="s">
        <v>921</v>
      </c>
      <c r="I40" s="89" t="s">
        <v>526</v>
      </c>
      <c r="J40" s="90">
        <v>1200</v>
      </c>
      <c r="K40" s="90">
        <v>1790</v>
      </c>
      <c r="L40" s="89"/>
      <c r="M40" s="89" t="s">
        <v>528</v>
      </c>
      <c r="N40" s="89" t="s">
        <v>556</v>
      </c>
      <c r="O40" s="89"/>
      <c r="P40" s="5" t="str">
        <f t="shared" si="0"/>
        <v>1ск6</v>
      </c>
      <c r="Q40" s="5" t="str">
        <f>INDEX(Кат!$J:$J,MATCH($A40,Кат!$A:$A,0))</f>
        <v>сергей проводка</v>
      </c>
    </row>
    <row r="41" spans="1:17" ht="60" x14ac:dyDescent="0.25">
      <c r="A41" s="88">
        <v>144830</v>
      </c>
      <c r="B41" s="88">
        <v>13416</v>
      </c>
      <c r="C41" s="89" t="s">
        <v>1253</v>
      </c>
      <c r="D41" s="89" t="s">
        <v>919</v>
      </c>
      <c r="E41" s="89"/>
      <c r="F41" s="89" t="s">
        <v>1550</v>
      </c>
      <c r="G41" s="89" t="s">
        <v>1551</v>
      </c>
      <c r="H41" s="89"/>
      <c r="I41" s="89" t="s">
        <v>526</v>
      </c>
      <c r="J41" s="90">
        <v>2500</v>
      </c>
      <c r="K41" s="90">
        <v>3490</v>
      </c>
      <c r="L41" s="89" t="s">
        <v>784</v>
      </c>
      <c r="M41" s="89" t="s">
        <v>528</v>
      </c>
      <c r="N41" s="89"/>
      <c r="O41" s="89"/>
      <c r="P41" s="5" t="str">
        <f t="shared" si="0"/>
        <v>1</v>
      </c>
      <c r="Q41" s="5" t="str">
        <f>INDEX(Кат!$J:$J,MATCH($A41,Кат!$A:$A,0))</f>
        <v>сергей проводка</v>
      </c>
    </row>
    <row r="42" spans="1:17" ht="30" x14ac:dyDescent="0.25">
      <c r="A42" s="88">
        <v>144834</v>
      </c>
      <c r="B42" s="88">
        <v>11523</v>
      </c>
      <c r="C42" s="89" t="s">
        <v>1254</v>
      </c>
      <c r="D42" s="89" t="s">
        <v>919</v>
      </c>
      <c r="E42" s="89"/>
      <c r="F42" s="89"/>
      <c r="G42" s="89"/>
      <c r="H42" s="89"/>
      <c r="I42" s="89" t="s">
        <v>526</v>
      </c>
      <c r="J42" s="90">
        <v>900</v>
      </c>
      <c r="K42" s="90">
        <v>1490</v>
      </c>
      <c r="L42" s="89"/>
      <c r="M42" s="89" t="s">
        <v>528</v>
      </c>
      <c r="N42" s="89"/>
      <c r="O42" s="89"/>
      <c r="P42" s="5" t="str">
        <f t="shared" si="0"/>
        <v>1</v>
      </c>
      <c r="Q42" s="5" t="str">
        <f>INDEX(Кат!$J:$J,MATCH($A42,Кат!$A:$A,0))</f>
        <v>сергей проводка</v>
      </c>
    </row>
    <row r="43" spans="1:17" ht="30" x14ac:dyDescent="0.25">
      <c r="A43" s="88">
        <v>144835</v>
      </c>
      <c r="B43" s="88">
        <v>37999</v>
      </c>
      <c r="C43" s="89" t="s">
        <v>530</v>
      </c>
      <c r="D43" s="89" t="s">
        <v>919</v>
      </c>
      <c r="E43" s="89"/>
      <c r="F43" s="89"/>
      <c r="G43" s="89"/>
      <c r="H43" s="89"/>
      <c r="I43" s="89" t="s">
        <v>526</v>
      </c>
      <c r="J43" s="90">
        <v>1350</v>
      </c>
      <c r="K43" s="90">
        <v>2090</v>
      </c>
      <c r="L43" s="89"/>
      <c r="M43" s="89" t="s">
        <v>528</v>
      </c>
      <c r="N43" s="89"/>
      <c r="O43" s="89"/>
      <c r="P43" s="5" t="str">
        <f t="shared" si="0"/>
        <v>1</v>
      </c>
      <c r="Q43" s="5" t="str">
        <f>INDEX(Кат!$J:$J,MATCH($A43,Кат!$A:$A,0))</f>
        <v>сергей проводка</v>
      </c>
    </row>
    <row r="44" spans="1:17" ht="60" x14ac:dyDescent="0.25">
      <c r="A44" s="88">
        <v>144837</v>
      </c>
      <c r="B44" s="88">
        <v>13316</v>
      </c>
      <c r="C44" s="89" t="s">
        <v>952</v>
      </c>
      <c r="D44" s="89" t="s">
        <v>919</v>
      </c>
      <c r="E44" s="89"/>
      <c r="F44" s="89" t="s">
        <v>1552</v>
      </c>
      <c r="G44" s="89" t="s">
        <v>1553</v>
      </c>
      <c r="H44" s="89"/>
      <c r="I44" s="89" t="s">
        <v>526</v>
      </c>
      <c r="J44" s="90">
        <v>400</v>
      </c>
      <c r="K44" s="90">
        <v>659</v>
      </c>
      <c r="L44" s="89" t="s">
        <v>1134</v>
      </c>
      <c r="M44" s="89" t="s">
        <v>528</v>
      </c>
      <c r="N44" s="89"/>
      <c r="O44" s="89"/>
      <c r="P44" s="5" t="str">
        <f t="shared" si="0"/>
        <v>1</v>
      </c>
      <c r="Q44" s="5" t="str">
        <f>INDEX(Кат!$J:$J,MATCH($A44,Кат!$A:$A,0))</f>
        <v>сергей проводка</v>
      </c>
    </row>
    <row r="45" spans="1:17" ht="75" x14ac:dyDescent="0.25">
      <c r="A45" s="88">
        <v>426933</v>
      </c>
      <c r="B45" s="88">
        <v>426933</v>
      </c>
      <c r="C45" s="89" t="s">
        <v>1255</v>
      </c>
      <c r="D45" s="89" t="s">
        <v>919</v>
      </c>
      <c r="E45" s="89"/>
      <c r="F45" s="89" t="s">
        <v>1554</v>
      </c>
      <c r="G45" s="89" t="s">
        <v>1256</v>
      </c>
      <c r="H45" s="89" t="s">
        <v>1257</v>
      </c>
      <c r="I45" s="89" t="s">
        <v>526</v>
      </c>
      <c r="J45" s="90">
        <v>1000</v>
      </c>
      <c r="K45" s="90">
        <v>1490</v>
      </c>
      <c r="L45" s="89"/>
      <c r="M45" s="89" t="s">
        <v>528</v>
      </c>
      <c r="N45" s="89"/>
      <c r="O45" s="89"/>
      <c r="P45" s="5" t="str">
        <f t="shared" si="0"/>
        <v>1</v>
      </c>
      <c r="Q45" s="5" t="str">
        <f>INDEX(Кат!$J:$J,MATCH($A45,Кат!$A:$A,0))</f>
        <v>сергей проводка</v>
      </c>
    </row>
    <row r="46" spans="1:17" ht="60" x14ac:dyDescent="0.25">
      <c r="A46" s="88">
        <v>144855</v>
      </c>
      <c r="B46" s="88">
        <v>13346</v>
      </c>
      <c r="C46" s="89" t="s">
        <v>1258</v>
      </c>
      <c r="D46" s="89" t="s">
        <v>919</v>
      </c>
      <c r="E46" s="89"/>
      <c r="F46" s="89" t="s">
        <v>1555</v>
      </c>
      <c r="G46" s="89" t="s">
        <v>1159</v>
      </c>
      <c r="H46" s="89"/>
      <c r="I46" s="89" t="s">
        <v>526</v>
      </c>
      <c r="J46" s="90">
        <v>5000</v>
      </c>
      <c r="K46" s="90">
        <v>7090</v>
      </c>
      <c r="L46" s="89" t="s">
        <v>1079</v>
      </c>
      <c r="M46" s="89" t="s">
        <v>528</v>
      </c>
      <c r="N46" s="89"/>
      <c r="O46" s="89"/>
      <c r="P46" s="5" t="str">
        <f t="shared" si="0"/>
        <v>1</v>
      </c>
      <c r="Q46" s="5" t="str">
        <f>INDEX(Кат!$J:$J,MATCH($A46,Кат!$A:$A,0))</f>
        <v>сергей проводка</v>
      </c>
    </row>
    <row r="47" spans="1:17" ht="60" x14ac:dyDescent="0.25">
      <c r="A47" s="88">
        <v>144856</v>
      </c>
      <c r="B47" s="88">
        <v>13347</v>
      </c>
      <c r="C47" s="89" t="s">
        <v>1259</v>
      </c>
      <c r="D47" s="89" t="s">
        <v>919</v>
      </c>
      <c r="E47" s="89"/>
      <c r="F47" s="89" t="s">
        <v>1556</v>
      </c>
      <c r="G47" s="89" t="s">
        <v>1159</v>
      </c>
      <c r="H47" s="89"/>
      <c r="I47" s="89" t="s">
        <v>526</v>
      </c>
      <c r="J47" s="90">
        <v>6500</v>
      </c>
      <c r="K47" s="90">
        <v>8790</v>
      </c>
      <c r="L47" s="89" t="s">
        <v>1090</v>
      </c>
      <c r="M47" s="89" t="s">
        <v>528</v>
      </c>
      <c r="N47" s="89"/>
      <c r="O47" s="89"/>
      <c r="P47" s="5" t="str">
        <f t="shared" si="0"/>
        <v>1</v>
      </c>
      <c r="Q47" s="5" t="str">
        <f>INDEX(Кат!$J:$J,MATCH($A47,Кат!$A:$A,0))</f>
        <v>сергей проводка</v>
      </c>
    </row>
    <row r="48" spans="1:17" ht="60" x14ac:dyDescent="0.25">
      <c r="A48" s="88">
        <v>144857</v>
      </c>
      <c r="B48" s="88">
        <v>13348</v>
      </c>
      <c r="C48" s="89" t="s">
        <v>1260</v>
      </c>
      <c r="D48" s="89" t="s">
        <v>919</v>
      </c>
      <c r="E48" s="89"/>
      <c r="F48" s="89" t="s">
        <v>1557</v>
      </c>
      <c r="G48" s="89" t="s">
        <v>1558</v>
      </c>
      <c r="H48" s="89"/>
      <c r="I48" s="89" t="s">
        <v>526</v>
      </c>
      <c r="J48" s="90">
        <v>5500</v>
      </c>
      <c r="K48" s="90">
        <v>7790</v>
      </c>
      <c r="L48" s="89" t="s">
        <v>1085</v>
      </c>
      <c r="M48" s="89" t="s">
        <v>528</v>
      </c>
      <c r="N48" s="89"/>
      <c r="O48" s="89"/>
      <c r="P48" s="5" t="str">
        <f t="shared" si="0"/>
        <v>1</v>
      </c>
      <c r="Q48" s="5" t="str">
        <f>INDEX(Кат!$J:$J,MATCH($A48,Кат!$A:$A,0))</f>
        <v>сергей проводка</v>
      </c>
    </row>
    <row r="49" spans="1:17" ht="60" x14ac:dyDescent="0.25">
      <c r="A49" s="88">
        <v>144858</v>
      </c>
      <c r="B49" s="88">
        <v>13349</v>
      </c>
      <c r="C49" s="89" t="s">
        <v>1261</v>
      </c>
      <c r="D49" s="89" t="s">
        <v>919</v>
      </c>
      <c r="E49" s="89"/>
      <c r="F49" s="89" t="s">
        <v>1559</v>
      </c>
      <c r="G49" s="89" t="s">
        <v>1560</v>
      </c>
      <c r="H49" s="89"/>
      <c r="I49" s="89" t="s">
        <v>526</v>
      </c>
      <c r="J49" s="90">
        <v>6000</v>
      </c>
      <c r="K49" s="90">
        <v>8490</v>
      </c>
      <c r="L49" s="89" t="s">
        <v>795</v>
      </c>
      <c r="M49" s="89" t="s">
        <v>528</v>
      </c>
      <c r="N49" s="89"/>
      <c r="O49" s="89"/>
      <c r="P49" s="5" t="str">
        <f t="shared" si="0"/>
        <v>1</v>
      </c>
      <c r="Q49" s="5" t="str">
        <f>INDEX(Кат!$J:$J,MATCH($A49,Кат!$A:$A,0))</f>
        <v>сергей проводка</v>
      </c>
    </row>
    <row r="50" spans="1:17" ht="60" x14ac:dyDescent="0.25">
      <c r="A50" s="88">
        <v>144859</v>
      </c>
      <c r="B50" s="88">
        <v>13350</v>
      </c>
      <c r="C50" s="89" t="s">
        <v>1262</v>
      </c>
      <c r="D50" s="89" t="s">
        <v>919</v>
      </c>
      <c r="E50" s="89"/>
      <c r="F50" s="89" t="s">
        <v>1561</v>
      </c>
      <c r="G50" s="89" t="s">
        <v>1562</v>
      </c>
      <c r="H50" s="89"/>
      <c r="I50" s="89" t="s">
        <v>526</v>
      </c>
      <c r="J50" s="90">
        <v>5500</v>
      </c>
      <c r="K50" s="90">
        <v>7790</v>
      </c>
      <c r="L50" s="89" t="s">
        <v>891</v>
      </c>
      <c r="M50" s="89" t="s">
        <v>528</v>
      </c>
      <c r="N50" s="89"/>
      <c r="O50" s="89"/>
      <c r="P50" s="5" t="str">
        <f t="shared" si="0"/>
        <v>1</v>
      </c>
      <c r="Q50" s="5" t="str">
        <f>INDEX(Кат!$J:$J,MATCH($A50,Кат!$A:$A,0))</f>
        <v>сергей проводка</v>
      </c>
    </row>
    <row r="51" spans="1:17" ht="75" x14ac:dyDescent="0.25">
      <c r="A51" s="88">
        <v>426994</v>
      </c>
      <c r="B51" s="88">
        <v>426994</v>
      </c>
      <c r="C51" s="89" t="s">
        <v>1263</v>
      </c>
      <c r="D51" s="89" t="s">
        <v>919</v>
      </c>
      <c r="E51" s="89"/>
      <c r="F51" s="89" t="s">
        <v>1264</v>
      </c>
      <c r="G51" s="89"/>
      <c r="H51" s="89" t="s">
        <v>1265</v>
      </c>
      <c r="I51" s="89" t="s">
        <v>526</v>
      </c>
      <c r="J51" s="90">
        <v>6000</v>
      </c>
      <c r="K51" s="90">
        <v>8490</v>
      </c>
      <c r="L51" s="89" t="s">
        <v>1266</v>
      </c>
      <c r="M51" s="89" t="s">
        <v>528</v>
      </c>
      <c r="N51" s="89"/>
      <c r="O51" s="89"/>
      <c r="P51" s="5" t="str">
        <f t="shared" si="0"/>
        <v>1</v>
      </c>
      <c r="Q51" s="5" t="str">
        <f>INDEX(Кат!$J:$J,MATCH($A51,Кат!$A:$A,0))</f>
        <v>сергей проводка</v>
      </c>
    </row>
    <row r="52" spans="1:17" ht="45" x14ac:dyDescent="0.25">
      <c r="A52" s="88">
        <v>144840</v>
      </c>
      <c r="B52" s="88">
        <v>13231</v>
      </c>
      <c r="C52" s="89" t="s">
        <v>954</v>
      </c>
      <c r="D52" s="89" t="s">
        <v>919</v>
      </c>
      <c r="E52" s="89"/>
      <c r="F52" s="89" t="s">
        <v>1563</v>
      </c>
      <c r="G52" s="89" t="s">
        <v>955</v>
      </c>
      <c r="H52" s="89"/>
      <c r="I52" s="89" t="s">
        <v>526</v>
      </c>
      <c r="J52" s="90">
        <v>1000</v>
      </c>
      <c r="K52" s="90">
        <v>1490</v>
      </c>
      <c r="L52" s="89" t="s">
        <v>1122</v>
      </c>
      <c r="M52" s="89" t="s">
        <v>528</v>
      </c>
      <c r="N52" s="89"/>
      <c r="O52" s="89"/>
      <c r="P52" s="5" t="str">
        <f t="shared" si="0"/>
        <v>1</v>
      </c>
      <c r="Q52" s="5" t="str">
        <f>INDEX(Кат!$J:$J,MATCH($A52,Кат!$A:$A,0))</f>
        <v>сергей проводка</v>
      </c>
    </row>
    <row r="53" spans="1:17" ht="45" x14ac:dyDescent="0.25">
      <c r="A53" s="88">
        <v>144841</v>
      </c>
      <c r="B53" s="88">
        <v>13252</v>
      </c>
      <c r="C53" s="89" t="s">
        <v>1160</v>
      </c>
      <c r="D53" s="89" t="s">
        <v>919</v>
      </c>
      <c r="E53" s="89"/>
      <c r="F53" s="89" t="s">
        <v>1564</v>
      </c>
      <c r="G53" s="89" t="s">
        <v>956</v>
      </c>
      <c r="H53" s="89"/>
      <c r="I53" s="89" t="s">
        <v>526</v>
      </c>
      <c r="J53" s="90">
        <v>2000</v>
      </c>
      <c r="K53" s="90">
        <v>3490</v>
      </c>
      <c r="L53" s="89" t="s">
        <v>901</v>
      </c>
      <c r="M53" s="89" t="s">
        <v>528</v>
      </c>
      <c r="N53" s="89"/>
      <c r="O53" s="89"/>
      <c r="P53" s="5" t="str">
        <f t="shared" si="0"/>
        <v>1</v>
      </c>
      <c r="Q53" s="5" t="str">
        <f>INDEX(Кат!$J:$J,MATCH($A53,Кат!$A:$A,0))</f>
        <v>сергей проводка</v>
      </c>
    </row>
    <row r="54" spans="1:17" ht="60" x14ac:dyDescent="0.25">
      <c r="A54" s="88">
        <v>144843</v>
      </c>
      <c r="B54" s="88">
        <v>13263</v>
      </c>
      <c r="C54" s="89" t="s">
        <v>1267</v>
      </c>
      <c r="D54" s="89" t="s">
        <v>919</v>
      </c>
      <c r="E54" s="89"/>
      <c r="F54" s="89" t="s">
        <v>1565</v>
      </c>
      <c r="G54" s="89" t="s">
        <v>1566</v>
      </c>
      <c r="H54" s="89"/>
      <c r="I54" s="89" t="s">
        <v>526</v>
      </c>
      <c r="J54" s="90">
        <v>2500</v>
      </c>
      <c r="K54" s="90">
        <v>3490</v>
      </c>
      <c r="L54" s="89" t="s">
        <v>1051</v>
      </c>
      <c r="M54" s="89" t="s">
        <v>528</v>
      </c>
      <c r="N54" s="89"/>
      <c r="O54" s="89"/>
      <c r="P54" s="5" t="str">
        <f t="shared" si="0"/>
        <v>1</v>
      </c>
      <c r="Q54" s="5" t="str">
        <f>INDEX(Кат!$J:$J,MATCH($A54,Кат!$A:$A,0))</f>
        <v>сергей проводка</v>
      </c>
    </row>
    <row r="55" spans="1:17" ht="45" x14ac:dyDescent="0.25">
      <c r="A55" s="88">
        <v>144842</v>
      </c>
      <c r="B55" s="88">
        <v>13264</v>
      </c>
      <c r="C55" s="89" t="s">
        <v>957</v>
      </c>
      <c r="D55" s="89" t="s">
        <v>919</v>
      </c>
      <c r="E55" s="89"/>
      <c r="F55" s="89" t="s">
        <v>1567</v>
      </c>
      <c r="G55" s="89" t="s">
        <v>958</v>
      </c>
      <c r="H55" s="89"/>
      <c r="I55" s="89" t="s">
        <v>526</v>
      </c>
      <c r="J55" s="90">
        <v>2500</v>
      </c>
      <c r="K55" s="90">
        <v>3490</v>
      </c>
      <c r="L55" s="89" t="s">
        <v>1049</v>
      </c>
      <c r="M55" s="89" t="s">
        <v>528</v>
      </c>
      <c r="N55" s="89"/>
      <c r="O55" s="89"/>
      <c r="P55" s="5" t="str">
        <f t="shared" si="0"/>
        <v>1</v>
      </c>
      <c r="Q55" s="5" t="str">
        <f>INDEX(Кат!$J:$J,MATCH($A55,Кат!$A:$A,0))</f>
        <v>сергей проводка</v>
      </c>
    </row>
    <row r="56" spans="1:17" ht="60" x14ac:dyDescent="0.25">
      <c r="A56" s="88">
        <v>144844</v>
      </c>
      <c r="B56" s="88">
        <v>13295</v>
      </c>
      <c r="C56" s="89" t="s">
        <v>959</v>
      </c>
      <c r="D56" s="89" t="s">
        <v>919</v>
      </c>
      <c r="E56" s="89"/>
      <c r="F56" s="89" t="s">
        <v>1568</v>
      </c>
      <c r="G56" s="89" t="s">
        <v>1569</v>
      </c>
      <c r="H56" s="89"/>
      <c r="I56" s="89" t="s">
        <v>526</v>
      </c>
      <c r="J56" s="90">
        <v>3000</v>
      </c>
      <c r="K56" s="90">
        <v>4190</v>
      </c>
      <c r="L56" s="89" t="s">
        <v>1066</v>
      </c>
      <c r="M56" s="89" t="s">
        <v>528</v>
      </c>
      <c r="N56" s="89"/>
      <c r="O56" s="89"/>
      <c r="P56" s="5" t="str">
        <f t="shared" si="0"/>
        <v>1</v>
      </c>
      <c r="Q56" s="5" t="str">
        <f>INDEX(Кат!$J:$J,MATCH($A56,Кат!$A:$A,0))</f>
        <v>сергей проводка</v>
      </c>
    </row>
    <row r="57" spans="1:17" ht="60" x14ac:dyDescent="0.25">
      <c r="A57" s="88">
        <v>144845</v>
      </c>
      <c r="B57" s="88">
        <v>13293</v>
      </c>
      <c r="C57" s="89" t="s">
        <v>960</v>
      </c>
      <c r="D57" s="89" t="s">
        <v>919</v>
      </c>
      <c r="E57" s="89"/>
      <c r="F57" s="89" t="s">
        <v>1570</v>
      </c>
      <c r="G57" s="89" t="s">
        <v>1571</v>
      </c>
      <c r="H57" s="89"/>
      <c r="I57" s="89" t="s">
        <v>526</v>
      </c>
      <c r="J57" s="90">
        <v>3000</v>
      </c>
      <c r="K57" s="90">
        <v>4190</v>
      </c>
      <c r="L57" s="89" t="s">
        <v>790</v>
      </c>
      <c r="M57" s="89" t="s">
        <v>528</v>
      </c>
      <c r="N57" s="89"/>
      <c r="O57" s="89"/>
      <c r="P57" s="5" t="str">
        <f t="shared" si="0"/>
        <v>1</v>
      </c>
      <c r="Q57" s="5" t="str">
        <f>INDEX(Кат!$J:$J,MATCH($A57,Кат!$A:$A,0))</f>
        <v>сергей проводка</v>
      </c>
    </row>
    <row r="58" spans="1:17" ht="60" x14ac:dyDescent="0.25">
      <c r="A58" s="88">
        <v>144846</v>
      </c>
      <c r="B58" s="88">
        <v>13294</v>
      </c>
      <c r="C58" s="89" t="s">
        <v>961</v>
      </c>
      <c r="D58" s="89" t="s">
        <v>919</v>
      </c>
      <c r="E58" s="89"/>
      <c r="F58" s="89" t="s">
        <v>1572</v>
      </c>
      <c r="G58" s="89" t="s">
        <v>1573</v>
      </c>
      <c r="H58" s="89"/>
      <c r="I58" s="89" t="s">
        <v>526</v>
      </c>
      <c r="J58" s="90">
        <v>3000</v>
      </c>
      <c r="K58" s="90">
        <v>4190</v>
      </c>
      <c r="L58" s="89" t="s">
        <v>1067</v>
      </c>
      <c r="M58" s="89" t="s">
        <v>528</v>
      </c>
      <c r="N58" s="89"/>
      <c r="O58" s="89"/>
      <c r="P58" s="5" t="str">
        <f t="shared" si="0"/>
        <v>1</v>
      </c>
      <c r="Q58" s="5" t="str">
        <f>INDEX(Кат!$J:$J,MATCH($A58,Кат!$A:$A,0))</f>
        <v>сергей проводка</v>
      </c>
    </row>
    <row r="59" spans="1:17" ht="60" x14ac:dyDescent="0.25">
      <c r="A59" s="88">
        <v>144860</v>
      </c>
      <c r="B59" s="88">
        <v>13366</v>
      </c>
      <c r="C59" s="89" t="s">
        <v>1161</v>
      </c>
      <c r="D59" s="89" t="s">
        <v>919</v>
      </c>
      <c r="E59" s="89"/>
      <c r="F59" s="89" t="s">
        <v>1574</v>
      </c>
      <c r="G59" s="89" t="s">
        <v>1162</v>
      </c>
      <c r="H59" s="89"/>
      <c r="I59" s="89" t="s">
        <v>526</v>
      </c>
      <c r="J59" s="90">
        <v>5000</v>
      </c>
      <c r="K59" s="90">
        <v>7090</v>
      </c>
      <c r="L59" s="89" t="s">
        <v>1108</v>
      </c>
      <c r="M59" s="89" t="s">
        <v>528</v>
      </c>
      <c r="N59" s="89"/>
      <c r="O59" s="89"/>
      <c r="P59" s="5" t="str">
        <f t="shared" si="0"/>
        <v>1</v>
      </c>
      <c r="Q59" s="5" t="str">
        <f>INDEX(Кат!$J:$J,MATCH($A59,Кат!$A:$A,0))</f>
        <v>сергей проводка</v>
      </c>
    </row>
    <row r="60" spans="1:17" ht="60" x14ac:dyDescent="0.25">
      <c r="A60" s="88">
        <v>144838</v>
      </c>
      <c r="B60" s="88">
        <v>13317</v>
      </c>
      <c r="C60" s="89" t="s">
        <v>1268</v>
      </c>
      <c r="D60" s="89" t="s">
        <v>919</v>
      </c>
      <c r="E60" s="89"/>
      <c r="F60" s="89" t="s">
        <v>1575</v>
      </c>
      <c r="G60" s="89" t="s">
        <v>962</v>
      </c>
      <c r="H60" s="89"/>
      <c r="I60" s="89" t="s">
        <v>526</v>
      </c>
      <c r="J60" s="90">
        <v>4500</v>
      </c>
      <c r="K60" s="90">
        <v>6290</v>
      </c>
      <c r="L60" s="89" t="s">
        <v>1075</v>
      </c>
      <c r="M60" s="89" t="s">
        <v>528</v>
      </c>
      <c r="N60" s="89"/>
      <c r="O60" s="89"/>
      <c r="P60" s="5" t="str">
        <f t="shared" si="0"/>
        <v>1</v>
      </c>
      <c r="Q60" s="5" t="str">
        <f>INDEX(Кат!$J:$J,MATCH($A60,Кат!$A:$A,0))</f>
        <v>сергей проводка</v>
      </c>
    </row>
    <row r="61" spans="1:17" ht="45" x14ac:dyDescent="0.25">
      <c r="A61" s="88">
        <v>144839</v>
      </c>
      <c r="B61" s="88">
        <v>13318</v>
      </c>
      <c r="C61" s="89" t="s">
        <v>1269</v>
      </c>
      <c r="D61" s="89" t="s">
        <v>919</v>
      </c>
      <c r="E61" s="89"/>
      <c r="F61" s="89" t="s">
        <v>1576</v>
      </c>
      <c r="G61" s="89" t="s">
        <v>963</v>
      </c>
      <c r="H61" s="89"/>
      <c r="I61" s="89" t="s">
        <v>526</v>
      </c>
      <c r="J61" s="90">
        <v>5000</v>
      </c>
      <c r="K61" s="90">
        <v>7090</v>
      </c>
      <c r="L61" s="89" t="s">
        <v>1084</v>
      </c>
      <c r="M61" s="89" t="s">
        <v>528</v>
      </c>
      <c r="N61" s="89"/>
      <c r="O61" s="89"/>
      <c r="P61" s="5" t="str">
        <f t="shared" si="0"/>
        <v>1</v>
      </c>
      <c r="Q61" s="5" t="str">
        <f>INDEX(Кат!$J:$J,MATCH($A61,Кат!$A:$A,0))</f>
        <v>сергей проводка</v>
      </c>
    </row>
    <row r="62" spans="1:17" ht="60" x14ac:dyDescent="0.25">
      <c r="A62" s="88">
        <v>144852</v>
      </c>
      <c r="B62" s="88">
        <v>13430</v>
      </c>
      <c r="C62" s="89" t="s">
        <v>1270</v>
      </c>
      <c r="D62" s="89" t="s">
        <v>919</v>
      </c>
      <c r="E62" s="89"/>
      <c r="F62" s="89" t="s">
        <v>1577</v>
      </c>
      <c r="G62" s="89" t="s">
        <v>964</v>
      </c>
      <c r="H62" s="89"/>
      <c r="I62" s="89" t="s">
        <v>526</v>
      </c>
      <c r="J62" s="90">
        <v>3500</v>
      </c>
      <c r="K62" s="90">
        <v>4890</v>
      </c>
      <c r="L62" s="89" t="s">
        <v>893</v>
      </c>
      <c r="M62" s="89" t="s">
        <v>528</v>
      </c>
      <c r="N62" s="89"/>
      <c r="O62" s="89"/>
      <c r="P62" s="5" t="str">
        <f t="shared" si="0"/>
        <v>1</v>
      </c>
      <c r="Q62" s="5" t="str">
        <f>INDEX(Кат!$J:$J,MATCH($A62,Кат!$A:$A,0))</f>
        <v>сергей проводка</v>
      </c>
    </row>
    <row r="63" spans="1:17" ht="60" x14ac:dyDescent="0.25">
      <c r="A63" s="88">
        <v>144851</v>
      </c>
      <c r="B63" s="88">
        <v>13422</v>
      </c>
      <c r="C63" s="89" t="s">
        <v>1271</v>
      </c>
      <c r="D63" s="89" t="s">
        <v>919</v>
      </c>
      <c r="E63" s="89"/>
      <c r="F63" s="89" t="s">
        <v>1578</v>
      </c>
      <c r="G63" s="89" t="s">
        <v>965</v>
      </c>
      <c r="H63" s="89"/>
      <c r="I63" s="89" t="s">
        <v>526</v>
      </c>
      <c r="J63" s="90">
        <v>3000</v>
      </c>
      <c r="K63" s="90">
        <v>4190</v>
      </c>
      <c r="L63" s="89" t="s">
        <v>896</v>
      </c>
      <c r="M63" s="89" t="s">
        <v>528</v>
      </c>
      <c r="N63" s="89"/>
      <c r="O63" s="89"/>
      <c r="P63" s="5" t="str">
        <f t="shared" si="0"/>
        <v>1</v>
      </c>
      <c r="Q63" s="5" t="str">
        <f>INDEX(Кат!$J:$J,MATCH($A63,Кат!$A:$A,0))</f>
        <v>сергей проводка</v>
      </c>
    </row>
    <row r="64" spans="1:17" ht="45" x14ac:dyDescent="0.25">
      <c r="A64" s="88">
        <v>144854</v>
      </c>
      <c r="B64" s="88">
        <v>13431</v>
      </c>
      <c r="C64" s="89" t="s">
        <v>1272</v>
      </c>
      <c r="D64" s="89" t="s">
        <v>919</v>
      </c>
      <c r="E64" s="89"/>
      <c r="F64" s="89" t="s">
        <v>1579</v>
      </c>
      <c r="G64" s="89" t="s">
        <v>966</v>
      </c>
      <c r="H64" s="89"/>
      <c r="I64" s="89" t="s">
        <v>526</v>
      </c>
      <c r="J64" s="90">
        <v>3500</v>
      </c>
      <c r="K64" s="90">
        <v>5090</v>
      </c>
      <c r="L64" s="89" t="s">
        <v>892</v>
      </c>
      <c r="M64" s="89" t="s">
        <v>528</v>
      </c>
      <c r="N64" s="89"/>
      <c r="O64" s="89"/>
      <c r="P64" s="5" t="str">
        <f t="shared" si="0"/>
        <v>1</v>
      </c>
      <c r="Q64" s="5" t="str">
        <f>INDEX(Кат!$J:$J,MATCH($A64,Кат!$A:$A,0))</f>
        <v>сергей проводка</v>
      </c>
    </row>
    <row r="65" spans="1:17" ht="60" x14ac:dyDescent="0.25">
      <c r="A65" s="88">
        <v>426738</v>
      </c>
      <c r="B65" s="88">
        <v>426738</v>
      </c>
      <c r="C65" s="89" t="s">
        <v>1273</v>
      </c>
      <c r="D65" s="89" t="s">
        <v>919</v>
      </c>
      <c r="E65" s="89"/>
      <c r="F65" s="89" t="s">
        <v>1580</v>
      </c>
      <c r="G65" s="89" t="s">
        <v>966</v>
      </c>
      <c r="H65" s="89" t="s">
        <v>1274</v>
      </c>
      <c r="I65" s="89" t="s">
        <v>526</v>
      </c>
      <c r="J65" s="90">
        <v>6000</v>
      </c>
      <c r="K65" s="90">
        <v>8490</v>
      </c>
      <c r="L65" s="89" t="s">
        <v>1470</v>
      </c>
      <c r="M65" s="89" t="s">
        <v>528</v>
      </c>
      <c r="N65" s="89"/>
      <c r="O65" s="89"/>
      <c r="P65" s="5" t="str">
        <f t="shared" si="0"/>
        <v>1</v>
      </c>
      <c r="Q65" s="5" t="str">
        <f>INDEX(Кат!$J:$J,MATCH($A65,Кат!$A:$A,0))</f>
        <v>сергей проводка</v>
      </c>
    </row>
    <row r="66" spans="1:17" ht="60" x14ac:dyDescent="0.25">
      <c r="A66" s="88">
        <v>144853</v>
      </c>
      <c r="B66" s="88">
        <v>13395</v>
      </c>
      <c r="C66" s="89" t="s">
        <v>967</v>
      </c>
      <c r="D66" s="89" t="s">
        <v>919</v>
      </c>
      <c r="E66" s="89"/>
      <c r="F66" s="89" t="s">
        <v>1581</v>
      </c>
      <c r="G66" s="89" t="s">
        <v>968</v>
      </c>
      <c r="H66" s="89"/>
      <c r="I66" s="89" t="s">
        <v>526</v>
      </c>
      <c r="J66" s="90">
        <v>6000</v>
      </c>
      <c r="K66" s="90">
        <v>7990</v>
      </c>
      <c r="L66" s="89" t="s">
        <v>792</v>
      </c>
      <c r="M66" s="89" t="s">
        <v>528</v>
      </c>
      <c r="N66" s="89"/>
      <c r="O66" s="89"/>
      <c r="P66" s="5" t="str">
        <f t="shared" si="0"/>
        <v>1</v>
      </c>
      <c r="Q66" s="5" t="str">
        <f>INDEX(Кат!$J:$J,MATCH($A66,Кат!$A:$A,0))</f>
        <v>сергей проводка</v>
      </c>
    </row>
    <row r="67" spans="1:17" ht="45" x14ac:dyDescent="0.25">
      <c r="A67" s="88">
        <v>144861</v>
      </c>
      <c r="B67" s="88">
        <v>13284</v>
      </c>
      <c r="C67" s="89" t="s">
        <v>1275</v>
      </c>
      <c r="D67" s="89" t="s">
        <v>919</v>
      </c>
      <c r="E67" s="89"/>
      <c r="F67" s="89" t="s">
        <v>1582</v>
      </c>
      <c r="G67" s="89" t="s">
        <v>953</v>
      </c>
      <c r="H67" s="89"/>
      <c r="I67" s="89" t="s">
        <v>526</v>
      </c>
      <c r="J67" s="90">
        <v>700</v>
      </c>
      <c r="K67" s="90">
        <v>879</v>
      </c>
      <c r="L67" s="89" t="s">
        <v>815</v>
      </c>
      <c r="M67" s="89" t="s">
        <v>528</v>
      </c>
      <c r="N67" s="89"/>
      <c r="O67" s="89"/>
      <c r="P67" s="5" t="str">
        <f t="shared" ref="P67:P130" si="1">_xlfn.CONCAT(M67,IF(N67&lt;&gt;"",_xlfn.CONCAT("ск",N67),""))</f>
        <v>1</v>
      </c>
      <c r="Q67" s="5" t="str">
        <f>INDEX(Кат!$J:$J,MATCH($A67,Кат!$A:$A,0))</f>
        <v>сергей проводка</v>
      </c>
    </row>
    <row r="68" spans="1:17" ht="60" x14ac:dyDescent="0.25">
      <c r="A68" s="88">
        <v>144864</v>
      </c>
      <c r="B68" s="88">
        <v>13286</v>
      </c>
      <c r="C68" s="89" t="s">
        <v>1276</v>
      </c>
      <c r="D68" s="89" t="s">
        <v>919</v>
      </c>
      <c r="E68" s="89"/>
      <c r="F68" s="89" t="s">
        <v>1583</v>
      </c>
      <c r="G68" s="89" t="s">
        <v>969</v>
      </c>
      <c r="H68" s="89"/>
      <c r="I68" s="89" t="s">
        <v>526</v>
      </c>
      <c r="J68" s="90">
        <v>550</v>
      </c>
      <c r="K68" s="90">
        <v>859</v>
      </c>
      <c r="L68" s="89" t="s">
        <v>1129</v>
      </c>
      <c r="M68" s="89" t="s">
        <v>528</v>
      </c>
      <c r="N68" s="89"/>
      <c r="O68" s="89"/>
      <c r="P68" s="5" t="str">
        <f t="shared" si="1"/>
        <v>1</v>
      </c>
      <c r="Q68" s="5" t="str">
        <f>INDEX(Кат!$J:$J,MATCH($A68,Кат!$A:$A,0))</f>
        <v>сергей проводка</v>
      </c>
    </row>
    <row r="69" spans="1:17" ht="60" x14ac:dyDescent="0.25">
      <c r="A69" s="88">
        <v>144865</v>
      </c>
      <c r="B69" s="88">
        <v>13337</v>
      </c>
      <c r="C69" s="89" t="s">
        <v>1277</v>
      </c>
      <c r="D69" s="89" t="s">
        <v>919</v>
      </c>
      <c r="E69" s="89"/>
      <c r="F69" s="89" t="s">
        <v>1584</v>
      </c>
      <c r="G69" s="89" t="s">
        <v>970</v>
      </c>
      <c r="H69" s="89"/>
      <c r="I69" s="89" t="s">
        <v>526</v>
      </c>
      <c r="J69" s="90">
        <v>650</v>
      </c>
      <c r="K69" s="90">
        <v>1090</v>
      </c>
      <c r="L69" s="89" t="s">
        <v>909</v>
      </c>
      <c r="M69" s="89" t="s">
        <v>528</v>
      </c>
      <c r="N69" s="89"/>
      <c r="O69" s="89"/>
      <c r="P69" s="5" t="str">
        <f t="shared" si="1"/>
        <v>1</v>
      </c>
      <c r="Q69" s="5" t="str">
        <f>INDEX(Кат!$J:$J,MATCH($A69,Кат!$A:$A,0))</f>
        <v>сергей проводка</v>
      </c>
    </row>
    <row r="70" spans="1:17" ht="60" x14ac:dyDescent="0.25">
      <c r="A70" s="88">
        <v>144863</v>
      </c>
      <c r="B70" s="88">
        <v>13310</v>
      </c>
      <c r="C70" s="89" t="s">
        <v>1278</v>
      </c>
      <c r="D70" s="89" t="s">
        <v>919</v>
      </c>
      <c r="E70" s="89"/>
      <c r="F70" s="89" t="s">
        <v>1585</v>
      </c>
      <c r="G70" s="89" t="s">
        <v>971</v>
      </c>
      <c r="H70" s="89"/>
      <c r="I70" s="89" t="s">
        <v>526</v>
      </c>
      <c r="J70" s="90">
        <v>650</v>
      </c>
      <c r="K70" s="90">
        <v>1090</v>
      </c>
      <c r="L70" s="89" t="s">
        <v>910</v>
      </c>
      <c r="M70" s="89" t="s">
        <v>528</v>
      </c>
      <c r="N70" s="89"/>
      <c r="O70" s="89"/>
      <c r="P70" s="5" t="str">
        <f t="shared" si="1"/>
        <v>1</v>
      </c>
      <c r="Q70" s="5" t="str">
        <f>INDEX(Кат!$J:$J,MATCH($A70,Кат!$A:$A,0))</f>
        <v>сергей проводка</v>
      </c>
    </row>
    <row r="71" spans="1:17" ht="60" x14ac:dyDescent="0.25">
      <c r="A71" s="88">
        <v>144862</v>
      </c>
      <c r="B71" s="88">
        <v>13312</v>
      </c>
      <c r="C71" s="89" t="s">
        <v>1279</v>
      </c>
      <c r="D71" s="89" t="s">
        <v>919</v>
      </c>
      <c r="E71" s="89"/>
      <c r="F71" s="89" t="s">
        <v>1586</v>
      </c>
      <c r="G71" s="89" t="s">
        <v>972</v>
      </c>
      <c r="H71" s="89"/>
      <c r="I71" s="89" t="s">
        <v>526</v>
      </c>
      <c r="J71" s="90">
        <v>650</v>
      </c>
      <c r="K71" s="90">
        <v>859</v>
      </c>
      <c r="L71" s="89" t="s">
        <v>911</v>
      </c>
      <c r="M71" s="89" t="s">
        <v>528</v>
      </c>
      <c r="N71" s="89"/>
      <c r="O71" s="89"/>
      <c r="P71" s="5" t="str">
        <f t="shared" si="1"/>
        <v>1</v>
      </c>
      <c r="Q71" s="5" t="str">
        <f>INDEX(Кат!$J:$J,MATCH($A71,Кат!$A:$A,0))</f>
        <v>сергей проводка</v>
      </c>
    </row>
    <row r="72" spans="1:17" ht="60" x14ac:dyDescent="0.25">
      <c r="A72" s="88">
        <v>144866</v>
      </c>
      <c r="B72" s="88">
        <v>13257</v>
      </c>
      <c r="C72" s="89" t="s">
        <v>1280</v>
      </c>
      <c r="D72" s="89" t="s">
        <v>919</v>
      </c>
      <c r="E72" s="89"/>
      <c r="F72" s="89" t="s">
        <v>1587</v>
      </c>
      <c r="G72" s="89" t="s">
        <v>1588</v>
      </c>
      <c r="H72" s="89"/>
      <c r="I72" s="89" t="s">
        <v>526</v>
      </c>
      <c r="J72" s="90">
        <v>250</v>
      </c>
      <c r="K72" s="90">
        <v>519</v>
      </c>
      <c r="L72" s="89" t="s">
        <v>912</v>
      </c>
      <c r="M72" s="89" t="s">
        <v>528</v>
      </c>
      <c r="N72" s="89"/>
      <c r="O72" s="89"/>
      <c r="P72" s="5" t="str">
        <f t="shared" si="1"/>
        <v>1</v>
      </c>
      <c r="Q72" s="5" t="str">
        <f>INDEX(Кат!$J:$J,MATCH($A72,Кат!$A:$A,0))</f>
        <v>сергей проводка</v>
      </c>
    </row>
    <row r="73" spans="1:17" ht="60" x14ac:dyDescent="0.25">
      <c r="A73" s="88">
        <v>144867</v>
      </c>
      <c r="B73" s="88">
        <v>13266</v>
      </c>
      <c r="C73" s="89" t="s">
        <v>1281</v>
      </c>
      <c r="D73" s="89" t="s">
        <v>919</v>
      </c>
      <c r="E73" s="89"/>
      <c r="F73" s="89" t="s">
        <v>1589</v>
      </c>
      <c r="G73" s="89" t="s">
        <v>1590</v>
      </c>
      <c r="H73" s="89"/>
      <c r="I73" s="89" t="s">
        <v>526</v>
      </c>
      <c r="J73" s="90">
        <v>350</v>
      </c>
      <c r="K73" s="90">
        <v>599</v>
      </c>
      <c r="L73" s="89" t="s">
        <v>1144</v>
      </c>
      <c r="M73" s="89" t="s">
        <v>528</v>
      </c>
      <c r="N73" s="89"/>
      <c r="O73" s="89"/>
      <c r="P73" s="5" t="str">
        <f t="shared" si="1"/>
        <v>1</v>
      </c>
      <c r="Q73" s="5" t="str">
        <f>INDEX(Кат!$J:$J,MATCH($A73,Кат!$A:$A,0))</f>
        <v>сергей проводка</v>
      </c>
    </row>
    <row r="74" spans="1:17" ht="45" x14ac:dyDescent="0.25">
      <c r="A74" s="88">
        <v>144892</v>
      </c>
      <c r="B74" s="88">
        <v>3984</v>
      </c>
      <c r="C74" s="89" t="s">
        <v>1282</v>
      </c>
      <c r="D74" s="89" t="s">
        <v>919</v>
      </c>
      <c r="E74" s="89"/>
      <c r="F74" s="89" t="s">
        <v>1591</v>
      </c>
      <c r="G74" s="89" t="s">
        <v>1592</v>
      </c>
      <c r="H74" s="89"/>
      <c r="I74" s="89" t="s">
        <v>526</v>
      </c>
      <c r="J74" s="90">
        <v>7000</v>
      </c>
      <c r="K74" s="90">
        <v>9490</v>
      </c>
      <c r="L74" s="89" t="s">
        <v>794</v>
      </c>
      <c r="M74" s="89" t="s">
        <v>528</v>
      </c>
      <c r="N74" s="89"/>
      <c r="O74" s="89"/>
      <c r="P74" s="5" t="str">
        <f t="shared" si="1"/>
        <v>1</v>
      </c>
      <c r="Q74" s="5" t="str">
        <f>INDEX(Кат!$J:$J,MATCH($A74,Кат!$A:$A,0))</f>
        <v>сергей проводка</v>
      </c>
    </row>
    <row r="75" spans="1:17" ht="60" x14ac:dyDescent="0.25">
      <c r="A75" s="88">
        <v>144871</v>
      </c>
      <c r="B75" s="88">
        <v>3985</v>
      </c>
      <c r="C75" s="89" t="s">
        <v>1283</v>
      </c>
      <c r="D75" s="89" t="s">
        <v>919</v>
      </c>
      <c r="E75" s="89"/>
      <c r="F75" s="89" t="s">
        <v>1593</v>
      </c>
      <c r="G75" s="89" t="s">
        <v>1594</v>
      </c>
      <c r="H75" s="89"/>
      <c r="I75" s="89" t="s">
        <v>526</v>
      </c>
      <c r="J75" s="90">
        <v>7000</v>
      </c>
      <c r="K75" s="90">
        <v>9490</v>
      </c>
      <c r="L75" s="89" t="s">
        <v>793</v>
      </c>
      <c r="M75" s="89" t="s">
        <v>528</v>
      </c>
      <c r="N75" s="89"/>
      <c r="O75" s="89"/>
      <c r="P75" s="5" t="str">
        <f t="shared" si="1"/>
        <v>1</v>
      </c>
      <c r="Q75" s="5" t="str">
        <f>INDEX(Кат!$J:$J,MATCH($A75,Кат!$A:$A,0))</f>
        <v>сергей проводка</v>
      </c>
    </row>
    <row r="76" spans="1:17" ht="45" x14ac:dyDescent="0.25">
      <c r="A76" s="88">
        <v>144872</v>
      </c>
      <c r="B76" s="88">
        <v>3988</v>
      </c>
      <c r="C76" s="89" t="s">
        <v>1284</v>
      </c>
      <c r="D76" s="89" t="s">
        <v>919</v>
      </c>
      <c r="E76" s="89"/>
      <c r="F76" s="89" t="s">
        <v>1595</v>
      </c>
      <c r="G76" s="89" t="s">
        <v>1592</v>
      </c>
      <c r="H76" s="89"/>
      <c r="I76" s="89" t="s">
        <v>526</v>
      </c>
      <c r="J76" s="90">
        <v>7000</v>
      </c>
      <c r="K76" s="90">
        <v>9290</v>
      </c>
      <c r="L76" s="89" t="s">
        <v>1087</v>
      </c>
      <c r="M76" s="89" t="s">
        <v>528</v>
      </c>
      <c r="N76" s="89"/>
      <c r="O76" s="89"/>
      <c r="P76" s="5" t="str">
        <f t="shared" si="1"/>
        <v>1</v>
      </c>
      <c r="Q76" s="5" t="str">
        <f>INDEX(Кат!$J:$J,MATCH($A76,Кат!$A:$A,0))</f>
        <v>сергей проводка</v>
      </c>
    </row>
    <row r="77" spans="1:17" ht="60" x14ac:dyDescent="0.25">
      <c r="A77" s="88">
        <v>144880</v>
      </c>
      <c r="B77" s="88">
        <v>3998</v>
      </c>
      <c r="C77" s="89" t="s">
        <v>1485</v>
      </c>
      <c r="D77" s="89" t="s">
        <v>919</v>
      </c>
      <c r="E77" s="89"/>
      <c r="F77" s="89" t="s">
        <v>1596</v>
      </c>
      <c r="G77" s="89" t="s">
        <v>1597</v>
      </c>
      <c r="H77" s="89"/>
      <c r="I77" s="89" t="s">
        <v>526</v>
      </c>
      <c r="J77" s="90">
        <v>9000</v>
      </c>
      <c r="K77" s="90">
        <v>11590</v>
      </c>
      <c r="L77" s="89" t="s">
        <v>1104</v>
      </c>
      <c r="M77" s="89" t="s">
        <v>528</v>
      </c>
      <c r="N77" s="89"/>
      <c r="O77" s="89"/>
      <c r="P77" s="5" t="str">
        <f t="shared" si="1"/>
        <v>1</v>
      </c>
      <c r="Q77" s="5" t="str">
        <f>INDEX(Кат!$J:$J,MATCH($A77,Кат!$A:$A,0))</f>
        <v>сергей проводка</v>
      </c>
    </row>
    <row r="78" spans="1:17" ht="60" x14ac:dyDescent="0.25">
      <c r="A78" s="88">
        <v>144874</v>
      </c>
      <c r="B78" s="88">
        <v>3991</v>
      </c>
      <c r="C78" s="89" t="s">
        <v>1598</v>
      </c>
      <c r="D78" s="89" t="s">
        <v>919</v>
      </c>
      <c r="E78" s="89"/>
      <c r="F78" s="89" t="s">
        <v>1599</v>
      </c>
      <c r="G78" s="89" t="s">
        <v>1600</v>
      </c>
      <c r="H78" s="89"/>
      <c r="I78" s="89" t="s">
        <v>526</v>
      </c>
      <c r="J78" s="90">
        <v>10000</v>
      </c>
      <c r="K78" s="90">
        <v>11990</v>
      </c>
      <c r="L78" s="89" t="s">
        <v>1088</v>
      </c>
      <c r="M78" s="89" t="s">
        <v>528</v>
      </c>
      <c r="N78" s="89"/>
      <c r="O78" s="89" t="s">
        <v>919</v>
      </c>
      <c r="P78" s="5" t="str">
        <f t="shared" si="1"/>
        <v>1</v>
      </c>
      <c r="Q78" s="5" t="str">
        <f>INDEX(Кат!$J:$J,MATCH($A78,Кат!$A:$A,0))</f>
        <v>сергей проводка</v>
      </c>
    </row>
    <row r="79" spans="1:17" ht="60" x14ac:dyDescent="0.25">
      <c r="A79" s="88">
        <v>144876</v>
      </c>
      <c r="B79" s="88">
        <v>3993</v>
      </c>
      <c r="C79" s="89" t="s">
        <v>1285</v>
      </c>
      <c r="D79" s="89" t="s">
        <v>919</v>
      </c>
      <c r="E79" s="89"/>
      <c r="F79" s="89" t="s">
        <v>1601</v>
      </c>
      <c r="G79" s="89" t="s">
        <v>1602</v>
      </c>
      <c r="H79" s="89"/>
      <c r="I79" s="89" t="s">
        <v>526</v>
      </c>
      <c r="J79" s="90">
        <v>9000</v>
      </c>
      <c r="K79" s="90">
        <v>11590</v>
      </c>
      <c r="L79" s="89" t="s">
        <v>799</v>
      </c>
      <c r="M79" s="89" t="s">
        <v>528</v>
      </c>
      <c r="N79" s="89"/>
      <c r="O79" s="89"/>
      <c r="P79" s="5" t="str">
        <f t="shared" si="1"/>
        <v>1</v>
      </c>
      <c r="Q79" s="5" t="str">
        <f>INDEX(Кат!$J:$J,MATCH($A79,Кат!$A:$A,0))</f>
        <v>сергей проводка</v>
      </c>
    </row>
    <row r="80" spans="1:17" ht="255" x14ac:dyDescent="0.25">
      <c r="A80" s="88">
        <v>426628</v>
      </c>
      <c r="B80" s="88">
        <v>426628</v>
      </c>
      <c r="C80" s="89" t="s">
        <v>1286</v>
      </c>
      <c r="D80" s="89" t="s">
        <v>919</v>
      </c>
      <c r="E80" s="89"/>
      <c r="F80" s="89" t="s">
        <v>1603</v>
      </c>
      <c r="G80" s="89" t="s">
        <v>1287</v>
      </c>
      <c r="H80" s="89" t="s">
        <v>1288</v>
      </c>
      <c r="I80" s="89" t="s">
        <v>526</v>
      </c>
      <c r="J80" s="90">
        <v>10000</v>
      </c>
      <c r="K80" s="90">
        <v>11990</v>
      </c>
      <c r="L80" s="89" t="s">
        <v>1604</v>
      </c>
      <c r="M80" s="89" t="s">
        <v>528</v>
      </c>
      <c r="N80" s="89"/>
      <c r="O80" s="89"/>
      <c r="P80" s="5" t="str">
        <f t="shared" si="1"/>
        <v>1</v>
      </c>
      <c r="Q80" s="5" t="str">
        <f>INDEX(Кат!$J:$J,MATCH($A80,Кат!$A:$A,0))</f>
        <v>сергей проводка</v>
      </c>
    </row>
    <row r="81" spans="1:17" ht="60" x14ac:dyDescent="0.25">
      <c r="A81" s="88">
        <v>144877</v>
      </c>
      <c r="B81" s="88">
        <v>3994</v>
      </c>
      <c r="C81" s="89" t="s">
        <v>1289</v>
      </c>
      <c r="D81" s="89" t="s">
        <v>919</v>
      </c>
      <c r="E81" s="89"/>
      <c r="F81" s="89" t="s">
        <v>1605</v>
      </c>
      <c r="G81" s="89" t="s">
        <v>1287</v>
      </c>
      <c r="H81" s="89"/>
      <c r="I81" s="89" t="s">
        <v>526</v>
      </c>
      <c r="J81" s="90">
        <v>10000</v>
      </c>
      <c r="K81" s="90">
        <v>11990</v>
      </c>
      <c r="L81" s="89" t="s">
        <v>1098</v>
      </c>
      <c r="M81" s="89" t="s">
        <v>528</v>
      </c>
      <c r="N81" s="89"/>
      <c r="O81" s="89"/>
      <c r="P81" s="5" t="str">
        <f t="shared" si="1"/>
        <v>1</v>
      </c>
      <c r="Q81" s="5" t="str">
        <f>INDEX(Кат!$J:$J,MATCH($A81,Кат!$A:$A,0))</f>
        <v>сергей проводка</v>
      </c>
    </row>
    <row r="82" spans="1:17" ht="60" x14ac:dyDescent="0.25">
      <c r="A82" s="88">
        <v>144873</v>
      </c>
      <c r="B82" s="88">
        <v>3990</v>
      </c>
      <c r="C82" s="89" t="s">
        <v>1290</v>
      </c>
      <c r="D82" s="89" t="s">
        <v>919</v>
      </c>
      <c r="E82" s="89"/>
      <c r="F82" s="89" t="s">
        <v>1606</v>
      </c>
      <c r="G82" s="89" t="s">
        <v>1600</v>
      </c>
      <c r="H82" s="89"/>
      <c r="I82" s="89" t="s">
        <v>526</v>
      </c>
      <c r="J82" s="90">
        <v>8000</v>
      </c>
      <c r="K82" s="90">
        <v>10890</v>
      </c>
      <c r="L82" s="89" t="s">
        <v>1092</v>
      </c>
      <c r="M82" s="89" t="s">
        <v>528</v>
      </c>
      <c r="N82" s="89"/>
      <c r="O82" s="89"/>
      <c r="P82" s="5" t="str">
        <f t="shared" si="1"/>
        <v>1</v>
      </c>
      <c r="Q82" s="5" t="str">
        <f>INDEX(Кат!$J:$J,MATCH($A82,Кат!$A:$A,0))</f>
        <v>сергей проводка</v>
      </c>
    </row>
    <row r="83" spans="1:17" ht="225" x14ac:dyDescent="0.25">
      <c r="A83" s="88">
        <v>144875</v>
      </c>
      <c r="B83" s="88">
        <v>3992</v>
      </c>
      <c r="C83" s="89" t="s">
        <v>1291</v>
      </c>
      <c r="D83" s="89" t="s">
        <v>919</v>
      </c>
      <c r="E83" s="89"/>
      <c r="F83" s="89" t="s">
        <v>1607</v>
      </c>
      <c r="G83" s="89" t="s">
        <v>1600</v>
      </c>
      <c r="H83" s="89"/>
      <c r="I83" s="89" t="s">
        <v>526</v>
      </c>
      <c r="J83" s="90">
        <v>9000</v>
      </c>
      <c r="K83" s="90">
        <v>10890</v>
      </c>
      <c r="L83" s="89" t="s">
        <v>1608</v>
      </c>
      <c r="M83" s="89" t="s">
        <v>528</v>
      </c>
      <c r="N83" s="89"/>
      <c r="O83" s="89"/>
      <c r="P83" s="5" t="str">
        <f t="shared" si="1"/>
        <v>1</v>
      </c>
      <c r="Q83" s="5" t="str">
        <f>INDEX(Кат!$J:$J,MATCH($A83,Кат!$A:$A,0))</f>
        <v>сергей проводка</v>
      </c>
    </row>
    <row r="84" spans="1:17" ht="60" x14ac:dyDescent="0.25">
      <c r="A84" s="88">
        <v>144878</v>
      </c>
      <c r="B84" s="88">
        <v>3996</v>
      </c>
      <c r="C84" s="89" t="s">
        <v>1609</v>
      </c>
      <c r="D84" s="89" t="s">
        <v>919</v>
      </c>
      <c r="E84" s="89"/>
      <c r="F84" s="89" t="s">
        <v>1610</v>
      </c>
      <c r="G84" s="89" t="s">
        <v>1597</v>
      </c>
      <c r="H84" s="89"/>
      <c r="I84" s="89" t="s">
        <v>526</v>
      </c>
      <c r="J84" s="90">
        <v>9000</v>
      </c>
      <c r="K84" s="90">
        <v>11590</v>
      </c>
      <c r="L84" s="89" t="s">
        <v>1103</v>
      </c>
      <c r="M84" s="89" t="s">
        <v>528</v>
      </c>
      <c r="N84" s="89"/>
      <c r="O84" s="89"/>
      <c r="P84" s="5" t="str">
        <f t="shared" si="1"/>
        <v>1</v>
      </c>
      <c r="Q84" s="5" t="str">
        <f>INDEX(Кат!$J:$J,MATCH($A84,Кат!$A:$A,0))</f>
        <v>сергей проводка</v>
      </c>
    </row>
    <row r="85" spans="1:17" ht="60" x14ac:dyDescent="0.25">
      <c r="A85" s="88">
        <v>144883</v>
      </c>
      <c r="B85" s="88">
        <v>4001</v>
      </c>
      <c r="C85" s="89" t="s">
        <v>1292</v>
      </c>
      <c r="D85" s="89" t="s">
        <v>919</v>
      </c>
      <c r="E85" s="89"/>
      <c r="F85" s="89" t="s">
        <v>1611</v>
      </c>
      <c r="G85" s="89" t="s">
        <v>1612</v>
      </c>
      <c r="H85" s="89"/>
      <c r="I85" s="89" t="s">
        <v>526</v>
      </c>
      <c r="J85" s="90">
        <v>10000</v>
      </c>
      <c r="K85" s="90">
        <v>12490</v>
      </c>
      <c r="L85" s="89" t="s">
        <v>804</v>
      </c>
      <c r="M85" s="89" t="s">
        <v>528</v>
      </c>
      <c r="N85" s="89"/>
      <c r="O85" s="89"/>
      <c r="P85" s="5" t="str">
        <f t="shared" si="1"/>
        <v>1</v>
      </c>
      <c r="Q85" s="5" t="str">
        <f>INDEX(Кат!$J:$J,MATCH($A85,Кат!$A:$A,0))</f>
        <v>сергей проводка</v>
      </c>
    </row>
    <row r="86" spans="1:17" ht="60" x14ac:dyDescent="0.25">
      <c r="A86" s="88">
        <v>144881</v>
      </c>
      <c r="B86" s="88">
        <v>3999</v>
      </c>
      <c r="C86" s="89" t="s">
        <v>1293</v>
      </c>
      <c r="D86" s="89" t="s">
        <v>919</v>
      </c>
      <c r="E86" s="89"/>
      <c r="F86" s="89" t="s">
        <v>1613</v>
      </c>
      <c r="G86" s="89" t="s">
        <v>1597</v>
      </c>
      <c r="H86" s="89"/>
      <c r="I86" s="89" t="s">
        <v>526</v>
      </c>
      <c r="J86" s="90">
        <v>8000</v>
      </c>
      <c r="K86" s="90">
        <v>10890</v>
      </c>
      <c r="L86" s="89" t="s">
        <v>1105</v>
      </c>
      <c r="M86" s="89" t="s">
        <v>528</v>
      </c>
      <c r="N86" s="89"/>
      <c r="O86" s="89"/>
      <c r="P86" s="5" t="str">
        <f t="shared" si="1"/>
        <v>1</v>
      </c>
      <c r="Q86" s="5" t="str">
        <f>INDEX(Кат!$J:$J,MATCH($A86,Кат!$A:$A,0))</f>
        <v>сергей проводка</v>
      </c>
    </row>
    <row r="87" spans="1:17" ht="60" x14ac:dyDescent="0.25">
      <c r="A87" s="88">
        <v>144879</v>
      </c>
      <c r="B87" s="88">
        <v>3997</v>
      </c>
      <c r="C87" s="89" t="s">
        <v>1486</v>
      </c>
      <c r="D87" s="89" t="s">
        <v>919</v>
      </c>
      <c r="E87" s="89"/>
      <c r="F87" s="89" t="s">
        <v>1614</v>
      </c>
      <c r="G87" s="89" t="s">
        <v>1597</v>
      </c>
      <c r="H87" s="89"/>
      <c r="I87" s="89" t="s">
        <v>526</v>
      </c>
      <c r="J87" s="90">
        <v>9000</v>
      </c>
      <c r="K87" s="90">
        <v>11590</v>
      </c>
      <c r="L87" s="89" t="s">
        <v>804</v>
      </c>
      <c r="M87" s="89" t="s">
        <v>528</v>
      </c>
      <c r="N87" s="89"/>
      <c r="O87" s="89"/>
      <c r="P87" s="5" t="str">
        <f t="shared" si="1"/>
        <v>1</v>
      </c>
      <c r="Q87" s="5" t="str">
        <f>INDEX(Кат!$J:$J,MATCH($A87,Кат!$A:$A,0))</f>
        <v>сергей проводка</v>
      </c>
    </row>
    <row r="88" spans="1:17" ht="60" x14ac:dyDescent="0.25">
      <c r="A88" s="88">
        <v>144803</v>
      </c>
      <c r="B88" s="88">
        <v>17853</v>
      </c>
      <c r="C88" s="89" t="s">
        <v>1294</v>
      </c>
      <c r="D88" s="89" t="s">
        <v>919</v>
      </c>
      <c r="E88" s="89"/>
      <c r="F88" s="89" t="s">
        <v>1615</v>
      </c>
      <c r="G88" s="89" t="s">
        <v>1612</v>
      </c>
      <c r="H88" s="89"/>
      <c r="I88" s="89" t="s">
        <v>526</v>
      </c>
      <c r="J88" s="90">
        <v>9000</v>
      </c>
      <c r="K88" s="90">
        <v>10890</v>
      </c>
      <c r="L88" s="89" t="s">
        <v>804</v>
      </c>
      <c r="M88" s="89" t="s">
        <v>528</v>
      </c>
      <c r="N88" s="89"/>
      <c r="O88" s="89"/>
      <c r="P88" s="5" t="str">
        <f t="shared" si="1"/>
        <v>1</v>
      </c>
      <c r="Q88" s="5" t="str">
        <f>INDEX(Кат!$J:$J,MATCH($A88,Кат!$A:$A,0))</f>
        <v>сергей проводка</v>
      </c>
    </row>
    <row r="89" spans="1:17" ht="60" x14ac:dyDescent="0.25">
      <c r="A89" s="88">
        <v>144893</v>
      </c>
      <c r="B89" s="88">
        <v>3995</v>
      </c>
      <c r="C89" s="89" t="s">
        <v>1295</v>
      </c>
      <c r="D89" s="89" t="s">
        <v>919</v>
      </c>
      <c r="E89" s="89"/>
      <c r="F89" s="89" t="s">
        <v>1616</v>
      </c>
      <c r="G89" s="89" t="s">
        <v>1617</v>
      </c>
      <c r="H89" s="89"/>
      <c r="I89" s="89" t="s">
        <v>526</v>
      </c>
      <c r="J89" s="90">
        <v>8500</v>
      </c>
      <c r="K89" s="90">
        <v>11590</v>
      </c>
      <c r="L89" s="89" t="s">
        <v>1102</v>
      </c>
      <c r="M89" s="89" t="s">
        <v>528</v>
      </c>
      <c r="N89" s="89"/>
      <c r="O89" s="89"/>
      <c r="P89" s="5" t="str">
        <f t="shared" si="1"/>
        <v>1</v>
      </c>
      <c r="Q89" s="5" t="str">
        <f>INDEX(Кат!$J:$J,MATCH($A89,Кат!$A:$A,0))</f>
        <v>сергей проводка</v>
      </c>
    </row>
    <row r="90" spans="1:17" ht="75" x14ac:dyDescent="0.25">
      <c r="A90" s="88">
        <v>144882</v>
      </c>
      <c r="B90" s="88">
        <v>4000</v>
      </c>
      <c r="C90" s="89" t="s">
        <v>1296</v>
      </c>
      <c r="D90" s="89" t="s">
        <v>919</v>
      </c>
      <c r="E90" s="89"/>
      <c r="F90" s="89" t="s">
        <v>1618</v>
      </c>
      <c r="G90" s="89" t="s">
        <v>1612</v>
      </c>
      <c r="H90" s="89"/>
      <c r="I90" s="89" t="s">
        <v>526</v>
      </c>
      <c r="J90" s="90">
        <v>9000</v>
      </c>
      <c r="K90" s="90">
        <v>12290</v>
      </c>
      <c r="L90" s="89" t="s">
        <v>1106</v>
      </c>
      <c r="M90" s="89" t="s">
        <v>528</v>
      </c>
      <c r="N90" s="89"/>
      <c r="O90" s="89"/>
      <c r="P90" s="5" t="str">
        <f t="shared" si="1"/>
        <v>1</v>
      </c>
      <c r="Q90" s="5" t="str">
        <f>INDEX(Кат!$J:$J,MATCH($A90,Кат!$A:$A,0))</f>
        <v>сергей проводка</v>
      </c>
    </row>
    <row r="91" spans="1:17" ht="60" x14ac:dyDescent="0.25">
      <c r="A91" s="88">
        <v>144869</v>
      </c>
      <c r="B91" s="88">
        <v>3987</v>
      </c>
      <c r="C91" s="89" t="s">
        <v>973</v>
      </c>
      <c r="D91" s="89" t="s">
        <v>919</v>
      </c>
      <c r="E91" s="89"/>
      <c r="F91" s="89" t="s">
        <v>1619</v>
      </c>
      <c r="G91" s="89" t="s">
        <v>1620</v>
      </c>
      <c r="H91" s="89"/>
      <c r="I91" s="89" t="s">
        <v>526</v>
      </c>
      <c r="J91" s="90">
        <v>13000</v>
      </c>
      <c r="K91" s="90">
        <v>17790</v>
      </c>
      <c r="L91" s="89" t="s">
        <v>1038</v>
      </c>
      <c r="M91" s="89" t="s">
        <v>920</v>
      </c>
      <c r="N91" s="89"/>
      <c r="O91" s="89"/>
      <c r="P91" s="5" t="str">
        <f t="shared" si="1"/>
        <v>0</v>
      </c>
      <c r="Q91" s="5" t="str">
        <f>INDEX(Кат!$J:$J,MATCH($A91,Кат!$A:$A,0))</f>
        <v>сергей проводка</v>
      </c>
    </row>
    <row r="92" spans="1:17" ht="60" x14ac:dyDescent="0.25">
      <c r="A92" s="88">
        <v>144870</v>
      </c>
      <c r="B92" s="88">
        <v>4005</v>
      </c>
      <c r="C92" s="89" t="s">
        <v>1297</v>
      </c>
      <c r="D92" s="89" t="s">
        <v>919</v>
      </c>
      <c r="E92" s="89"/>
      <c r="F92" s="89" t="s">
        <v>1621</v>
      </c>
      <c r="G92" s="89" t="s">
        <v>1622</v>
      </c>
      <c r="H92" s="89"/>
      <c r="I92" s="89" t="s">
        <v>526</v>
      </c>
      <c r="J92" s="90">
        <v>13000</v>
      </c>
      <c r="K92" s="90">
        <v>17790</v>
      </c>
      <c r="L92" s="89" t="s">
        <v>1037</v>
      </c>
      <c r="M92" s="89" t="s">
        <v>528</v>
      </c>
      <c r="N92" s="89"/>
      <c r="O92" s="89"/>
      <c r="P92" s="5" t="str">
        <f t="shared" si="1"/>
        <v>1</v>
      </c>
      <c r="Q92" s="5" t="str">
        <f>INDEX(Кат!$J:$J,MATCH($A92,Кат!$A:$A,0))</f>
        <v>сергей проводка</v>
      </c>
    </row>
    <row r="93" spans="1:17" ht="60" x14ac:dyDescent="0.25">
      <c r="A93" s="88">
        <v>144963</v>
      </c>
      <c r="B93" s="88">
        <v>13325</v>
      </c>
      <c r="C93" s="89" t="s">
        <v>1298</v>
      </c>
      <c r="D93" s="89" t="s">
        <v>919</v>
      </c>
      <c r="E93" s="89"/>
      <c r="F93" s="89" t="s">
        <v>1623</v>
      </c>
      <c r="G93" s="89" t="s">
        <v>1624</v>
      </c>
      <c r="H93" s="89"/>
      <c r="I93" s="89" t="s">
        <v>526</v>
      </c>
      <c r="J93" s="90">
        <v>13000</v>
      </c>
      <c r="K93" s="90">
        <v>19190</v>
      </c>
      <c r="L93" s="89" t="s">
        <v>880</v>
      </c>
      <c r="M93" s="89" t="s">
        <v>528</v>
      </c>
      <c r="N93" s="89"/>
      <c r="O93" s="89"/>
      <c r="P93" s="5" t="str">
        <f t="shared" si="1"/>
        <v>1</v>
      </c>
      <c r="Q93" s="5" t="str">
        <f>INDEX(Кат!$J:$J,MATCH($A93,Кат!$A:$A,0))</f>
        <v>сергей проводка</v>
      </c>
    </row>
    <row r="94" spans="1:17" ht="60" x14ac:dyDescent="0.25">
      <c r="A94" s="88">
        <v>144961</v>
      </c>
      <c r="B94" s="88">
        <v>13323</v>
      </c>
      <c r="C94" s="89" t="s">
        <v>1299</v>
      </c>
      <c r="D94" s="89" t="s">
        <v>919</v>
      </c>
      <c r="E94" s="89"/>
      <c r="F94" s="89" t="s">
        <v>1625</v>
      </c>
      <c r="G94" s="89" t="s">
        <v>1624</v>
      </c>
      <c r="H94" s="89"/>
      <c r="I94" s="89" t="s">
        <v>526</v>
      </c>
      <c r="J94" s="90">
        <v>13000</v>
      </c>
      <c r="K94" s="90">
        <v>17790</v>
      </c>
      <c r="L94" s="89" t="s">
        <v>882</v>
      </c>
      <c r="M94" s="89" t="s">
        <v>528</v>
      </c>
      <c r="N94" s="89"/>
      <c r="O94" s="89"/>
      <c r="P94" s="5" t="str">
        <f t="shared" si="1"/>
        <v>1</v>
      </c>
      <c r="Q94" s="5" t="str">
        <f>INDEX(Кат!$J:$J,MATCH($A94,Кат!$A:$A,0))</f>
        <v>сергей проводка</v>
      </c>
    </row>
    <row r="95" spans="1:17" ht="60" x14ac:dyDescent="0.25">
      <c r="A95" s="88">
        <v>144868</v>
      </c>
      <c r="B95" s="88">
        <v>3986</v>
      </c>
      <c r="C95" s="89" t="s">
        <v>1300</v>
      </c>
      <c r="D95" s="89" t="s">
        <v>919</v>
      </c>
      <c r="E95" s="89"/>
      <c r="F95" s="89" t="s">
        <v>1626</v>
      </c>
      <c r="G95" s="89" t="s">
        <v>1624</v>
      </c>
      <c r="H95" s="89"/>
      <c r="I95" s="89" t="s">
        <v>526</v>
      </c>
      <c r="J95" s="90">
        <v>13000</v>
      </c>
      <c r="K95" s="90">
        <v>16890</v>
      </c>
      <c r="L95" s="89" t="s">
        <v>1039</v>
      </c>
      <c r="M95" s="89" t="s">
        <v>528</v>
      </c>
      <c r="N95" s="89"/>
      <c r="O95" s="89"/>
      <c r="P95" s="5" t="str">
        <f t="shared" si="1"/>
        <v>1</v>
      </c>
      <c r="Q95" s="5" t="str">
        <f>INDEX(Кат!$J:$J,MATCH($A95,Кат!$A:$A,0))</f>
        <v>сергей проводка</v>
      </c>
    </row>
    <row r="96" spans="1:17" ht="60" x14ac:dyDescent="0.25">
      <c r="A96" s="88">
        <v>144962</v>
      </c>
      <c r="B96" s="88">
        <v>13322</v>
      </c>
      <c r="C96" s="89" t="s">
        <v>1301</v>
      </c>
      <c r="D96" s="89" t="s">
        <v>919</v>
      </c>
      <c r="E96" s="89"/>
      <c r="F96" s="89" t="s">
        <v>1627</v>
      </c>
      <c r="G96" s="89" t="s">
        <v>1624</v>
      </c>
      <c r="H96" s="89"/>
      <c r="I96" s="89" t="s">
        <v>526</v>
      </c>
      <c r="J96" s="90">
        <v>13000</v>
      </c>
      <c r="K96" s="90">
        <v>17790</v>
      </c>
      <c r="L96" s="89" t="s">
        <v>1038</v>
      </c>
      <c r="M96" s="89" t="s">
        <v>528</v>
      </c>
      <c r="N96" s="89"/>
      <c r="O96" s="89"/>
      <c r="P96" s="5" t="str">
        <f t="shared" si="1"/>
        <v>1</v>
      </c>
      <c r="Q96" s="5" t="str">
        <f>INDEX(Кат!$J:$J,MATCH($A96,Кат!$A:$A,0))</f>
        <v>сергей проводка</v>
      </c>
    </row>
    <row r="97" spans="1:17" ht="60" x14ac:dyDescent="0.25">
      <c r="A97" s="88">
        <v>144966</v>
      </c>
      <c r="B97" s="88">
        <v>13427</v>
      </c>
      <c r="C97" s="89" t="s">
        <v>1302</v>
      </c>
      <c r="D97" s="89" t="s">
        <v>919</v>
      </c>
      <c r="E97" s="89"/>
      <c r="F97" s="89" t="s">
        <v>1628</v>
      </c>
      <c r="G97" s="89" t="s">
        <v>1629</v>
      </c>
      <c r="H97" s="89"/>
      <c r="I97" s="89" t="s">
        <v>526</v>
      </c>
      <c r="J97" s="90">
        <v>13000</v>
      </c>
      <c r="K97" s="90">
        <v>17790</v>
      </c>
      <c r="L97" s="89" t="s">
        <v>811</v>
      </c>
      <c r="M97" s="89" t="s">
        <v>528</v>
      </c>
      <c r="N97" s="89"/>
      <c r="O97" s="89"/>
      <c r="P97" s="5" t="str">
        <f t="shared" si="1"/>
        <v>1</v>
      </c>
      <c r="Q97" s="5" t="str">
        <f>INDEX(Кат!$J:$J,MATCH($A97,Кат!$A:$A,0))</f>
        <v>сергей проводка</v>
      </c>
    </row>
    <row r="98" spans="1:17" ht="60" x14ac:dyDescent="0.25">
      <c r="A98" s="88">
        <v>144886</v>
      </c>
      <c r="B98" s="88">
        <v>4004</v>
      </c>
      <c r="C98" s="89" t="s">
        <v>1303</v>
      </c>
      <c r="D98" s="89" t="s">
        <v>919</v>
      </c>
      <c r="E98" s="89"/>
      <c r="F98" s="89" t="s">
        <v>1630</v>
      </c>
      <c r="G98" s="89" t="s">
        <v>1629</v>
      </c>
      <c r="H98" s="89"/>
      <c r="I98" s="89" t="s">
        <v>526</v>
      </c>
      <c r="J98" s="90">
        <v>12000</v>
      </c>
      <c r="K98" s="90">
        <v>16390</v>
      </c>
      <c r="L98" s="89" t="s">
        <v>1040</v>
      </c>
      <c r="M98" s="89" t="s">
        <v>528</v>
      </c>
      <c r="N98" s="89"/>
      <c r="O98" s="89"/>
      <c r="P98" s="5" t="str">
        <f t="shared" si="1"/>
        <v>1</v>
      </c>
      <c r="Q98" s="5" t="str">
        <f>INDEX(Кат!$J:$J,MATCH($A98,Кат!$A:$A,0))</f>
        <v>сергей проводка</v>
      </c>
    </row>
    <row r="99" spans="1:17" ht="60" x14ac:dyDescent="0.25">
      <c r="A99" s="88">
        <v>144965</v>
      </c>
      <c r="B99" s="88">
        <v>13426</v>
      </c>
      <c r="C99" s="89" t="s">
        <v>1304</v>
      </c>
      <c r="D99" s="89" t="s">
        <v>919</v>
      </c>
      <c r="E99" s="89"/>
      <c r="F99" s="89" t="s">
        <v>1631</v>
      </c>
      <c r="G99" s="89" t="s">
        <v>1629</v>
      </c>
      <c r="H99" s="89"/>
      <c r="I99" s="89" t="s">
        <v>526</v>
      </c>
      <c r="J99" s="90">
        <v>12000</v>
      </c>
      <c r="K99" s="90">
        <v>16390</v>
      </c>
      <c r="L99" s="89" t="s">
        <v>881</v>
      </c>
      <c r="M99" s="89" t="s">
        <v>528</v>
      </c>
      <c r="N99" s="89"/>
      <c r="O99" s="89"/>
      <c r="P99" s="5" t="str">
        <f t="shared" si="1"/>
        <v>1</v>
      </c>
      <c r="Q99" s="5" t="str">
        <f>INDEX(Кат!$J:$J,MATCH($A99,Кат!$A:$A,0))</f>
        <v>сергей проводка</v>
      </c>
    </row>
    <row r="100" spans="1:17" ht="60" x14ac:dyDescent="0.25">
      <c r="A100" s="88">
        <v>144885</v>
      </c>
      <c r="B100" s="88">
        <v>4003</v>
      </c>
      <c r="C100" s="89" t="s">
        <v>1305</v>
      </c>
      <c r="D100" s="89" t="s">
        <v>919</v>
      </c>
      <c r="E100" s="89"/>
      <c r="F100" s="89" t="s">
        <v>1632</v>
      </c>
      <c r="G100" s="89" t="s">
        <v>1629</v>
      </c>
      <c r="H100" s="89"/>
      <c r="I100" s="89" t="s">
        <v>526</v>
      </c>
      <c r="J100" s="90">
        <v>12000</v>
      </c>
      <c r="K100" s="90">
        <v>16390</v>
      </c>
      <c r="L100" s="89" t="s">
        <v>809</v>
      </c>
      <c r="M100" s="89" t="s">
        <v>528</v>
      </c>
      <c r="N100" s="89"/>
      <c r="O100" s="89"/>
      <c r="P100" s="5" t="str">
        <f t="shared" si="1"/>
        <v>1</v>
      </c>
      <c r="Q100" s="5" t="str">
        <f>INDEX(Кат!$J:$J,MATCH($A100,Кат!$A:$A,0))</f>
        <v>сергей проводка</v>
      </c>
    </row>
    <row r="101" spans="1:17" ht="60" x14ac:dyDescent="0.25">
      <c r="A101" s="88">
        <v>144884</v>
      </c>
      <c r="B101" s="88">
        <v>4002</v>
      </c>
      <c r="C101" s="89" t="s">
        <v>1306</v>
      </c>
      <c r="D101" s="89" t="s">
        <v>919</v>
      </c>
      <c r="E101" s="89"/>
      <c r="F101" s="89" t="s">
        <v>1633</v>
      </c>
      <c r="G101" s="89" t="s">
        <v>1629</v>
      </c>
      <c r="H101" s="89"/>
      <c r="I101" s="89" t="s">
        <v>526</v>
      </c>
      <c r="J101" s="90">
        <v>12000</v>
      </c>
      <c r="K101" s="90">
        <v>16390</v>
      </c>
      <c r="L101" s="89" t="s">
        <v>1043</v>
      </c>
      <c r="M101" s="89" t="s">
        <v>528</v>
      </c>
      <c r="N101" s="89"/>
      <c r="O101" s="89"/>
      <c r="P101" s="5" t="str">
        <f t="shared" si="1"/>
        <v>1</v>
      </c>
      <c r="Q101" s="5" t="str">
        <f>INDEX(Кат!$J:$J,MATCH($A101,Кат!$A:$A,0))</f>
        <v>сергей проводка</v>
      </c>
    </row>
    <row r="102" spans="1:17" ht="45" x14ac:dyDescent="0.25">
      <c r="A102" s="88">
        <v>144967</v>
      </c>
      <c r="B102" s="88">
        <v>13428</v>
      </c>
      <c r="C102" s="89" t="s">
        <v>1307</v>
      </c>
      <c r="D102" s="89" t="s">
        <v>919</v>
      </c>
      <c r="E102" s="89"/>
      <c r="F102" s="89" t="s">
        <v>1634</v>
      </c>
      <c r="G102" s="89" t="s">
        <v>1629</v>
      </c>
      <c r="H102" s="89"/>
      <c r="I102" s="89" t="s">
        <v>526</v>
      </c>
      <c r="J102" s="90">
        <v>11000</v>
      </c>
      <c r="K102" s="90">
        <v>14290</v>
      </c>
      <c r="L102" s="89" t="s">
        <v>1041</v>
      </c>
      <c r="M102" s="89" t="s">
        <v>528</v>
      </c>
      <c r="N102" s="89"/>
      <c r="O102" s="89"/>
      <c r="P102" s="5" t="str">
        <f t="shared" si="1"/>
        <v>1</v>
      </c>
      <c r="Q102" s="5" t="str">
        <f>INDEX(Кат!$J:$J,MATCH($A102,Кат!$A:$A,0))</f>
        <v>сергей проводка</v>
      </c>
    </row>
    <row r="103" spans="1:17" ht="60" x14ac:dyDescent="0.25">
      <c r="A103" s="88">
        <v>144968</v>
      </c>
      <c r="B103" s="88">
        <v>13429</v>
      </c>
      <c r="C103" s="89" t="s">
        <v>1308</v>
      </c>
      <c r="D103" s="89" t="s">
        <v>919</v>
      </c>
      <c r="E103" s="89"/>
      <c r="F103" s="89" t="s">
        <v>1635</v>
      </c>
      <c r="G103" s="89" t="s">
        <v>1629</v>
      </c>
      <c r="H103" s="89"/>
      <c r="I103" s="89" t="s">
        <v>526</v>
      </c>
      <c r="J103" s="90">
        <v>12000</v>
      </c>
      <c r="K103" s="90">
        <v>16390</v>
      </c>
      <c r="L103" s="89" t="s">
        <v>883</v>
      </c>
      <c r="M103" s="89" t="s">
        <v>528</v>
      </c>
      <c r="N103" s="89"/>
      <c r="O103" s="89"/>
      <c r="P103" s="5" t="str">
        <f t="shared" si="1"/>
        <v>1</v>
      </c>
      <c r="Q103" s="5" t="str">
        <f>INDEX(Кат!$J:$J,MATCH($A103,Кат!$A:$A,0))</f>
        <v>сергей проводка</v>
      </c>
    </row>
    <row r="104" spans="1:17" ht="60" x14ac:dyDescent="0.25">
      <c r="A104" s="88">
        <v>144891</v>
      </c>
      <c r="B104" s="88">
        <v>4007</v>
      </c>
      <c r="C104" s="89" t="s">
        <v>1309</v>
      </c>
      <c r="D104" s="89" t="s">
        <v>919</v>
      </c>
      <c r="E104" s="89"/>
      <c r="F104" s="89" t="s">
        <v>1636</v>
      </c>
      <c r="G104" s="89" t="s">
        <v>1163</v>
      </c>
      <c r="H104" s="89"/>
      <c r="I104" s="89" t="s">
        <v>526</v>
      </c>
      <c r="J104" s="90">
        <v>10000</v>
      </c>
      <c r="K104" s="90">
        <v>12490</v>
      </c>
      <c r="L104" s="89" t="s">
        <v>1101</v>
      </c>
      <c r="M104" s="89" t="s">
        <v>528</v>
      </c>
      <c r="N104" s="89"/>
      <c r="O104" s="89"/>
      <c r="P104" s="5" t="str">
        <f t="shared" si="1"/>
        <v>1</v>
      </c>
      <c r="Q104" s="5" t="str">
        <f>INDEX(Кат!$J:$J,MATCH($A104,Кат!$A:$A,0))</f>
        <v>сергей проводка</v>
      </c>
    </row>
    <row r="105" spans="1:17" ht="60" x14ac:dyDescent="0.25">
      <c r="A105" s="88">
        <v>144972</v>
      </c>
      <c r="B105" s="88">
        <v>13359</v>
      </c>
      <c r="C105" s="89" t="s">
        <v>1310</v>
      </c>
      <c r="D105" s="89" t="s">
        <v>919</v>
      </c>
      <c r="E105" s="89"/>
      <c r="F105" s="89" t="s">
        <v>1637</v>
      </c>
      <c r="G105" s="89" t="s">
        <v>1163</v>
      </c>
      <c r="H105" s="89"/>
      <c r="I105" s="89" t="s">
        <v>526</v>
      </c>
      <c r="J105" s="90">
        <v>9000</v>
      </c>
      <c r="K105" s="90">
        <v>12290</v>
      </c>
      <c r="L105" s="89" t="s">
        <v>1048</v>
      </c>
      <c r="M105" s="89" t="s">
        <v>528</v>
      </c>
      <c r="N105" s="89"/>
      <c r="O105" s="89"/>
      <c r="P105" s="5" t="str">
        <f t="shared" si="1"/>
        <v>1</v>
      </c>
      <c r="Q105" s="5" t="str">
        <f>INDEX(Кат!$J:$J,MATCH($A105,Кат!$A:$A,0))</f>
        <v>сергей проводка</v>
      </c>
    </row>
    <row r="106" spans="1:17" ht="45" x14ac:dyDescent="0.25">
      <c r="A106" s="88">
        <v>144890</v>
      </c>
      <c r="B106" s="88">
        <v>4006</v>
      </c>
      <c r="C106" s="89" t="s">
        <v>1311</v>
      </c>
      <c r="D106" s="89" t="s">
        <v>919</v>
      </c>
      <c r="E106" s="89"/>
      <c r="F106" s="89" t="s">
        <v>1638</v>
      </c>
      <c r="G106" s="89" t="s">
        <v>1163</v>
      </c>
      <c r="H106" s="89"/>
      <c r="I106" s="89" t="s">
        <v>526</v>
      </c>
      <c r="J106" s="90">
        <v>8000</v>
      </c>
      <c r="K106" s="90">
        <v>10890</v>
      </c>
      <c r="L106" s="89" t="s">
        <v>1100</v>
      </c>
      <c r="M106" s="89" t="s">
        <v>528</v>
      </c>
      <c r="N106" s="89"/>
      <c r="O106" s="89"/>
      <c r="P106" s="5" t="str">
        <f t="shared" si="1"/>
        <v>1</v>
      </c>
      <c r="Q106" s="5" t="str">
        <f>INDEX(Кат!$J:$J,MATCH($A106,Кат!$A:$A,0))</f>
        <v>сергей проводка</v>
      </c>
    </row>
    <row r="107" spans="1:17" ht="60" x14ac:dyDescent="0.25">
      <c r="A107" s="88">
        <v>144887</v>
      </c>
      <c r="B107" s="88">
        <v>4009</v>
      </c>
      <c r="C107" s="89" t="s">
        <v>1312</v>
      </c>
      <c r="D107" s="89" t="s">
        <v>919</v>
      </c>
      <c r="E107" s="89"/>
      <c r="F107" s="89" t="s">
        <v>1639</v>
      </c>
      <c r="G107" s="89" t="s">
        <v>1640</v>
      </c>
      <c r="H107" s="89"/>
      <c r="I107" s="89" t="s">
        <v>526</v>
      </c>
      <c r="J107" s="90">
        <v>12000</v>
      </c>
      <c r="K107" s="90">
        <v>16390</v>
      </c>
      <c r="L107" s="89" t="s">
        <v>810</v>
      </c>
      <c r="M107" s="89" t="s">
        <v>528</v>
      </c>
      <c r="N107" s="89"/>
      <c r="O107" s="89"/>
      <c r="P107" s="5" t="str">
        <f t="shared" si="1"/>
        <v>1</v>
      </c>
      <c r="Q107" s="5" t="str">
        <f>INDEX(Кат!$J:$J,MATCH($A107,Кат!$A:$A,0))</f>
        <v>сергей проводка</v>
      </c>
    </row>
    <row r="108" spans="1:17" ht="60" x14ac:dyDescent="0.25">
      <c r="A108" s="88">
        <v>144970</v>
      </c>
      <c r="B108" s="88">
        <v>13409</v>
      </c>
      <c r="C108" s="89" t="s">
        <v>1312</v>
      </c>
      <c r="D108" s="89" t="s">
        <v>919</v>
      </c>
      <c r="E108" s="89"/>
      <c r="F108" s="89" t="s">
        <v>1641</v>
      </c>
      <c r="G108" s="89" t="s">
        <v>1640</v>
      </c>
      <c r="H108" s="89"/>
      <c r="I108" s="89" t="s">
        <v>526</v>
      </c>
      <c r="J108" s="90">
        <v>12000</v>
      </c>
      <c r="K108" s="90">
        <v>16390</v>
      </c>
      <c r="L108" s="89" t="s">
        <v>1034</v>
      </c>
      <c r="M108" s="89" t="s">
        <v>528</v>
      </c>
      <c r="N108" s="89"/>
      <c r="O108" s="89"/>
      <c r="P108" s="5" t="str">
        <f t="shared" si="1"/>
        <v>1</v>
      </c>
      <c r="Q108" s="5" t="str">
        <f>INDEX(Кат!$J:$J,MATCH($A108,Кат!$A:$A,0))</f>
        <v>сергей проводка</v>
      </c>
    </row>
    <row r="109" spans="1:17" ht="45" x14ac:dyDescent="0.25">
      <c r="A109" s="88">
        <v>144889</v>
      </c>
      <c r="B109" s="88">
        <v>4010</v>
      </c>
      <c r="C109" s="89" t="s">
        <v>1313</v>
      </c>
      <c r="D109" s="89" t="s">
        <v>919</v>
      </c>
      <c r="E109" s="89"/>
      <c r="F109" s="89" t="s">
        <v>1642</v>
      </c>
      <c r="G109" s="89" t="s">
        <v>1640</v>
      </c>
      <c r="H109" s="89"/>
      <c r="I109" s="89" t="s">
        <v>526</v>
      </c>
      <c r="J109" s="90">
        <v>11000</v>
      </c>
      <c r="K109" s="90">
        <v>14890</v>
      </c>
      <c r="L109" s="89" t="s">
        <v>1036</v>
      </c>
      <c r="M109" s="89" t="s">
        <v>528</v>
      </c>
      <c r="N109" s="89"/>
      <c r="O109" s="89"/>
      <c r="P109" s="5" t="str">
        <f t="shared" si="1"/>
        <v>1</v>
      </c>
      <c r="Q109" s="5" t="str">
        <f>INDEX(Кат!$J:$J,MATCH($A109,Кат!$A:$A,0))</f>
        <v>сергей проводка</v>
      </c>
    </row>
    <row r="110" spans="1:17" ht="60" x14ac:dyDescent="0.25">
      <c r="A110" s="88">
        <v>144888</v>
      </c>
      <c r="B110" s="88">
        <v>4008</v>
      </c>
      <c r="C110" s="89" t="s">
        <v>1314</v>
      </c>
      <c r="D110" s="89" t="s">
        <v>919</v>
      </c>
      <c r="E110" s="89"/>
      <c r="F110" s="89" t="s">
        <v>1643</v>
      </c>
      <c r="G110" s="89" t="s">
        <v>1640</v>
      </c>
      <c r="H110" s="89"/>
      <c r="I110" s="89" t="s">
        <v>526</v>
      </c>
      <c r="J110" s="90">
        <v>12000</v>
      </c>
      <c r="K110" s="90">
        <v>16390</v>
      </c>
      <c r="L110" s="89" t="s">
        <v>1033</v>
      </c>
      <c r="M110" s="89" t="s">
        <v>528</v>
      </c>
      <c r="N110" s="89"/>
      <c r="O110" s="89"/>
      <c r="P110" s="5" t="str">
        <f t="shared" si="1"/>
        <v>1</v>
      </c>
      <c r="Q110" s="5" t="str">
        <f>INDEX(Кат!$J:$J,MATCH($A110,Кат!$A:$A,0))</f>
        <v>сергей проводка</v>
      </c>
    </row>
    <row r="111" spans="1:17" ht="60" x14ac:dyDescent="0.25">
      <c r="A111" s="88">
        <v>144971</v>
      </c>
      <c r="B111" s="88">
        <v>13410</v>
      </c>
      <c r="C111" s="89" t="s">
        <v>1315</v>
      </c>
      <c r="D111" s="89" t="s">
        <v>919</v>
      </c>
      <c r="E111" s="89"/>
      <c r="F111" s="89" t="s">
        <v>1644</v>
      </c>
      <c r="G111" s="89" t="s">
        <v>1640</v>
      </c>
      <c r="H111" s="89"/>
      <c r="I111" s="89" t="s">
        <v>526</v>
      </c>
      <c r="J111" s="90">
        <v>12000</v>
      </c>
      <c r="K111" s="90">
        <v>16390</v>
      </c>
      <c r="L111" s="89" t="s">
        <v>1032</v>
      </c>
      <c r="M111" s="89" t="s">
        <v>528</v>
      </c>
      <c r="N111" s="89"/>
      <c r="O111" s="89"/>
      <c r="P111" s="5" t="str">
        <f t="shared" si="1"/>
        <v>1</v>
      </c>
      <c r="Q111" s="5" t="str">
        <f>INDEX(Кат!$J:$J,MATCH($A111,Кат!$A:$A,0))</f>
        <v>сергей проводка</v>
      </c>
    </row>
    <row r="112" spans="1:17" ht="60" x14ac:dyDescent="0.25">
      <c r="A112" s="88">
        <v>144969</v>
      </c>
      <c r="B112" s="88">
        <v>13408</v>
      </c>
      <c r="C112" s="89" t="s">
        <v>1316</v>
      </c>
      <c r="D112" s="89" t="s">
        <v>919</v>
      </c>
      <c r="E112" s="89"/>
      <c r="F112" s="89" t="s">
        <v>1645</v>
      </c>
      <c r="G112" s="89" t="s">
        <v>1640</v>
      </c>
      <c r="H112" s="89"/>
      <c r="I112" s="89" t="s">
        <v>526</v>
      </c>
      <c r="J112" s="90">
        <v>12000</v>
      </c>
      <c r="K112" s="90">
        <v>16390</v>
      </c>
      <c r="L112" s="89" t="s">
        <v>1035</v>
      </c>
      <c r="M112" s="89" t="s">
        <v>528</v>
      </c>
      <c r="N112" s="89"/>
      <c r="O112" s="89"/>
      <c r="P112" s="5" t="str">
        <f t="shared" si="1"/>
        <v>1</v>
      </c>
      <c r="Q112" s="5" t="str">
        <f>INDEX(Кат!$J:$J,MATCH($A112,Кат!$A:$A,0))</f>
        <v>сергей проводка</v>
      </c>
    </row>
    <row r="113" spans="1:17" ht="60" x14ac:dyDescent="0.25">
      <c r="A113" s="88">
        <v>144975</v>
      </c>
      <c r="B113" s="88">
        <v>34254</v>
      </c>
      <c r="C113" s="89" t="s">
        <v>1317</v>
      </c>
      <c r="D113" s="89" t="s">
        <v>919</v>
      </c>
      <c r="E113" s="89"/>
      <c r="F113" s="89" t="s">
        <v>1646</v>
      </c>
      <c r="G113" s="89" t="s">
        <v>1629</v>
      </c>
      <c r="H113" s="89" t="s">
        <v>529</v>
      </c>
      <c r="I113" s="89" t="s">
        <v>526</v>
      </c>
      <c r="J113" s="90">
        <v>12000</v>
      </c>
      <c r="K113" s="90">
        <v>15590</v>
      </c>
      <c r="L113" s="89" t="s">
        <v>1030</v>
      </c>
      <c r="M113" s="89" t="s">
        <v>528</v>
      </c>
      <c r="N113" s="89"/>
      <c r="O113" s="89"/>
      <c r="P113" s="5" t="str">
        <f t="shared" si="1"/>
        <v>1</v>
      </c>
      <c r="Q113" s="5" t="str">
        <f>INDEX(Кат!$J:$J,MATCH($A113,Кат!$A:$A,0))</f>
        <v>сергей проводка</v>
      </c>
    </row>
    <row r="114" spans="1:17" ht="60" x14ac:dyDescent="0.25">
      <c r="A114" s="88">
        <v>144894</v>
      </c>
      <c r="B114" s="88">
        <v>13270</v>
      </c>
      <c r="C114" s="89" t="s">
        <v>974</v>
      </c>
      <c r="D114" s="89" t="s">
        <v>919</v>
      </c>
      <c r="E114" s="89"/>
      <c r="F114" s="89" t="s">
        <v>1647</v>
      </c>
      <c r="G114" s="89" t="s">
        <v>975</v>
      </c>
      <c r="H114" s="89"/>
      <c r="I114" s="89" t="s">
        <v>526</v>
      </c>
      <c r="J114" s="90">
        <v>650</v>
      </c>
      <c r="K114" s="90">
        <v>1190</v>
      </c>
      <c r="L114" s="89" t="s">
        <v>1128</v>
      </c>
      <c r="M114" s="89" t="s">
        <v>528</v>
      </c>
      <c r="N114" s="89"/>
      <c r="O114" s="89"/>
      <c r="P114" s="5" t="str">
        <f t="shared" si="1"/>
        <v>1</v>
      </c>
      <c r="Q114" s="5" t="str">
        <f>INDEX(Кат!$J:$J,MATCH($A114,Кат!$A:$A,0))</f>
        <v>сергей проводка</v>
      </c>
    </row>
    <row r="115" spans="1:17" ht="45" x14ac:dyDescent="0.25">
      <c r="A115" s="88">
        <v>144895</v>
      </c>
      <c r="B115" s="88">
        <v>26296</v>
      </c>
      <c r="C115" s="89" t="s">
        <v>1318</v>
      </c>
      <c r="D115" s="89" t="s">
        <v>919</v>
      </c>
      <c r="E115" s="89"/>
      <c r="F115" s="89" t="s">
        <v>1648</v>
      </c>
      <c r="G115" s="89" t="s">
        <v>1649</v>
      </c>
      <c r="H115" s="89"/>
      <c r="I115" s="89" t="s">
        <v>526</v>
      </c>
      <c r="J115" s="90">
        <v>1300</v>
      </c>
      <c r="K115" s="90">
        <v>1990</v>
      </c>
      <c r="L115" s="89"/>
      <c r="M115" s="89" t="s">
        <v>920</v>
      </c>
      <c r="N115" s="89"/>
      <c r="O115" s="89" t="s">
        <v>919</v>
      </c>
      <c r="P115" s="5" t="str">
        <f t="shared" si="1"/>
        <v>0</v>
      </c>
      <c r="Q115" s="5" t="str">
        <f>INDEX(Кат!$J:$J,MATCH($A115,Кат!$A:$A,0))</f>
        <v>сергей проводка</v>
      </c>
    </row>
    <row r="116" spans="1:17" ht="45" x14ac:dyDescent="0.25">
      <c r="A116" s="88">
        <v>144896</v>
      </c>
      <c r="B116" s="88">
        <v>13406</v>
      </c>
      <c r="C116" s="89" t="s">
        <v>976</v>
      </c>
      <c r="D116" s="89" t="s">
        <v>919</v>
      </c>
      <c r="E116" s="89"/>
      <c r="F116" s="89" t="s">
        <v>1650</v>
      </c>
      <c r="G116" s="89" t="s">
        <v>977</v>
      </c>
      <c r="H116" s="89"/>
      <c r="I116" s="89" t="s">
        <v>526</v>
      </c>
      <c r="J116" s="90">
        <v>1105</v>
      </c>
      <c r="K116" s="90">
        <v>1690</v>
      </c>
      <c r="L116" s="89" t="s">
        <v>1118</v>
      </c>
      <c r="M116" s="89" t="s">
        <v>528</v>
      </c>
      <c r="N116" s="89"/>
      <c r="O116" s="89"/>
      <c r="P116" s="5" t="str">
        <f t="shared" si="1"/>
        <v>1</v>
      </c>
      <c r="Q116" s="5" t="str">
        <f>INDEX(Кат!$J:$J,MATCH($A116,Кат!$A:$A,0))</f>
        <v>сергей проводка</v>
      </c>
    </row>
    <row r="117" spans="1:17" ht="60" x14ac:dyDescent="0.25">
      <c r="A117" s="88">
        <v>144897</v>
      </c>
      <c r="B117" s="88">
        <v>13258</v>
      </c>
      <c r="C117" s="89" t="s">
        <v>1319</v>
      </c>
      <c r="D117" s="89" t="s">
        <v>919</v>
      </c>
      <c r="E117" s="89"/>
      <c r="F117" s="89" t="s">
        <v>1651</v>
      </c>
      <c r="G117" s="89" t="s">
        <v>1652</v>
      </c>
      <c r="H117" s="89"/>
      <c r="I117" s="89" t="s">
        <v>526</v>
      </c>
      <c r="J117" s="90">
        <v>2500</v>
      </c>
      <c r="K117" s="90">
        <v>3190</v>
      </c>
      <c r="L117" s="89" t="s">
        <v>1050</v>
      </c>
      <c r="M117" s="89" t="s">
        <v>528</v>
      </c>
      <c r="N117" s="89"/>
      <c r="O117" s="89"/>
      <c r="P117" s="5" t="str">
        <f t="shared" si="1"/>
        <v>1</v>
      </c>
      <c r="Q117" s="5" t="str">
        <f>INDEX(Кат!$J:$J,MATCH($A117,Кат!$A:$A,0))</f>
        <v>сергей проводка</v>
      </c>
    </row>
    <row r="118" spans="1:17" ht="30" x14ac:dyDescent="0.25">
      <c r="A118" s="88">
        <v>144900</v>
      </c>
      <c r="B118" s="88">
        <v>18633</v>
      </c>
      <c r="C118" s="89" t="s">
        <v>1320</v>
      </c>
      <c r="D118" s="89" t="s">
        <v>919</v>
      </c>
      <c r="E118" s="89"/>
      <c r="F118" s="89"/>
      <c r="G118" s="89"/>
      <c r="H118" s="89"/>
      <c r="I118" s="89" t="s">
        <v>526</v>
      </c>
      <c r="J118" s="90">
        <v>3850</v>
      </c>
      <c r="K118" s="90">
        <v>5390</v>
      </c>
      <c r="L118" s="89"/>
      <c r="M118" s="89" t="s">
        <v>528</v>
      </c>
      <c r="N118" s="89"/>
      <c r="O118" s="89"/>
      <c r="P118" s="5" t="str">
        <f t="shared" si="1"/>
        <v>1</v>
      </c>
      <c r="Q118" s="5" t="str">
        <f>INDEX(Кат!$J:$J,MATCH($A118,Кат!$A:$A,0))</f>
        <v>сергей проводка</v>
      </c>
    </row>
    <row r="119" spans="1:17" ht="60" x14ac:dyDescent="0.25">
      <c r="A119" s="88">
        <v>144901</v>
      </c>
      <c r="B119" s="88">
        <v>13277</v>
      </c>
      <c r="C119" s="89" t="s">
        <v>1321</v>
      </c>
      <c r="D119" s="89" t="s">
        <v>919</v>
      </c>
      <c r="E119" s="89"/>
      <c r="F119" s="89" t="s">
        <v>1653</v>
      </c>
      <c r="G119" s="89" t="s">
        <v>1654</v>
      </c>
      <c r="H119" s="89"/>
      <c r="I119" s="89" t="s">
        <v>526</v>
      </c>
      <c r="J119" s="90">
        <v>4250</v>
      </c>
      <c r="K119" s="90">
        <v>6190</v>
      </c>
      <c r="L119" s="89" t="s">
        <v>1073</v>
      </c>
      <c r="M119" s="89" t="s">
        <v>528</v>
      </c>
      <c r="N119" s="89"/>
      <c r="O119" s="89"/>
      <c r="P119" s="5" t="str">
        <f t="shared" si="1"/>
        <v>1</v>
      </c>
      <c r="Q119" s="5" t="str">
        <f>INDEX(Кат!$J:$J,MATCH($A119,Кат!$A:$A,0))</f>
        <v>сергей проводка</v>
      </c>
    </row>
    <row r="120" spans="1:17" ht="60" x14ac:dyDescent="0.25">
      <c r="A120" s="88">
        <v>144899</v>
      </c>
      <c r="B120" s="88">
        <v>13391</v>
      </c>
      <c r="C120" s="89" t="s">
        <v>1164</v>
      </c>
      <c r="D120" s="89" t="s">
        <v>919</v>
      </c>
      <c r="E120" s="89"/>
      <c r="F120" s="89" t="s">
        <v>1655</v>
      </c>
      <c r="G120" s="89" t="s">
        <v>1193</v>
      </c>
      <c r="H120" s="89"/>
      <c r="I120" s="89" t="s">
        <v>526</v>
      </c>
      <c r="J120" s="90">
        <v>8000</v>
      </c>
      <c r="K120" s="90">
        <v>9990</v>
      </c>
      <c r="L120" s="89" t="s">
        <v>805</v>
      </c>
      <c r="M120" s="89" t="s">
        <v>528</v>
      </c>
      <c r="N120" s="89"/>
      <c r="O120" s="89"/>
      <c r="P120" s="5" t="str">
        <f t="shared" si="1"/>
        <v>1</v>
      </c>
      <c r="Q120" s="5" t="str">
        <f>INDEX(Кат!$J:$J,MATCH($A120,Кат!$A:$A,0))</f>
        <v>сергей проводка</v>
      </c>
    </row>
    <row r="121" spans="1:17" ht="60" x14ac:dyDescent="0.25">
      <c r="A121" s="88">
        <v>144898</v>
      </c>
      <c r="B121" s="88">
        <v>13435</v>
      </c>
      <c r="C121" s="89" t="s">
        <v>1322</v>
      </c>
      <c r="D121" s="89" t="s">
        <v>919</v>
      </c>
      <c r="E121" s="89"/>
      <c r="F121" s="89" t="s">
        <v>1656</v>
      </c>
      <c r="G121" s="89" t="s">
        <v>978</v>
      </c>
      <c r="H121" s="89"/>
      <c r="I121" s="89" t="s">
        <v>526</v>
      </c>
      <c r="J121" s="90">
        <v>2500</v>
      </c>
      <c r="K121" s="90">
        <v>4890</v>
      </c>
      <c r="L121" s="89" t="s">
        <v>1059</v>
      </c>
      <c r="M121" s="89" t="s">
        <v>528</v>
      </c>
      <c r="N121" s="89"/>
      <c r="O121" s="89"/>
      <c r="P121" s="5" t="str">
        <f t="shared" si="1"/>
        <v>1</v>
      </c>
      <c r="Q121" s="5" t="str">
        <f>INDEX(Кат!$J:$J,MATCH($A121,Кат!$A:$A,0))</f>
        <v>сергей проводка</v>
      </c>
    </row>
    <row r="122" spans="1:17" ht="60" x14ac:dyDescent="0.25">
      <c r="A122" s="88">
        <v>144928</v>
      </c>
      <c r="B122" s="88">
        <v>13313</v>
      </c>
      <c r="C122" s="89" t="s">
        <v>1165</v>
      </c>
      <c r="D122" s="89" t="s">
        <v>919</v>
      </c>
      <c r="E122" s="89"/>
      <c r="F122" s="89" t="s">
        <v>1657</v>
      </c>
      <c r="G122" s="89" t="s">
        <v>1166</v>
      </c>
      <c r="H122" s="89"/>
      <c r="I122" s="89" t="s">
        <v>526</v>
      </c>
      <c r="J122" s="90">
        <v>10000</v>
      </c>
      <c r="K122" s="90">
        <v>13690</v>
      </c>
      <c r="L122" s="89" t="s">
        <v>1045</v>
      </c>
      <c r="M122" s="89" t="s">
        <v>528</v>
      </c>
      <c r="N122" s="89"/>
      <c r="O122" s="89"/>
      <c r="P122" s="5" t="str">
        <f t="shared" si="1"/>
        <v>1</v>
      </c>
      <c r="Q122" s="5" t="str">
        <f>INDEX(Кат!$J:$J,MATCH($A122,Кат!$A:$A,0))</f>
        <v>сергей проводка</v>
      </c>
    </row>
    <row r="123" spans="1:17" ht="60" x14ac:dyDescent="0.25">
      <c r="A123" s="88">
        <v>144929</v>
      </c>
      <c r="B123" s="88">
        <v>13320</v>
      </c>
      <c r="C123" s="89" t="s">
        <v>1167</v>
      </c>
      <c r="D123" s="89" t="s">
        <v>919</v>
      </c>
      <c r="E123" s="89"/>
      <c r="F123" s="89" t="s">
        <v>1658</v>
      </c>
      <c r="G123" s="89" t="s">
        <v>1168</v>
      </c>
      <c r="H123" s="89"/>
      <c r="I123" s="89" t="s">
        <v>526</v>
      </c>
      <c r="J123" s="90">
        <v>15000</v>
      </c>
      <c r="K123" s="90">
        <v>20490</v>
      </c>
      <c r="L123" s="89" t="s">
        <v>1029</v>
      </c>
      <c r="M123" s="89" t="s">
        <v>528</v>
      </c>
      <c r="N123" s="89"/>
      <c r="O123" s="89"/>
      <c r="P123" s="5" t="str">
        <f t="shared" si="1"/>
        <v>1</v>
      </c>
      <c r="Q123" s="5" t="str">
        <f>INDEX(Кат!$J:$J,MATCH($A123,Кат!$A:$A,0))</f>
        <v>сергей проводка</v>
      </c>
    </row>
    <row r="124" spans="1:17" ht="60" x14ac:dyDescent="0.25">
      <c r="A124" s="88">
        <v>144902</v>
      </c>
      <c r="B124" s="88">
        <v>13321</v>
      </c>
      <c r="C124" s="89" t="s">
        <v>1169</v>
      </c>
      <c r="D124" s="89" t="s">
        <v>919</v>
      </c>
      <c r="E124" s="89"/>
      <c r="F124" s="89" t="s">
        <v>1659</v>
      </c>
      <c r="G124" s="89" t="s">
        <v>1660</v>
      </c>
      <c r="H124" s="89"/>
      <c r="I124" s="89" t="s">
        <v>526</v>
      </c>
      <c r="J124" s="90">
        <v>20000</v>
      </c>
      <c r="K124" s="90">
        <v>25990</v>
      </c>
      <c r="L124" s="89" t="s">
        <v>743</v>
      </c>
      <c r="M124" s="89" t="s">
        <v>528</v>
      </c>
      <c r="N124" s="89"/>
      <c r="O124" s="89"/>
      <c r="P124" s="5" t="str">
        <f t="shared" si="1"/>
        <v>1</v>
      </c>
      <c r="Q124" s="5" t="str">
        <f>INDEX(Кат!$J:$J,MATCH($A124,Кат!$A:$A,0))</f>
        <v>сергей проводка</v>
      </c>
    </row>
    <row r="125" spans="1:17" ht="60" x14ac:dyDescent="0.25">
      <c r="A125" s="88">
        <v>144904</v>
      </c>
      <c r="B125" s="88">
        <v>13279</v>
      </c>
      <c r="C125" s="89" t="s">
        <v>1323</v>
      </c>
      <c r="D125" s="89" t="s">
        <v>919</v>
      </c>
      <c r="E125" s="89"/>
      <c r="F125" s="89" t="s">
        <v>1661</v>
      </c>
      <c r="G125" s="89" t="s">
        <v>979</v>
      </c>
      <c r="H125" s="89"/>
      <c r="I125" s="89" t="s">
        <v>526</v>
      </c>
      <c r="J125" s="90">
        <v>4000</v>
      </c>
      <c r="K125" s="90">
        <v>5590</v>
      </c>
      <c r="L125" s="89" t="s">
        <v>1064</v>
      </c>
      <c r="M125" s="89" t="s">
        <v>528</v>
      </c>
      <c r="N125" s="89"/>
      <c r="O125" s="89"/>
      <c r="P125" s="5" t="str">
        <f t="shared" si="1"/>
        <v>1</v>
      </c>
      <c r="Q125" s="5" t="str">
        <f>INDEX(Кат!$J:$J,MATCH($A125,Кат!$A:$A,0))</f>
        <v>сергей проводка</v>
      </c>
    </row>
    <row r="126" spans="1:17" ht="60" x14ac:dyDescent="0.25">
      <c r="A126" s="88">
        <v>144905</v>
      </c>
      <c r="B126" s="88">
        <v>13280</v>
      </c>
      <c r="C126" s="89" t="s">
        <v>1324</v>
      </c>
      <c r="D126" s="89" t="s">
        <v>919</v>
      </c>
      <c r="E126" s="89"/>
      <c r="F126" s="89" t="s">
        <v>1662</v>
      </c>
      <c r="G126" s="89" t="s">
        <v>1663</v>
      </c>
      <c r="H126" s="89"/>
      <c r="I126" s="89" t="s">
        <v>526</v>
      </c>
      <c r="J126" s="90">
        <v>4000</v>
      </c>
      <c r="K126" s="90">
        <v>5590</v>
      </c>
      <c r="L126" s="89" t="s">
        <v>1052</v>
      </c>
      <c r="M126" s="89" t="s">
        <v>528</v>
      </c>
      <c r="N126" s="89"/>
      <c r="O126" s="89"/>
      <c r="P126" s="5" t="str">
        <f t="shared" si="1"/>
        <v>1</v>
      </c>
      <c r="Q126" s="5" t="str">
        <f>INDEX(Кат!$J:$J,MATCH($A126,Кат!$A:$A,0))</f>
        <v>сергей проводка</v>
      </c>
    </row>
    <row r="127" spans="1:17" ht="75" x14ac:dyDescent="0.25">
      <c r="A127" s="88">
        <v>426706</v>
      </c>
      <c r="B127" s="88">
        <v>426706</v>
      </c>
      <c r="C127" s="89" t="s">
        <v>1325</v>
      </c>
      <c r="D127" s="89" t="s">
        <v>919</v>
      </c>
      <c r="E127" s="89"/>
      <c r="F127" s="89" t="s">
        <v>1664</v>
      </c>
      <c r="G127" s="89" t="s">
        <v>1665</v>
      </c>
      <c r="H127" s="89" t="s">
        <v>1326</v>
      </c>
      <c r="I127" s="89" t="s">
        <v>526</v>
      </c>
      <c r="J127" s="90">
        <v>4000</v>
      </c>
      <c r="K127" s="90">
        <v>5590</v>
      </c>
      <c r="L127" s="89" t="s">
        <v>1472</v>
      </c>
      <c r="M127" s="89" t="s">
        <v>528</v>
      </c>
      <c r="N127" s="89"/>
      <c r="O127" s="89"/>
      <c r="P127" s="5" t="str">
        <f t="shared" si="1"/>
        <v>1</v>
      </c>
      <c r="Q127" s="5" t="str">
        <f>INDEX(Кат!$J:$J,MATCH($A127,Кат!$A:$A,0))</f>
        <v>сергей проводка</v>
      </c>
    </row>
    <row r="128" spans="1:17" ht="75" x14ac:dyDescent="0.25">
      <c r="A128" s="88">
        <v>426712</v>
      </c>
      <c r="B128" s="88">
        <v>426712</v>
      </c>
      <c r="C128" s="89" t="s">
        <v>1327</v>
      </c>
      <c r="D128" s="89" t="s">
        <v>919</v>
      </c>
      <c r="E128" s="89"/>
      <c r="F128" s="89" t="s">
        <v>1666</v>
      </c>
      <c r="G128" s="89" t="s">
        <v>1665</v>
      </c>
      <c r="H128" s="89" t="s">
        <v>1328</v>
      </c>
      <c r="I128" s="89" t="s">
        <v>526</v>
      </c>
      <c r="J128" s="90">
        <v>4000</v>
      </c>
      <c r="K128" s="90">
        <v>5590</v>
      </c>
      <c r="L128" s="89" t="s">
        <v>1473</v>
      </c>
      <c r="M128" s="89" t="s">
        <v>528</v>
      </c>
      <c r="N128" s="89"/>
      <c r="O128" s="89"/>
      <c r="P128" s="5" t="str">
        <f t="shared" si="1"/>
        <v>1</v>
      </c>
      <c r="Q128" s="5" t="str">
        <f>INDEX(Кат!$J:$J,MATCH($A128,Кат!$A:$A,0))</f>
        <v>сергей проводка</v>
      </c>
    </row>
    <row r="129" spans="1:17" ht="75" x14ac:dyDescent="0.25">
      <c r="A129" s="88">
        <v>426713</v>
      </c>
      <c r="B129" s="88">
        <v>426713</v>
      </c>
      <c r="C129" s="89" t="s">
        <v>1329</v>
      </c>
      <c r="D129" s="89" t="s">
        <v>919</v>
      </c>
      <c r="E129" s="89"/>
      <c r="F129" s="89" t="s">
        <v>1667</v>
      </c>
      <c r="G129" s="89" t="s">
        <v>1665</v>
      </c>
      <c r="H129" s="89" t="s">
        <v>1330</v>
      </c>
      <c r="I129" s="89" t="s">
        <v>526</v>
      </c>
      <c r="J129" s="90">
        <v>4000</v>
      </c>
      <c r="K129" s="90">
        <v>5590</v>
      </c>
      <c r="L129" s="89" t="s">
        <v>1474</v>
      </c>
      <c r="M129" s="89" t="s">
        <v>528</v>
      </c>
      <c r="N129" s="89"/>
      <c r="O129" s="89"/>
      <c r="P129" s="5" t="str">
        <f t="shared" si="1"/>
        <v>1</v>
      </c>
      <c r="Q129" s="5" t="str">
        <f>INDEX(Кат!$J:$J,MATCH($A129,Кат!$A:$A,0))</f>
        <v>сергей проводка</v>
      </c>
    </row>
    <row r="130" spans="1:17" ht="60" x14ac:dyDescent="0.25">
      <c r="A130" s="88">
        <v>144927</v>
      </c>
      <c r="B130" s="88">
        <v>13418</v>
      </c>
      <c r="C130" s="89" t="s">
        <v>170</v>
      </c>
      <c r="D130" s="89" t="s">
        <v>919</v>
      </c>
      <c r="E130" s="89"/>
      <c r="F130" s="89"/>
      <c r="G130" s="89"/>
      <c r="H130" s="89"/>
      <c r="I130" s="89" t="s">
        <v>526</v>
      </c>
      <c r="J130" s="90">
        <v>3250</v>
      </c>
      <c r="K130" s="90">
        <v>4590</v>
      </c>
      <c r="L130" s="89" t="s">
        <v>1068</v>
      </c>
      <c r="M130" s="89" t="s">
        <v>528</v>
      </c>
      <c r="N130" s="89"/>
      <c r="O130" s="89"/>
      <c r="P130" s="5" t="str">
        <f t="shared" si="1"/>
        <v>1</v>
      </c>
      <c r="Q130" s="5" t="str">
        <f>INDEX(Кат!$J:$J,MATCH($A130,Кат!$A:$A,0))</f>
        <v>сергей проводка</v>
      </c>
    </row>
    <row r="131" spans="1:17" ht="60" x14ac:dyDescent="0.25">
      <c r="A131" s="88">
        <v>144903</v>
      </c>
      <c r="B131" s="88">
        <v>13278</v>
      </c>
      <c r="C131" s="89" t="s">
        <v>1331</v>
      </c>
      <c r="D131" s="89" t="s">
        <v>919</v>
      </c>
      <c r="E131" s="89"/>
      <c r="F131" s="89" t="s">
        <v>1668</v>
      </c>
      <c r="G131" s="89" t="s">
        <v>1669</v>
      </c>
      <c r="H131" s="89"/>
      <c r="I131" s="89" t="s">
        <v>526</v>
      </c>
      <c r="J131" s="90">
        <v>3500</v>
      </c>
      <c r="K131" s="90">
        <v>4890</v>
      </c>
      <c r="L131" s="89" t="s">
        <v>1055</v>
      </c>
      <c r="M131" s="89" t="s">
        <v>528</v>
      </c>
      <c r="N131" s="89"/>
      <c r="O131" s="89"/>
      <c r="P131" s="5" t="str">
        <f t="shared" ref="P131:P194" si="2">_xlfn.CONCAT(M131,IF(N131&lt;&gt;"",_xlfn.CONCAT("ск",N131),""))</f>
        <v>1</v>
      </c>
      <c r="Q131" s="5" t="str">
        <f>INDEX(Кат!$J:$J,MATCH($A131,Кат!$A:$A,0))</f>
        <v>сергей проводка</v>
      </c>
    </row>
    <row r="132" spans="1:17" ht="45" x14ac:dyDescent="0.25">
      <c r="A132" s="88">
        <v>144907</v>
      </c>
      <c r="B132" s="88">
        <v>13281</v>
      </c>
      <c r="C132" s="89" t="s">
        <v>1332</v>
      </c>
      <c r="D132" s="89" t="s">
        <v>919</v>
      </c>
      <c r="E132" s="89"/>
      <c r="F132" s="89" t="s">
        <v>1670</v>
      </c>
      <c r="G132" s="89" t="s">
        <v>1671</v>
      </c>
      <c r="H132" s="89"/>
      <c r="I132" s="89" t="s">
        <v>526</v>
      </c>
      <c r="J132" s="90">
        <v>4000</v>
      </c>
      <c r="K132" s="90">
        <v>5590</v>
      </c>
      <c r="L132" s="89" t="s">
        <v>789</v>
      </c>
      <c r="M132" s="89" t="s">
        <v>528</v>
      </c>
      <c r="N132" s="89"/>
      <c r="O132" s="89"/>
      <c r="P132" s="5" t="str">
        <f t="shared" si="2"/>
        <v>1</v>
      </c>
      <c r="Q132" s="5" t="str">
        <f>INDEX(Кат!$J:$J,MATCH($A132,Кат!$A:$A,0))</f>
        <v>сергей проводка</v>
      </c>
    </row>
    <row r="133" spans="1:17" ht="60" x14ac:dyDescent="0.25">
      <c r="A133" s="88">
        <v>144906</v>
      </c>
      <c r="B133" s="88">
        <v>13304</v>
      </c>
      <c r="C133" s="89" t="s">
        <v>1333</v>
      </c>
      <c r="D133" s="89" t="s">
        <v>919</v>
      </c>
      <c r="E133" s="89"/>
      <c r="F133" s="89" t="s">
        <v>1672</v>
      </c>
      <c r="G133" s="89" t="s">
        <v>1673</v>
      </c>
      <c r="H133" s="89"/>
      <c r="I133" s="89" t="s">
        <v>526</v>
      </c>
      <c r="J133" s="90">
        <v>5000</v>
      </c>
      <c r="K133" s="90">
        <v>7090</v>
      </c>
      <c r="L133" s="89" t="s">
        <v>1076</v>
      </c>
      <c r="M133" s="89" t="s">
        <v>528</v>
      </c>
      <c r="N133" s="89"/>
      <c r="O133" s="89"/>
      <c r="P133" s="5" t="str">
        <f t="shared" si="2"/>
        <v>1</v>
      </c>
      <c r="Q133" s="5" t="str">
        <f>INDEX(Кат!$J:$J,MATCH($A133,Кат!$A:$A,0))</f>
        <v>сергей проводка</v>
      </c>
    </row>
    <row r="134" spans="1:17" ht="75" x14ac:dyDescent="0.25">
      <c r="A134" s="88">
        <v>426618</v>
      </c>
      <c r="B134" s="88">
        <v>426618</v>
      </c>
      <c r="C134" s="89" t="s">
        <v>1334</v>
      </c>
      <c r="D134" s="89" t="s">
        <v>919</v>
      </c>
      <c r="E134" s="89"/>
      <c r="F134" s="89" t="s">
        <v>1674</v>
      </c>
      <c r="G134" s="89" t="s">
        <v>1673</v>
      </c>
      <c r="H134" s="89" t="s">
        <v>1335</v>
      </c>
      <c r="I134" s="89" t="s">
        <v>526</v>
      </c>
      <c r="J134" s="90">
        <v>4500</v>
      </c>
      <c r="K134" s="90">
        <v>6290</v>
      </c>
      <c r="L134" s="89" t="s">
        <v>1475</v>
      </c>
      <c r="M134" s="89" t="s">
        <v>528</v>
      </c>
      <c r="N134" s="89"/>
      <c r="O134" s="89"/>
      <c r="P134" s="5" t="str">
        <f t="shared" si="2"/>
        <v>1</v>
      </c>
      <c r="Q134" s="5" t="str">
        <f>INDEX(Кат!$J:$J,MATCH($A134,Кат!$A:$A,0))</f>
        <v>сергей проводка</v>
      </c>
    </row>
    <row r="135" spans="1:17" ht="120" x14ac:dyDescent="0.25">
      <c r="A135" s="88">
        <v>426656</v>
      </c>
      <c r="B135" s="88">
        <v>426656</v>
      </c>
      <c r="C135" s="89" t="s">
        <v>1336</v>
      </c>
      <c r="D135" s="89" t="s">
        <v>919</v>
      </c>
      <c r="E135" s="89"/>
      <c r="F135" s="89" t="s">
        <v>1675</v>
      </c>
      <c r="G135" s="89" t="s">
        <v>1671</v>
      </c>
      <c r="H135" s="89" t="s">
        <v>1337</v>
      </c>
      <c r="I135" s="89" t="s">
        <v>526</v>
      </c>
      <c r="J135" s="90">
        <v>4000</v>
      </c>
      <c r="K135" s="90">
        <v>5590</v>
      </c>
      <c r="L135" s="89" t="s">
        <v>1476</v>
      </c>
      <c r="M135" s="89" t="s">
        <v>528</v>
      </c>
      <c r="N135" s="89"/>
      <c r="O135" s="89"/>
      <c r="P135" s="5" t="str">
        <f t="shared" si="2"/>
        <v>1</v>
      </c>
      <c r="Q135" s="5" t="str">
        <f>INDEX(Кат!$J:$J,MATCH($A135,Кат!$A:$A,0))</f>
        <v>сергей проводка</v>
      </c>
    </row>
    <row r="136" spans="1:17" ht="60" x14ac:dyDescent="0.25">
      <c r="A136" s="88">
        <v>144914</v>
      </c>
      <c r="B136" s="88">
        <v>13365</v>
      </c>
      <c r="C136" s="89" t="s">
        <v>1170</v>
      </c>
      <c r="D136" s="89" t="s">
        <v>919</v>
      </c>
      <c r="E136" s="89"/>
      <c r="F136" s="89" t="s">
        <v>1676</v>
      </c>
      <c r="G136" s="89" t="s">
        <v>1171</v>
      </c>
      <c r="H136" s="89"/>
      <c r="I136" s="89" t="s">
        <v>526</v>
      </c>
      <c r="J136" s="90">
        <v>15000</v>
      </c>
      <c r="K136" s="90">
        <v>20490</v>
      </c>
      <c r="L136" s="89" t="s">
        <v>747</v>
      </c>
      <c r="M136" s="89" t="s">
        <v>528</v>
      </c>
      <c r="N136" s="89"/>
      <c r="O136" s="89"/>
      <c r="P136" s="5" t="str">
        <f t="shared" si="2"/>
        <v>1</v>
      </c>
      <c r="Q136" s="5" t="str">
        <f>INDEX(Кат!$J:$J,MATCH($A136,Кат!$A:$A,0))</f>
        <v>сергей проводка</v>
      </c>
    </row>
    <row r="137" spans="1:17" ht="60" x14ac:dyDescent="0.25">
      <c r="A137" s="88">
        <v>144915</v>
      </c>
      <c r="B137" s="88">
        <v>13375</v>
      </c>
      <c r="C137" s="89" t="s">
        <v>1170</v>
      </c>
      <c r="D137" s="89" t="s">
        <v>919</v>
      </c>
      <c r="E137" s="89"/>
      <c r="F137" s="89" t="s">
        <v>1677</v>
      </c>
      <c r="G137" s="89" t="s">
        <v>1171</v>
      </c>
      <c r="H137" s="89"/>
      <c r="I137" s="89" t="s">
        <v>526</v>
      </c>
      <c r="J137" s="90">
        <v>20000</v>
      </c>
      <c r="K137" s="90">
        <v>25990</v>
      </c>
      <c r="L137" s="89" t="s">
        <v>877</v>
      </c>
      <c r="M137" s="89" t="s">
        <v>528</v>
      </c>
      <c r="N137" s="89"/>
      <c r="O137" s="89"/>
      <c r="P137" s="5" t="str">
        <f t="shared" si="2"/>
        <v>1</v>
      </c>
      <c r="Q137" s="5" t="str">
        <f>INDEX(Кат!$J:$J,MATCH($A137,Кат!$A:$A,0))</f>
        <v>сергей проводка</v>
      </c>
    </row>
    <row r="138" spans="1:17" ht="60" x14ac:dyDescent="0.25">
      <c r="A138" s="88">
        <v>144916</v>
      </c>
      <c r="B138" s="88">
        <v>13382</v>
      </c>
      <c r="C138" s="89" t="s">
        <v>1170</v>
      </c>
      <c r="D138" s="89" t="s">
        <v>919</v>
      </c>
      <c r="E138" s="89"/>
      <c r="F138" s="89" t="s">
        <v>1678</v>
      </c>
      <c r="G138" s="89" t="s">
        <v>1679</v>
      </c>
      <c r="H138" s="89"/>
      <c r="I138" s="89" t="s">
        <v>526</v>
      </c>
      <c r="J138" s="90">
        <v>20000</v>
      </c>
      <c r="K138" s="90">
        <v>25990</v>
      </c>
      <c r="L138" s="89" t="s">
        <v>1022</v>
      </c>
      <c r="M138" s="89" t="s">
        <v>528</v>
      </c>
      <c r="N138" s="89"/>
      <c r="O138" s="89"/>
      <c r="P138" s="5" t="str">
        <f t="shared" si="2"/>
        <v>1</v>
      </c>
      <c r="Q138" s="5" t="str">
        <f>INDEX(Кат!$J:$J,MATCH($A138,Кат!$A:$A,0))</f>
        <v>сергей проводка</v>
      </c>
    </row>
    <row r="139" spans="1:17" ht="45" x14ac:dyDescent="0.25">
      <c r="A139" s="88">
        <v>144917</v>
      </c>
      <c r="B139" s="88">
        <v>13372</v>
      </c>
      <c r="C139" s="89" t="s">
        <v>1170</v>
      </c>
      <c r="D139" s="89" t="s">
        <v>919</v>
      </c>
      <c r="E139" s="89"/>
      <c r="F139" s="89" t="s">
        <v>1680</v>
      </c>
      <c r="G139" s="89" t="s">
        <v>1681</v>
      </c>
      <c r="H139" s="89"/>
      <c r="I139" s="89" t="s">
        <v>526</v>
      </c>
      <c r="J139" s="90">
        <v>20000</v>
      </c>
      <c r="K139" s="90">
        <v>25990</v>
      </c>
      <c r="L139" s="89" t="s">
        <v>749</v>
      </c>
      <c r="M139" s="89" t="s">
        <v>528</v>
      </c>
      <c r="N139" s="89"/>
      <c r="O139" s="89"/>
      <c r="P139" s="5" t="str">
        <f t="shared" si="2"/>
        <v>1</v>
      </c>
      <c r="Q139" s="5" t="str">
        <f>INDEX(Кат!$J:$J,MATCH($A139,Кат!$A:$A,0))</f>
        <v>сергей проводка</v>
      </c>
    </row>
    <row r="140" spans="1:17" ht="60" x14ac:dyDescent="0.25">
      <c r="A140" s="88">
        <v>144919</v>
      </c>
      <c r="B140" s="88">
        <v>13376</v>
      </c>
      <c r="C140" s="89" t="s">
        <v>1170</v>
      </c>
      <c r="D140" s="89" t="s">
        <v>919</v>
      </c>
      <c r="E140" s="89"/>
      <c r="F140" s="89" t="s">
        <v>1682</v>
      </c>
      <c r="G140" s="89" t="s">
        <v>1683</v>
      </c>
      <c r="H140" s="89"/>
      <c r="I140" s="89" t="s">
        <v>526</v>
      </c>
      <c r="J140" s="90">
        <v>20000</v>
      </c>
      <c r="K140" s="90">
        <v>25990</v>
      </c>
      <c r="L140" s="89" t="s">
        <v>1023</v>
      </c>
      <c r="M140" s="89" t="s">
        <v>528</v>
      </c>
      <c r="N140" s="89"/>
      <c r="O140" s="89"/>
      <c r="P140" s="5" t="str">
        <f t="shared" si="2"/>
        <v>1</v>
      </c>
      <c r="Q140" s="5" t="str">
        <f>INDEX(Кат!$J:$J,MATCH($A140,Кат!$A:$A,0))</f>
        <v>сергей проводка</v>
      </c>
    </row>
    <row r="141" spans="1:17" ht="60" x14ac:dyDescent="0.25">
      <c r="A141" s="88">
        <v>144921</v>
      </c>
      <c r="B141" s="88">
        <v>13377</v>
      </c>
      <c r="C141" s="89" t="s">
        <v>1170</v>
      </c>
      <c r="D141" s="89" t="s">
        <v>919</v>
      </c>
      <c r="E141" s="89"/>
      <c r="F141" s="89" t="s">
        <v>1684</v>
      </c>
      <c r="G141" s="89" t="s">
        <v>1685</v>
      </c>
      <c r="H141" s="89"/>
      <c r="I141" s="89" t="s">
        <v>526</v>
      </c>
      <c r="J141" s="90">
        <v>20000</v>
      </c>
      <c r="K141" s="90">
        <v>25990</v>
      </c>
      <c r="L141" s="89" t="s">
        <v>750</v>
      </c>
      <c r="M141" s="89" t="s">
        <v>528</v>
      </c>
      <c r="N141" s="89"/>
      <c r="O141" s="89"/>
      <c r="P141" s="5" t="str">
        <f t="shared" si="2"/>
        <v>1</v>
      </c>
      <c r="Q141" s="5" t="str">
        <f>INDEX(Кат!$J:$J,MATCH($A141,Кат!$A:$A,0))</f>
        <v>сергей проводка</v>
      </c>
    </row>
    <row r="142" spans="1:17" ht="60" x14ac:dyDescent="0.25">
      <c r="A142" s="88">
        <v>144922</v>
      </c>
      <c r="B142" s="88">
        <v>13379</v>
      </c>
      <c r="C142" s="89" t="s">
        <v>1170</v>
      </c>
      <c r="D142" s="89" t="s">
        <v>919</v>
      </c>
      <c r="E142" s="89"/>
      <c r="F142" s="89" t="s">
        <v>1686</v>
      </c>
      <c r="G142" s="89" t="s">
        <v>1687</v>
      </c>
      <c r="H142" s="89"/>
      <c r="I142" s="89" t="s">
        <v>526</v>
      </c>
      <c r="J142" s="90">
        <v>20000</v>
      </c>
      <c r="K142" s="90">
        <v>25990</v>
      </c>
      <c r="L142" s="89" t="s">
        <v>752</v>
      </c>
      <c r="M142" s="89" t="s">
        <v>528</v>
      </c>
      <c r="N142" s="89"/>
      <c r="O142" s="89"/>
      <c r="P142" s="5" t="str">
        <f t="shared" si="2"/>
        <v>1</v>
      </c>
      <c r="Q142" s="5" t="str">
        <f>INDEX(Кат!$J:$J,MATCH($A142,Кат!$A:$A,0))</f>
        <v>сергей проводка</v>
      </c>
    </row>
    <row r="143" spans="1:17" ht="60" x14ac:dyDescent="0.25">
      <c r="A143" s="88">
        <v>144923</v>
      </c>
      <c r="B143" s="88">
        <v>13378</v>
      </c>
      <c r="C143" s="89" t="s">
        <v>1170</v>
      </c>
      <c r="D143" s="89" t="s">
        <v>919</v>
      </c>
      <c r="E143" s="89"/>
      <c r="F143" s="89" t="s">
        <v>1688</v>
      </c>
      <c r="G143" s="89" t="s">
        <v>1687</v>
      </c>
      <c r="H143" s="89"/>
      <c r="I143" s="89" t="s">
        <v>526</v>
      </c>
      <c r="J143" s="90">
        <v>20000</v>
      </c>
      <c r="K143" s="90">
        <v>25990</v>
      </c>
      <c r="L143" s="89" t="s">
        <v>751</v>
      </c>
      <c r="M143" s="89" t="s">
        <v>528</v>
      </c>
      <c r="N143" s="89"/>
      <c r="O143" s="89"/>
      <c r="P143" s="5" t="str">
        <f t="shared" si="2"/>
        <v>1</v>
      </c>
      <c r="Q143" s="5" t="str">
        <f>INDEX(Кат!$J:$J,MATCH($A143,Кат!$A:$A,0))</f>
        <v>сергей проводка</v>
      </c>
    </row>
    <row r="144" spans="1:17" ht="60" x14ac:dyDescent="0.25">
      <c r="A144" s="88">
        <v>144924</v>
      </c>
      <c r="B144" s="88">
        <v>13380</v>
      </c>
      <c r="C144" s="89" t="s">
        <v>1170</v>
      </c>
      <c r="D144" s="89" t="s">
        <v>919</v>
      </c>
      <c r="E144" s="89"/>
      <c r="F144" s="89" t="s">
        <v>1689</v>
      </c>
      <c r="G144" s="89" t="s">
        <v>1687</v>
      </c>
      <c r="H144" s="89"/>
      <c r="I144" s="89" t="s">
        <v>526</v>
      </c>
      <c r="J144" s="90">
        <v>20000</v>
      </c>
      <c r="K144" s="90">
        <v>25990</v>
      </c>
      <c r="L144" s="89" t="s">
        <v>753</v>
      </c>
      <c r="M144" s="89" t="s">
        <v>528</v>
      </c>
      <c r="N144" s="89"/>
      <c r="O144" s="89"/>
      <c r="P144" s="5" t="str">
        <f t="shared" si="2"/>
        <v>1</v>
      </c>
      <c r="Q144" s="5" t="str">
        <f>INDEX(Кат!$J:$J,MATCH($A144,Кат!$A:$A,0))</f>
        <v>сергей проводка</v>
      </c>
    </row>
    <row r="145" spans="1:17" ht="60" x14ac:dyDescent="0.25">
      <c r="A145" s="88">
        <v>144925</v>
      </c>
      <c r="B145" s="88">
        <v>13371</v>
      </c>
      <c r="C145" s="89" t="s">
        <v>1170</v>
      </c>
      <c r="D145" s="89" t="s">
        <v>919</v>
      </c>
      <c r="E145" s="89"/>
      <c r="F145" s="89" t="s">
        <v>1690</v>
      </c>
      <c r="G145" s="89" t="s">
        <v>1691</v>
      </c>
      <c r="H145" s="89"/>
      <c r="I145" s="89" t="s">
        <v>526</v>
      </c>
      <c r="J145" s="90">
        <v>20000</v>
      </c>
      <c r="K145" s="90">
        <v>25990</v>
      </c>
      <c r="L145" s="89" t="s">
        <v>748</v>
      </c>
      <c r="M145" s="89" t="s">
        <v>528</v>
      </c>
      <c r="N145" s="89"/>
      <c r="O145" s="89"/>
      <c r="P145" s="5" t="str">
        <f t="shared" si="2"/>
        <v>1</v>
      </c>
      <c r="Q145" s="5" t="str">
        <f>INDEX(Кат!$J:$J,MATCH($A145,Кат!$A:$A,0))</f>
        <v>сергей проводка</v>
      </c>
    </row>
    <row r="146" spans="1:17" ht="60" x14ac:dyDescent="0.25">
      <c r="A146" s="88">
        <v>144926</v>
      </c>
      <c r="B146" s="88">
        <v>13381</v>
      </c>
      <c r="C146" s="89" t="s">
        <v>1170</v>
      </c>
      <c r="D146" s="89" t="s">
        <v>919</v>
      </c>
      <c r="E146" s="89"/>
      <c r="F146" s="89" t="s">
        <v>1692</v>
      </c>
      <c r="G146" s="89" t="s">
        <v>1691</v>
      </c>
      <c r="H146" s="89"/>
      <c r="I146" s="89" t="s">
        <v>526</v>
      </c>
      <c r="J146" s="90">
        <v>20000</v>
      </c>
      <c r="K146" s="90">
        <v>25990</v>
      </c>
      <c r="L146" s="89" t="s">
        <v>754</v>
      </c>
      <c r="M146" s="89" t="s">
        <v>528</v>
      </c>
      <c r="N146" s="89"/>
      <c r="O146" s="89"/>
      <c r="P146" s="5" t="str">
        <f t="shared" si="2"/>
        <v>1</v>
      </c>
      <c r="Q146" s="5" t="str">
        <f>INDEX(Кат!$J:$J,MATCH($A146,Кат!$A:$A,0))</f>
        <v>сергей проводка</v>
      </c>
    </row>
    <row r="147" spans="1:17" ht="60" x14ac:dyDescent="0.25">
      <c r="A147" s="88">
        <v>144909</v>
      </c>
      <c r="B147" s="88">
        <v>13434</v>
      </c>
      <c r="C147" s="89" t="s">
        <v>1338</v>
      </c>
      <c r="D147" s="89" t="s">
        <v>919</v>
      </c>
      <c r="E147" s="89"/>
      <c r="F147" s="89" t="s">
        <v>1693</v>
      </c>
      <c r="G147" s="89" t="s">
        <v>1694</v>
      </c>
      <c r="H147" s="89"/>
      <c r="I147" s="89" t="s">
        <v>526</v>
      </c>
      <c r="J147" s="90">
        <v>7500</v>
      </c>
      <c r="K147" s="90">
        <v>10190</v>
      </c>
      <c r="L147" s="89" t="s">
        <v>885</v>
      </c>
      <c r="M147" s="89" t="s">
        <v>528</v>
      </c>
      <c r="N147" s="89"/>
      <c r="O147" s="89"/>
      <c r="P147" s="5" t="str">
        <f t="shared" si="2"/>
        <v>1</v>
      </c>
      <c r="Q147" s="5" t="str">
        <f>INDEX(Кат!$J:$J,MATCH($A147,Кат!$A:$A,0))</f>
        <v>сергей проводка</v>
      </c>
    </row>
    <row r="148" spans="1:17" ht="60" x14ac:dyDescent="0.25">
      <c r="A148" s="88">
        <v>144908</v>
      </c>
      <c r="B148" s="88">
        <v>13420</v>
      </c>
      <c r="C148" s="89" t="s">
        <v>1339</v>
      </c>
      <c r="D148" s="89" t="s">
        <v>919</v>
      </c>
      <c r="E148" s="89"/>
      <c r="F148" s="89" t="s">
        <v>1695</v>
      </c>
      <c r="G148" s="89" t="s">
        <v>923</v>
      </c>
      <c r="H148" s="89"/>
      <c r="I148" s="89" t="s">
        <v>526</v>
      </c>
      <c r="J148" s="90">
        <v>6000</v>
      </c>
      <c r="K148" s="90">
        <v>8490</v>
      </c>
      <c r="L148" s="89" t="s">
        <v>1077</v>
      </c>
      <c r="M148" s="89" t="s">
        <v>528</v>
      </c>
      <c r="N148" s="89"/>
      <c r="O148" s="89"/>
      <c r="P148" s="5" t="str">
        <f t="shared" si="2"/>
        <v>1</v>
      </c>
      <c r="Q148" s="5" t="str">
        <f>INDEX(Кат!$J:$J,MATCH($A148,Кат!$A:$A,0))</f>
        <v>сергей проводка</v>
      </c>
    </row>
    <row r="149" spans="1:17" ht="60" x14ac:dyDescent="0.25">
      <c r="A149" s="88">
        <v>144910</v>
      </c>
      <c r="B149" s="88">
        <v>13407</v>
      </c>
      <c r="C149" s="89" t="s">
        <v>1340</v>
      </c>
      <c r="D149" s="89" t="s">
        <v>919</v>
      </c>
      <c r="E149" s="89"/>
      <c r="F149" s="89" t="s">
        <v>1696</v>
      </c>
      <c r="G149" s="89" t="s">
        <v>1697</v>
      </c>
      <c r="H149" s="89"/>
      <c r="I149" s="89" t="s">
        <v>526</v>
      </c>
      <c r="J149" s="90">
        <v>7000</v>
      </c>
      <c r="K149" s="90">
        <v>9490</v>
      </c>
      <c r="L149" s="89" t="s">
        <v>890</v>
      </c>
      <c r="M149" s="89" t="s">
        <v>528</v>
      </c>
      <c r="N149" s="89"/>
      <c r="O149" s="89"/>
      <c r="P149" s="5" t="str">
        <f t="shared" si="2"/>
        <v>1</v>
      </c>
      <c r="Q149" s="5" t="str">
        <f>INDEX(Кат!$J:$J,MATCH($A149,Кат!$A:$A,0))</f>
        <v>сергей проводка</v>
      </c>
    </row>
    <row r="150" spans="1:17" ht="60" x14ac:dyDescent="0.25">
      <c r="A150" s="88">
        <v>144911</v>
      </c>
      <c r="B150" s="88">
        <v>13413</v>
      </c>
      <c r="C150" s="89" t="s">
        <v>1341</v>
      </c>
      <c r="D150" s="89" t="s">
        <v>919</v>
      </c>
      <c r="E150" s="89"/>
      <c r="F150" s="89" t="s">
        <v>1698</v>
      </c>
      <c r="G150" s="89" t="s">
        <v>1697</v>
      </c>
      <c r="H150" s="89"/>
      <c r="I150" s="89" t="s">
        <v>526</v>
      </c>
      <c r="J150" s="90">
        <v>7000</v>
      </c>
      <c r="K150" s="90">
        <v>9490</v>
      </c>
      <c r="L150" s="89" t="s">
        <v>1089</v>
      </c>
      <c r="M150" s="89" t="s">
        <v>528</v>
      </c>
      <c r="N150" s="89"/>
      <c r="O150" s="89"/>
      <c r="P150" s="5" t="str">
        <f t="shared" si="2"/>
        <v>1</v>
      </c>
      <c r="Q150" s="5" t="str">
        <f>INDEX(Кат!$J:$J,MATCH($A150,Кат!$A:$A,0))</f>
        <v>сергей проводка</v>
      </c>
    </row>
    <row r="151" spans="1:17" ht="60" x14ac:dyDescent="0.25">
      <c r="A151" s="88">
        <v>144912</v>
      </c>
      <c r="B151" s="88">
        <v>13414</v>
      </c>
      <c r="C151" s="89" t="s">
        <v>1341</v>
      </c>
      <c r="D151" s="89" t="s">
        <v>919</v>
      </c>
      <c r="E151" s="89"/>
      <c r="F151" s="89" t="s">
        <v>1699</v>
      </c>
      <c r="G151" s="89" t="s">
        <v>1697</v>
      </c>
      <c r="H151" s="89"/>
      <c r="I151" s="89" t="s">
        <v>526</v>
      </c>
      <c r="J151" s="90">
        <v>8000</v>
      </c>
      <c r="K151" s="90">
        <v>10890</v>
      </c>
      <c r="L151" s="89" t="s">
        <v>802</v>
      </c>
      <c r="M151" s="89" t="s">
        <v>528</v>
      </c>
      <c r="N151" s="89"/>
      <c r="O151" s="89"/>
      <c r="P151" s="5" t="str">
        <f t="shared" si="2"/>
        <v>1</v>
      </c>
      <c r="Q151" s="5" t="str">
        <f>INDEX(Кат!$J:$J,MATCH($A151,Кат!$A:$A,0))</f>
        <v>сергей проводка</v>
      </c>
    </row>
    <row r="152" spans="1:17" ht="45" x14ac:dyDescent="0.25">
      <c r="A152" s="88">
        <v>202082</v>
      </c>
      <c r="B152" s="88">
        <v>13544</v>
      </c>
      <c r="C152" s="89" t="s">
        <v>1342</v>
      </c>
      <c r="D152" s="89" t="s">
        <v>919</v>
      </c>
      <c r="E152" s="89"/>
      <c r="F152" s="89" t="s">
        <v>1700</v>
      </c>
      <c r="G152" s="89" t="s">
        <v>1665</v>
      </c>
      <c r="H152" s="89"/>
      <c r="I152" s="89" t="s">
        <v>526</v>
      </c>
      <c r="J152" s="90">
        <v>4000</v>
      </c>
      <c r="K152" s="90">
        <v>5590</v>
      </c>
      <c r="L152" s="89" t="s">
        <v>1057</v>
      </c>
      <c r="M152" s="89" t="s">
        <v>528</v>
      </c>
      <c r="N152" s="89"/>
      <c r="O152" s="89"/>
      <c r="P152" s="5" t="str">
        <f t="shared" si="2"/>
        <v>1</v>
      </c>
      <c r="Q152" s="5" t="str">
        <f>INDEX(Кат!$J:$J,MATCH($A152,Кат!$A:$A,0))</f>
        <v>сергей проводка</v>
      </c>
    </row>
    <row r="153" spans="1:17" ht="60" x14ac:dyDescent="0.25">
      <c r="A153" s="88">
        <v>144918</v>
      </c>
      <c r="B153" s="88">
        <v>13374</v>
      </c>
      <c r="C153" s="89" t="s">
        <v>1172</v>
      </c>
      <c r="D153" s="89" t="s">
        <v>919</v>
      </c>
      <c r="E153" s="89"/>
      <c r="F153" s="89" t="s">
        <v>1701</v>
      </c>
      <c r="G153" s="89" t="s">
        <v>1681</v>
      </c>
      <c r="H153" s="89"/>
      <c r="I153" s="89" t="s">
        <v>526</v>
      </c>
      <c r="J153" s="90">
        <v>20000</v>
      </c>
      <c r="K153" s="90">
        <v>25990</v>
      </c>
      <c r="L153" s="89" t="s">
        <v>1025</v>
      </c>
      <c r="M153" s="89" t="s">
        <v>528</v>
      </c>
      <c r="N153" s="89"/>
      <c r="O153" s="89"/>
      <c r="P153" s="5" t="str">
        <f t="shared" si="2"/>
        <v>1</v>
      </c>
      <c r="Q153" s="5" t="str">
        <f>INDEX(Кат!$J:$J,MATCH($A153,Кат!$A:$A,0))</f>
        <v>сергей проводка</v>
      </c>
    </row>
    <row r="154" spans="1:17" ht="60" x14ac:dyDescent="0.25">
      <c r="A154" s="88">
        <v>144920</v>
      </c>
      <c r="B154" s="88">
        <v>13373</v>
      </c>
      <c r="C154" s="89" t="s">
        <v>1172</v>
      </c>
      <c r="D154" s="89" t="s">
        <v>919</v>
      </c>
      <c r="E154" s="89"/>
      <c r="F154" s="89" t="s">
        <v>1702</v>
      </c>
      <c r="G154" s="89" t="s">
        <v>1685</v>
      </c>
      <c r="H154" s="89"/>
      <c r="I154" s="89" t="s">
        <v>526</v>
      </c>
      <c r="J154" s="90">
        <v>20000</v>
      </c>
      <c r="K154" s="90">
        <v>25990</v>
      </c>
      <c r="L154" s="89" t="s">
        <v>1026</v>
      </c>
      <c r="M154" s="89" t="s">
        <v>528</v>
      </c>
      <c r="N154" s="89"/>
      <c r="O154" s="89"/>
      <c r="P154" s="5" t="str">
        <f t="shared" si="2"/>
        <v>1</v>
      </c>
      <c r="Q154" s="5" t="str">
        <f>INDEX(Кат!$J:$J,MATCH($A154,Кат!$A:$A,0))</f>
        <v>сергей проводка</v>
      </c>
    </row>
    <row r="155" spans="1:17" ht="60" x14ac:dyDescent="0.25">
      <c r="A155" s="88">
        <v>144933</v>
      </c>
      <c r="B155" s="88">
        <v>13368</v>
      </c>
      <c r="C155" s="89" t="s">
        <v>1173</v>
      </c>
      <c r="D155" s="89" t="s">
        <v>919</v>
      </c>
      <c r="E155" s="89"/>
      <c r="F155" s="89" t="s">
        <v>1703</v>
      </c>
      <c r="G155" s="89" t="s">
        <v>1704</v>
      </c>
      <c r="H155" s="89"/>
      <c r="I155" s="89" t="s">
        <v>526</v>
      </c>
      <c r="J155" s="90">
        <v>2000</v>
      </c>
      <c r="K155" s="90">
        <v>2790</v>
      </c>
      <c r="L155" s="89" t="s">
        <v>1114</v>
      </c>
      <c r="M155" s="89" t="s">
        <v>528</v>
      </c>
      <c r="N155" s="89"/>
      <c r="O155" s="89"/>
      <c r="P155" s="5" t="str">
        <f t="shared" si="2"/>
        <v>1</v>
      </c>
      <c r="Q155" s="5" t="str">
        <f>INDEX(Кат!$J:$J,MATCH($A155,Кат!$A:$A,0))</f>
        <v>сергей проводка</v>
      </c>
    </row>
    <row r="156" spans="1:17" ht="75" x14ac:dyDescent="0.25">
      <c r="A156" s="88">
        <v>144932</v>
      </c>
      <c r="B156" s="88">
        <v>13327</v>
      </c>
      <c r="C156" s="89" t="s">
        <v>1174</v>
      </c>
      <c r="D156" s="89" t="s">
        <v>919</v>
      </c>
      <c r="E156" s="89"/>
      <c r="F156" s="89" t="s">
        <v>1705</v>
      </c>
      <c r="G156" s="89" t="s">
        <v>1706</v>
      </c>
      <c r="H156" s="89"/>
      <c r="I156" s="89" t="s">
        <v>526</v>
      </c>
      <c r="J156" s="90">
        <v>2500</v>
      </c>
      <c r="K156" s="90">
        <v>2990</v>
      </c>
      <c r="L156" s="89" t="s">
        <v>904</v>
      </c>
      <c r="M156" s="89" t="s">
        <v>528</v>
      </c>
      <c r="N156" s="89"/>
      <c r="O156" s="89"/>
      <c r="P156" s="5" t="str">
        <f t="shared" si="2"/>
        <v>1</v>
      </c>
      <c r="Q156" s="5" t="str">
        <f>INDEX(Кат!$J:$J,MATCH($A156,Кат!$A:$A,0))</f>
        <v>сергей проводка</v>
      </c>
    </row>
    <row r="157" spans="1:17" ht="60" x14ac:dyDescent="0.25">
      <c r="A157" s="88">
        <v>144930</v>
      </c>
      <c r="B157" s="88">
        <v>13352</v>
      </c>
      <c r="C157" s="89" t="s">
        <v>1343</v>
      </c>
      <c r="D157" s="89" t="s">
        <v>919</v>
      </c>
      <c r="E157" s="89"/>
      <c r="F157" s="89" t="s">
        <v>1707</v>
      </c>
      <c r="G157" s="89" t="s">
        <v>1708</v>
      </c>
      <c r="H157" s="89"/>
      <c r="I157" s="89" t="s">
        <v>526</v>
      </c>
      <c r="J157" s="90">
        <v>2500</v>
      </c>
      <c r="K157" s="90">
        <v>3490</v>
      </c>
      <c r="L157" s="89" t="s">
        <v>785</v>
      </c>
      <c r="M157" s="89" t="s">
        <v>528</v>
      </c>
      <c r="N157" s="89"/>
      <c r="O157" s="89"/>
      <c r="P157" s="5" t="str">
        <f t="shared" si="2"/>
        <v>1</v>
      </c>
      <c r="Q157" s="5" t="str">
        <f>INDEX(Кат!$J:$J,MATCH($A157,Кат!$A:$A,0))</f>
        <v>сергей проводка</v>
      </c>
    </row>
    <row r="158" spans="1:17" ht="60" x14ac:dyDescent="0.25">
      <c r="A158" s="88">
        <v>144931</v>
      </c>
      <c r="B158" s="88">
        <v>13353</v>
      </c>
      <c r="C158" s="89" t="s">
        <v>1344</v>
      </c>
      <c r="D158" s="89" t="s">
        <v>919</v>
      </c>
      <c r="E158" s="89"/>
      <c r="F158" s="89" t="s">
        <v>1709</v>
      </c>
      <c r="G158" s="89" t="s">
        <v>1710</v>
      </c>
      <c r="H158" s="89"/>
      <c r="I158" s="89" t="s">
        <v>526</v>
      </c>
      <c r="J158" s="90">
        <v>3000</v>
      </c>
      <c r="K158" s="90">
        <v>4190</v>
      </c>
      <c r="L158" s="89" t="s">
        <v>895</v>
      </c>
      <c r="M158" s="89" t="s">
        <v>528</v>
      </c>
      <c r="N158" s="89"/>
      <c r="O158" s="89"/>
      <c r="P158" s="5" t="str">
        <f t="shared" si="2"/>
        <v>1</v>
      </c>
      <c r="Q158" s="5" t="str">
        <f>INDEX(Кат!$J:$J,MATCH($A158,Кат!$A:$A,0))</f>
        <v>сергей проводка</v>
      </c>
    </row>
    <row r="159" spans="1:17" ht="60" x14ac:dyDescent="0.25">
      <c r="A159" s="88">
        <v>144937</v>
      </c>
      <c r="B159" s="88">
        <v>13369</v>
      </c>
      <c r="C159" s="89" t="s">
        <v>1175</v>
      </c>
      <c r="D159" s="89" t="s">
        <v>919</v>
      </c>
      <c r="E159" s="89"/>
      <c r="F159" s="89" t="s">
        <v>1711</v>
      </c>
      <c r="G159" s="89" t="s">
        <v>1712</v>
      </c>
      <c r="H159" s="89"/>
      <c r="I159" s="89" t="s">
        <v>526</v>
      </c>
      <c r="J159" s="90">
        <v>2000</v>
      </c>
      <c r="K159" s="90">
        <v>2790</v>
      </c>
      <c r="L159" s="89" t="s">
        <v>1113</v>
      </c>
      <c r="M159" s="89" t="s">
        <v>528</v>
      </c>
      <c r="N159" s="89"/>
      <c r="O159" s="89"/>
      <c r="P159" s="5" t="str">
        <f t="shared" si="2"/>
        <v>1</v>
      </c>
      <c r="Q159" s="5" t="str">
        <f>INDEX(Кат!$J:$J,MATCH($A159,Кат!$A:$A,0))</f>
        <v>сергей проводка</v>
      </c>
    </row>
    <row r="160" spans="1:17" ht="60" x14ac:dyDescent="0.25">
      <c r="A160" s="88">
        <v>144936</v>
      </c>
      <c r="B160" s="88">
        <v>13328</v>
      </c>
      <c r="C160" s="89" t="s">
        <v>1176</v>
      </c>
      <c r="D160" s="89" t="s">
        <v>919</v>
      </c>
      <c r="E160" s="89"/>
      <c r="F160" s="89" t="s">
        <v>1713</v>
      </c>
      <c r="G160" s="89" t="s">
        <v>1177</v>
      </c>
      <c r="H160" s="89"/>
      <c r="I160" s="89" t="s">
        <v>526</v>
      </c>
      <c r="J160" s="90">
        <v>2000</v>
      </c>
      <c r="K160" s="90">
        <v>2490</v>
      </c>
      <c r="L160" s="89" t="s">
        <v>782</v>
      </c>
      <c r="M160" s="89" t="s">
        <v>528</v>
      </c>
      <c r="N160" s="89"/>
      <c r="O160" s="89"/>
      <c r="P160" s="5" t="str">
        <f t="shared" si="2"/>
        <v>1</v>
      </c>
      <c r="Q160" s="5" t="str">
        <f>INDEX(Кат!$J:$J,MATCH($A160,Кат!$A:$A,0))</f>
        <v>сергей проводка</v>
      </c>
    </row>
    <row r="161" spans="1:17" ht="60" x14ac:dyDescent="0.25">
      <c r="A161" s="88">
        <v>144934</v>
      </c>
      <c r="B161" s="88">
        <v>13354</v>
      </c>
      <c r="C161" s="89" t="s">
        <v>1345</v>
      </c>
      <c r="D161" s="89" t="s">
        <v>919</v>
      </c>
      <c r="E161" s="89"/>
      <c r="F161" s="89" t="s">
        <v>1714</v>
      </c>
      <c r="G161" s="89" t="s">
        <v>1256</v>
      </c>
      <c r="H161" s="89"/>
      <c r="I161" s="89" t="s">
        <v>526</v>
      </c>
      <c r="J161" s="90">
        <v>2000</v>
      </c>
      <c r="K161" s="90">
        <v>2790</v>
      </c>
      <c r="L161" s="89" t="s">
        <v>1112</v>
      </c>
      <c r="M161" s="89" t="s">
        <v>528</v>
      </c>
      <c r="N161" s="89"/>
      <c r="O161" s="89"/>
      <c r="P161" s="5" t="str">
        <f t="shared" si="2"/>
        <v>1</v>
      </c>
      <c r="Q161" s="5" t="str">
        <f>INDEX(Кат!$J:$J,MATCH($A161,Кат!$A:$A,0))</f>
        <v>сергей проводка</v>
      </c>
    </row>
    <row r="162" spans="1:17" ht="60" x14ac:dyDescent="0.25">
      <c r="A162" s="88">
        <v>144935</v>
      </c>
      <c r="B162" s="88">
        <v>13355</v>
      </c>
      <c r="C162" s="89" t="s">
        <v>1346</v>
      </c>
      <c r="D162" s="89" t="s">
        <v>919</v>
      </c>
      <c r="E162" s="89"/>
      <c r="F162" s="89" t="s">
        <v>1715</v>
      </c>
      <c r="G162" s="89" t="s">
        <v>1716</v>
      </c>
      <c r="H162" s="89"/>
      <c r="I162" s="89" t="s">
        <v>526</v>
      </c>
      <c r="J162" s="90">
        <v>3000</v>
      </c>
      <c r="K162" s="90">
        <v>4190</v>
      </c>
      <c r="L162" s="89" t="s">
        <v>1060</v>
      </c>
      <c r="M162" s="89" t="s">
        <v>528</v>
      </c>
      <c r="N162" s="89"/>
      <c r="O162" s="89"/>
      <c r="P162" s="5" t="str">
        <f t="shared" si="2"/>
        <v>1</v>
      </c>
      <c r="Q162" s="5" t="str">
        <f>INDEX(Кат!$J:$J,MATCH($A162,Кат!$A:$A,0))</f>
        <v>сергей проводка</v>
      </c>
    </row>
    <row r="163" spans="1:17" ht="30" x14ac:dyDescent="0.25">
      <c r="A163" s="88">
        <v>455438</v>
      </c>
      <c r="B163" s="88">
        <v>455438</v>
      </c>
      <c r="C163" s="89" t="s">
        <v>1717</v>
      </c>
      <c r="D163" s="89" t="s">
        <v>919</v>
      </c>
      <c r="E163" s="89"/>
      <c r="F163" s="89" t="s">
        <v>1718</v>
      </c>
      <c r="G163" s="89"/>
      <c r="H163" s="89"/>
      <c r="I163" s="89" t="s">
        <v>526</v>
      </c>
      <c r="J163" s="90">
        <v>41780</v>
      </c>
      <c r="K163" s="90">
        <v>54390</v>
      </c>
      <c r="L163" s="89"/>
      <c r="M163" s="89" t="s">
        <v>528</v>
      </c>
      <c r="N163" s="89"/>
      <c r="O163" s="89" t="s">
        <v>919</v>
      </c>
      <c r="P163" s="5" t="str">
        <f t="shared" si="2"/>
        <v>1</v>
      </c>
      <c r="Q163" s="5" t="str">
        <f>INDEX(Кат!$J:$J,MATCH($A163,Кат!$A:$A,0))</f>
        <v>сергей проводка</v>
      </c>
    </row>
    <row r="164" spans="1:17" ht="30" x14ac:dyDescent="0.25">
      <c r="A164" s="88">
        <v>455439</v>
      </c>
      <c r="B164" s="88">
        <v>455439</v>
      </c>
      <c r="C164" s="89" t="s">
        <v>1719</v>
      </c>
      <c r="D164" s="89" t="s">
        <v>919</v>
      </c>
      <c r="E164" s="89"/>
      <c r="F164" s="89" t="s">
        <v>1720</v>
      </c>
      <c r="G164" s="89"/>
      <c r="H164" s="89"/>
      <c r="I164" s="89" t="s">
        <v>526</v>
      </c>
      <c r="J164" s="90">
        <v>17430</v>
      </c>
      <c r="K164" s="90">
        <v>22690</v>
      </c>
      <c r="L164" s="89"/>
      <c r="M164" s="89" t="s">
        <v>528</v>
      </c>
      <c r="N164" s="89"/>
      <c r="O164" s="89" t="s">
        <v>919</v>
      </c>
      <c r="P164" s="5" t="str">
        <f t="shared" si="2"/>
        <v>1</v>
      </c>
      <c r="Q164" s="5" t="str">
        <f>INDEX(Кат!$J:$J,MATCH($A164,Кат!$A:$A,0))</f>
        <v>сергей проводка</v>
      </c>
    </row>
    <row r="165" spans="1:17" ht="30" x14ac:dyDescent="0.25">
      <c r="A165" s="88">
        <v>455440</v>
      </c>
      <c r="B165" s="88">
        <v>455440</v>
      </c>
      <c r="C165" s="89" t="s">
        <v>1721</v>
      </c>
      <c r="D165" s="89" t="s">
        <v>919</v>
      </c>
      <c r="E165" s="89"/>
      <c r="F165" s="89" t="s">
        <v>1722</v>
      </c>
      <c r="G165" s="89"/>
      <c r="H165" s="89"/>
      <c r="I165" s="89" t="s">
        <v>526</v>
      </c>
      <c r="J165" s="90">
        <v>17637</v>
      </c>
      <c r="K165" s="90">
        <v>22990</v>
      </c>
      <c r="L165" s="89"/>
      <c r="M165" s="89" t="s">
        <v>528</v>
      </c>
      <c r="N165" s="89"/>
      <c r="O165" s="89" t="s">
        <v>919</v>
      </c>
      <c r="P165" s="5" t="str">
        <f t="shared" si="2"/>
        <v>1</v>
      </c>
      <c r="Q165" s="5" t="str">
        <f>INDEX(Кат!$J:$J,MATCH($A165,Кат!$A:$A,0))</f>
        <v>сергей проводка</v>
      </c>
    </row>
    <row r="166" spans="1:17" ht="30" x14ac:dyDescent="0.25">
      <c r="A166" s="88">
        <v>455443</v>
      </c>
      <c r="B166" s="88">
        <v>455443</v>
      </c>
      <c r="C166" s="89" t="s">
        <v>1723</v>
      </c>
      <c r="D166" s="89" t="s">
        <v>919</v>
      </c>
      <c r="E166" s="89"/>
      <c r="F166" s="89" t="s">
        <v>1724</v>
      </c>
      <c r="G166" s="89"/>
      <c r="H166" s="89"/>
      <c r="I166" s="89" t="s">
        <v>526</v>
      </c>
      <c r="J166" s="90">
        <v>12221</v>
      </c>
      <c r="K166" s="90">
        <v>15890</v>
      </c>
      <c r="L166" s="89"/>
      <c r="M166" s="89" t="s">
        <v>528</v>
      </c>
      <c r="N166" s="89"/>
      <c r="O166" s="89" t="s">
        <v>919</v>
      </c>
      <c r="P166" s="5" t="str">
        <f t="shared" si="2"/>
        <v>1</v>
      </c>
      <c r="Q166" s="5" t="str">
        <f>INDEX(Кат!$J:$J,MATCH($A166,Кат!$A:$A,0))</f>
        <v>сергей проводка</v>
      </c>
    </row>
    <row r="167" spans="1:17" ht="30" x14ac:dyDescent="0.25">
      <c r="A167" s="88">
        <v>455444</v>
      </c>
      <c r="B167" s="88">
        <v>455444</v>
      </c>
      <c r="C167" s="89" t="s">
        <v>1725</v>
      </c>
      <c r="D167" s="89" t="s">
        <v>919</v>
      </c>
      <c r="E167" s="89"/>
      <c r="F167" s="89" t="s">
        <v>1726</v>
      </c>
      <c r="G167" s="89"/>
      <c r="H167" s="89"/>
      <c r="I167" s="89" t="s">
        <v>526</v>
      </c>
      <c r="J167" s="90">
        <v>19876</v>
      </c>
      <c r="K167" s="90">
        <v>25890</v>
      </c>
      <c r="L167" s="89"/>
      <c r="M167" s="89" t="s">
        <v>528</v>
      </c>
      <c r="N167" s="89"/>
      <c r="O167" s="89" t="s">
        <v>919</v>
      </c>
      <c r="P167" s="5" t="str">
        <f t="shared" si="2"/>
        <v>1</v>
      </c>
      <c r="Q167" s="5" t="str">
        <f>INDEX(Кат!$J:$J,MATCH($A167,Кат!$A:$A,0))</f>
        <v>сергей проводка</v>
      </c>
    </row>
    <row r="168" spans="1:17" ht="30" x14ac:dyDescent="0.25">
      <c r="A168" s="88">
        <v>455446</v>
      </c>
      <c r="B168" s="88">
        <v>455446</v>
      </c>
      <c r="C168" s="89" t="s">
        <v>1727</v>
      </c>
      <c r="D168" s="89" t="s">
        <v>919</v>
      </c>
      <c r="E168" s="89"/>
      <c r="F168" s="89" t="s">
        <v>1728</v>
      </c>
      <c r="G168" s="89"/>
      <c r="H168" s="89"/>
      <c r="I168" s="89" t="s">
        <v>526</v>
      </c>
      <c r="J168" s="90">
        <v>12221</v>
      </c>
      <c r="K168" s="90">
        <v>15890</v>
      </c>
      <c r="L168" s="89"/>
      <c r="M168" s="89" t="s">
        <v>528</v>
      </c>
      <c r="N168" s="89"/>
      <c r="O168" s="89" t="s">
        <v>919</v>
      </c>
      <c r="P168" s="5" t="str">
        <f t="shared" si="2"/>
        <v>1</v>
      </c>
      <c r="Q168" s="5" t="str">
        <f>INDEX(Кат!$J:$J,MATCH($A168,Кат!$A:$A,0))</f>
        <v>сергей проводка</v>
      </c>
    </row>
    <row r="169" spans="1:17" ht="90" x14ac:dyDescent="0.25">
      <c r="A169" s="88">
        <v>426986</v>
      </c>
      <c r="B169" s="88">
        <v>426986</v>
      </c>
      <c r="C169" s="89" t="s">
        <v>1347</v>
      </c>
      <c r="D169" s="89" t="s">
        <v>919</v>
      </c>
      <c r="E169" s="89"/>
      <c r="F169" s="89" t="s">
        <v>1348</v>
      </c>
      <c r="G169" s="89"/>
      <c r="H169" s="89" t="s">
        <v>1349</v>
      </c>
      <c r="I169" s="89" t="s">
        <v>526</v>
      </c>
      <c r="J169" s="90">
        <v>15000</v>
      </c>
      <c r="K169" s="90">
        <v>20490</v>
      </c>
      <c r="L169" s="89" t="s">
        <v>1353</v>
      </c>
      <c r="M169" s="89" t="s">
        <v>528</v>
      </c>
      <c r="N169" s="89"/>
      <c r="O169" s="89"/>
      <c r="P169" s="5" t="str">
        <f t="shared" si="2"/>
        <v>1</v>
      </c>
      <c r="Q169" s="5" t="str">
        <f>INDEX(Кат!$J:$J,MATCH($A169,Кат!$A:$A,0))</f>
        <v>сергей проводка</v>
      </c>
    </row>
    <row r="170" spans="1:17" ht="75" x14ac:dyDescent="0.25">
      <c r="A170" s="88">
        <v>426988</v>
      </c>
      <c r="B170" s="88">
        <v>426988</v>
      </c>
      <c r="C170" s="89" t="s">
        <v>1350</v>
      </c>
      <c r="D170" s="89" t="s">
        <v>919</v>
      </c>
      <c r="E170" s="89"/>
      <c r="F170" s="89" t="s">
        <v>1351</v>
      </c>
      <c r="G170" s="89"/>
      <c r="H170" s="89" t="s">
        <v>1352</v>
      </c>
      <c r="I170" s="89" t="s">
        <v>526</v>
      </c>
      <c r="J170" s="90">
        <v>15000</v>
      </c>
      <c r="K170" s="90">
        <v>20490</v>
      </c>
      <c r="L170" s="89" t="s">
        <v>1353</v>
      </c>
      <c r="M170" s="89" t="s">
        <v>528</v>
      </c>
      <c r="N170" s="89"/>
      <c r="O170" s="89"/>
      <c r="P170" s="5" t="str">
        <f t="shared" si="2"/>
        <v>1</v>
      </c>
      <c r="Q170" s="5" t="str">
        <f>INDEX(Кат!$J:$J,MATCH($A170,Кат!$A:$A,0))</f>
        <v>сергей проводка</v>
      </c>
    </row>
    <row r="171" spans="1:17" ht="60" x14ac:dyDescent="0.25">
      <c r="A171" s="88">
        <v>144940</v>
      </c>
      <c r="B171" s="88">
        <v>13296</v>
      </c>
      <c r="C171" s="89" t="s">
        <v>980</v>
      </c>
      <c r="D171" s="89" t="s">
        <v>919</v>
      </c>
      <c r="E171" s="89"/>
      <c r="F171" s="89" t="s">
        <v>1729</v>
      </c>
      <c r="G171" s="89" t="s">
        <v>981</v>
      </c>
      <c r="H171" s="89"/>
      <c r="I171" s="89" t="s">
        <v>526</v>
      </c>
      <c r="J171" s="90">
        <v>1500</v>
      </c>
      <c r="K171" s="90">
        <v>2090</v>
      </c>
      <c r="L171" s="89" t="s">
        <v>905</v>
      </c>
      <c r="M171" s="89" t="s">
        <v>528</v>
      </c>
      <c r="N171" s="89"/>
      <c r="O171" s="89"/>
      <c r="P171" s="5" t="str">
        <f t="shared" si="2"/>
        <v>1</v>
      </c>
      <c r="Q171" s="5" t="str">
        <f>INDEX(Кат!$J:$J,MATCH($A171,Кат!$A:$A,0))</f>
        <v>сергей проводка</v>
      </c>
    </row>
    <row r="172" spans="1:17" ht="60" x14ac:dyDescent="0.25">
      <c r="A172" s="88">
        <v>144941</v>
      </c>
      <c r="B172" s="88">
        <v>13298</v>
      </c>
      <c r="C172" s="89" t="s">
        <v>982</v>
      </c>
      <c r="D172" s="89" t="s">
        <v>919</v>
      </c>
      <c r="E172" s="89"/>
      <c r="F172" s="89" t="s">
        <v>1730</v>
      </c>
      <c r="G172" s="89" t="s">
        <v>983</v>
      </c>
      <c r="H172" s="89"/>
      <c r="I172" s="89" t="s">
        <v>526</v>
      </c>
      <c r="J172" s="90">
        <v>1500</v>
      </c>
      <c r="K172" s="90">
        <v>2090</v>
      </c>
      <c r="L172" s="89" t="s">
        <v>905</v>
      </c>
      <c r="M172" s="89" t="s">
        <v>528</v>
      </c>
      <c r="N172" s="89"/>
      <c r="O172" s="89"/>
      <c r="P172" s="5" t="str">
        <f t="shared" si="2"/>
        <v>1</v>
      </c>
      <c r="Q172" s="5" t="str">
        <f>INDEX(Кат!$J:$J,MATCH($A172,Кат!$A:$A,0))</f>
        <v>сергей проводка</v>
      </c>
    </row>
    <row r="173" spans="1:17" ht="45" x14ac:dyDescent="0.25">
      <c r="A173" s="88">
        <v>144944</v>
      </c>
      <c r="B173" s="88">
        <v>13237</v>
      </c>
      <c r="C173" s="89" t="s">
        <v>1354</v>
      </c>
      <c r="D173" s="89" t="s">
        <v>919</v>
      </c>
      <c r="E173" s="89"/>
      <c r="F173" s="89" t="s">
        <v>1731</v>
      </c>
      <c r="G173" s="89" t="s">
        <v>1357</v>
      </c>
      <c r="H173" s="89"/>
      <c r="I173" s="89" t="s">
        <v>526</v>
      </c>
      <c r="J173" s="90">
        <v>2500</v>
      </c>
      <c r="K173" s="90">
        <v>3190</v>
      </c>
      <c r="L173" s="89" t="s">
        <v>783</v>
      </c>
      <c r="M173" s="89" t="s">
        <v>528</v>
      </c>
      <c r="N173" s="89"/>
      <c r="O173" s="89"/>
      <c r="P173" s="5" t="str">
        <f t="shared" si="2"/>
        <v>1</v>
      </c>
      <c r="Q173" s="5" t="str">
        <f>INDEX(Кат!$J:$J,MATCH($A173,Кат!$A:$A,0))</f>
        <v>сергей проводка</v>
      </c>
    </row>
    <row r="174" spans="1:17" ht="90" x14ac:dyDescent="0.25">
      <c r="A174" s="88">
        <v>144945</v>
      </c>
      <c r="B174" s="88">
        <v>13249</v>
      </c>
      <c r="C174" s="89" t="s">
        <v>1355</v>
      </c>
      <c r="D174" s="89" t="s">
        <v>919</v>
      </c>
      <c r="E174" s="89"/>
      <c r="F174" s="89" t="s">
        <v>1732</v>
      </c>
      <c r="G174" s="89" t="s">
        <v>1733</v>
      </c>
      <c r="H174" s="89"/>
      <c r="I174" s="89" t="s">
        <v>526</v>
      </c>
      <c r="J174" s="90">
        <v>2500</v>
      </c>
      <c r="K174" s="90">
        <v>3490</v>
      </c>
      <c r="L174" s="89" t="s">
        <v>1217</v>
      </c>
      <c r="M174" s="89" t="s">
        <v>528</v>
      </c>
      <c r="N174" s="89"/>
      <c r="O174" s="89"/>
      <c r="P174" s="5" t="str">
        <f t="shared" si="2"/>
        <v>1</v>
      </c>
      <c r="Q174" s="5" t="str">
        <f>INDEX(Кат!$J:$J,MATCH($A174,Кат!$A:$A,0))</f>
        <v>сергей проводка</v>
      </c>
    </row>
    <row r="175" spans="1:17" ht="45" x14ac:dyDescent="0.25">
      <c r="A175" s="88">
        <v>144946</v>
      </c>
      <c r="B175" s="88">
        <v>13256</v>
      </c>
      <c r="C175" s="89" t="s">
        <v>1356</v>
      </c>
      <c r="D175" s="89" t="s">
        <v>919</v>
      </c>
      <c r="E175" s="89"/>
      <c r="F175" s="89" t="s">
        <v>1731</v>
      </c>
      <c r="G175" s="89" t="s">
        <v>1357</v>
      </c>
      <c r="H175" s="89"/>
      <c r="I175" s="89" t="s">
        <v>526</v>
      </c>
      <c r="J175" s="90">
        <v>2500</v>
      </c>
      <c r="K175" s="90">
        <v>3190</v>
      </c>
      <c r="L175" s="89" t="s">
        <v>783</v>
      </c>
      <c r="M175" s="89" t="s">
        <v>528</v>
      </c>
      <c r="N175" s="89"/>
      <c r="O175" s="89"/>
      <c r="P175" s="5" t="str">
        <f t="shared" si="2"/>
        <v>1</v>
      </c>
      <c r="Q175" s="5" t="str">
        <f>INDEX(Кат!$J:$J,MATCH($A175,Кат!$A:$A,0))</f>
        <v>сергей проводка</v>
      </c>
    </row>
    <row r="176" spans="1:17" ht="105" x14ac:dyDescent="0.25">
      <c r="A176" s="88">
        <v>426424</v>
      </c>
      <c r="B176" s="88">
        <v>426424</v>
      </c>
      <c r="C176" s="89" t="s">
        <v>1358</v>
      </c>
      <c r="D176" s="89" t="s">
        <v>919</v>
      </c>
      <c r="E176" s="89"/>
      <c r="F176" s="89"/>
      <c r="G176" s="89"/>
      <c r="H176" s="89" t="s">
        <v>1359</v>
      </c>
      <c r="I176" s="89" t="s">
        <v>526</v>
      </c>
      <c r="J176" s="90">
        <v>4400</v>
      </c>
      <c r="K176" s="90">
        <v>6190</v>
      </c>
      <c r="L176" s="89"/>
      <c r="M176" s="89" t="s">
        <v>528</v>
      </c>
      <c r="N176" s="89"/>
      <c r="O176" s="89"/>
      <c r="P176" s="5" t="str">
        <f t="shared" si="2"/>
        <v>1</v>
      </c>
      <c r="Q176" s="5" t="str">
        <f>INDEX(Кат!$J:$J,MATCH($A176,Кат!$A:$A,0))</f>
        <v>сергей проводка</v>
      </c>
    </row>
    <row r="177" spans="1:17" ht="45" x14ac:dyDescent="0.25">
      <c r="A177" s="88">
        <v>144942</v>
      </c>
      <c r="B177" s="88">
        <v>13230</v>
      </c>
      <c r="C177" s="89" t="s">
        <v>1360</v>
      </c>
      <c r="D177" s="89" t="s">
        <v>919</v>
      </c>
      <c r="E177" s="89"/>
      <c r="F177" s="89" t="s">
        <v>1734</v>
      </c>
      <c r="G177" s="89" t="s">
        <v>984</v>
      </c>
      <c r="H177" s="89"/>
      <c r="I177" s="89" t="s">
        <v>526</v>
      </c>
      <c r="J177" s="90">
        <v>3000</v>
      </c>
      <c r="K177" s="90">
        <v>4190</v>
      </c>
      <c r="L177" s="89" t="s">
        <v>1054</v>
      </c>
      <c r="M177" s="89" t="s">
        <v>528</v>
      </c>
      <c r="N177" s="89"/>
      <c r="O177" s="89"/>
      <c r="P177" s="5" t="str">
        <f t="shared" si="2"/>
        <v>1</v>
      </c>
      <c r="Q177" s="5" t="str">
        <f>INDEX(Кат!$J:$J,MATCH($A177,Кат!$A:$A,0))</f>
        <v>сергей проводка</v>
      </c>
    </row>
    <row r="178" spans="1:17" ht="60" x14ac:dyDescent="0.25">
      <c r="A178" s="88">
        <v>201274</v>
      </c>
      <c r="B178" s="88">
        <v>13259</v>
      </c>
      <c r="C178" s="89" t="s">
        <v>1361</v>
      </c>
      <c r="D178" s="89" t="s">
        <v>919</v>
      </c>
      <c r="E178" s="89"/>
      <c r="F178" s="89" t="s">
        <v>1735</v>
      </c>
      <c r="G178" s="89" t="s">
        <v>1736</v>
      </c>
      <c r="H178" s="89"/>
      <c r="I178" s="89" t="s">
        <v>526</v>
      </c>
      <c r="J178" s="90">
        <v>6000</v>
      </c>
      <c r="K178" s="90">
        <v>8790</v>
      </c>
      <c r="L178" s="89" t="s">
        <v>791</v>
      </c>
      <c r="M178" s="89" t="s">
        <v>528</v>
      </c>
      <c r="N178" s="89"/>
      <c r="O178" s="89"/>
      <c r="P178" s="5" t="str">
        <f t="shared" si="2"/>
        <v>1</v>
      </c>
      <c r="Q178" s="5" t="str">
        <f>INDEX(Кат!$J:$J,MATCH($A178,Кат!$A:$A,0))</f>
        <v>сергей проводка</v>
      </c>
    </row>
    <row r="179" spans="1:17" ht="60" x14ac:dyDescent="0.25">
      <c r="A179" s="88">
        <v>144943</v>
      </c>
      <c r="B179" s="88">
        <v>13423</v>
      </c>
      <c r="C179" s="89" t="s">
        <v>1362</v>
      </c>
      <c r="D179" s="89" t="s">
        <v>919</v>
      </c>
      <c r="E179" s="89"/>
      <c r="F179" s="89" t="s">
        <v>1737</v>
      </c>
      <c r="G179" s="89" t="s">
        <v>985</v>
      </c>
      <c r="H179" s="89"/>
      <c r="I179" s="89" t="s">
        <v>526</v>
      </c>
      <c r="J179" s="90">
        <v>6000</v>
      </c>
      <c r="K179" s="90">
        <v>8490</v>
      </c>
      <c r="L179" s="89" t="s">
        <v>1078</v>
      </c>
      <c r="M179" s="89" t="s">
        <v>528</v>
      </c>
      <c r="N179" s="89"/>
      <c r="O179" s="89"/>
      <c r="P179" s="5" t="str">
        <f t="shared" si="2"/>
        <v>1</v>
      </c>
      <c r="Q179" s="5" t="str">
        <f>INDEX(Кат!$J:$J,MATCH($A179,Кат!$A:$A,0))</f>
        <v>сергей проводка</v>
      </c>
    </row>
    <row r="180" spans="1:17" ht="60" x14ac:dyDescent="0.25">
      <c r="A180" s="88">
        <v>144947</v>
      </c>
      <c r="B180" s="88">
        <v>13329</v>
      </c>
      <c r="C180" s="89" t="s">
        <v>1178</v>
      </c>
      <c r="D180" s="89" t="s">
        <v>919</v>
      </c>
      <c r="E180" s="89"/>
      <c r="F180" s="89" t="s">
        <v>1738</v>
      </c>
      <c r="G180" s="89" t="s">
        <v>1739</v>
      </c>
      <c r="H180" s="89"/>
      <c r="I180" s="89" t="s">
        <v>526</v>
      </c>
      <c r="J180" s="90">
        <v>200</v>
      </c>
      <c r="K180" s="90">
        <v>359</v>
      </c>
      <c r="L180" s="89" t="s">
        <v>913</v>
      </c>
      <c r="M180" s="89" t="s">
        <v>528</v>
      </c>
      <c r="N180" s="89"/>
      <c r="O180" s="89"/>
      <c r="P180" s="5" t="str">
        <f t="shared" si="2"/>
        <v>1</v>
      </c>
      <c r="Q180" s="5" t="str">
        <f>INDEX(Кат!$J:$J,MATCH($A180,Кат!$A:$A,0))</f>
        <v>сергей проводка</v>
      </c>
    </row>
    <row r="181" spans="1:17" ht="90" x14ac:dyDescent="0.25">
      <c r="A181" s="88">
        <v>426766</v>
      </c>
      <c r="B181" s="88">
        <v>426766</v>
      </c>
      <c r="C181" s="89" t="s">
        <v>1363</v>
      </c>
      <c r="D181" s="89" t="s">
        <v>919</v>
      </c>
      <c r="E181" s="89"/>
      <c r="F181" s="89" t="s">
        <v>1740</v>
      </c>
      <c r="G181" s="89" t="s">
        <v>1364</v>
      </c>
      <c r="H181" s="89" t="s">
        <v>1365</v>
      </c>
      <c r="I181" s="89" t="s">
        <v>526</v>
      </c>
      <c r="J181" s="90">
        <v>2000</v>
      </c>
      <c r="K181" s="90">
        <v>2790</v>
      </c>
      <c r="L181" s="89" t="s">
        <v>1366</v>
      </c>
      <c r="M181" s="89" t="s">
        <v>528</v>
      </c>
      <c r="N181" s="89"/>
      <c r="O181" s="89"/>
      <c r="P181" s="5" t="str">
        <f t="shared" si="2"/>
        <v>1</v>
      </c>
      <c r="Q181" s="5" t="str">
        <f>INDEX(Кат!$J:$J,MATCH($A181,Кат!$A:$A,0))</f>
        <v>сергей проводка</v>
      </c>
    </row>
    <row r="182" spans="1:17" ht="60" x14ac:dyDescent="0.25">
      <c r="A182" s="88">
        <v>144950</v>
      </c>
      <c r="B182" s="88">
        <v>13334</v>
      </c>
      <c r="C182" s="89" t="s">
        <v>117</v>
      </c>
      <c r="D182" s="89" t="s">
        <v>919</v>
      </c>
      <c r="E182" s="89"/>
      <c r="F182" s="89" t="s">
        <v>1741</v>
      </c>
      <c r="G182" s="89" t="s">
        <v>1179</v>
      </c>
      <c r="H182" s="89"/>
      <c r="I182" s="89" t="s">
        <v>526</v>
      </c>
      <c r="J182" s="90">
        <v>1800</v>
      </c>
      <c r="K182" s="90">
        <v>2690</v>
      </c>
      <c r="L182" s="89" t="s">
        <v>1110</v>
      </c>
      <c r="M182" s="89" t="s">
        <v>528</v>
      </c>
      <c r="N182" s="89"/>
      <c r="O182" s="89"/>
      <c r="P182" s="5" t="str">
        <f t="shared" si="2"/>
        <v>1</v>
      </c>
      <c r="Q182" s="5" t="str">
        <f>INDEX(Кат!$J:$J,MATCH($A182,Кат!$A:$A,0))</f>
        <v>сергей проводка</v>
      </c>
    </row>
    <row r="183" spans="1:17" ht="60" x14ac:dyDescent="0.25">
      <c r="A183" s="88">
        <v>144951</v>
      </c>
      <c r="B183" s="88">
        <v>13417</v>
      </c>
      <c r="C183" s="89" t="s">
        <v>1487</v>
      </c>
      <c r="D183" s="89" t="s">
        <v>919</v>
      </c>
      <c r="E183" s="89"/>
      <c r="F183" s="89" t="s">
        <v>1742</v>
      </c>
      <c r="G183" s="89" t="s">
        <v>1743</v>
      </c>
      <c r="H183" s="89"/>
      <c r="I183" s="89" t="s">
        <v>526</v>
      </c>
      <c r="J183" s="90">
        <v>1300</v>
      </c>
      <c r="K183" s="90">
        <v>2090</v>
      </c>
      <c r="L183" s="89" t="s">
        <v>903</v>
      </c>
      <c r="M183" s="89" t="s">
        <v>528</v>
      </c>
      <c r="N183" s="89"/>
      <c r="O183" s="89"/>
      <c r="P183" s="5" t="str">
        <f t="shared" si="2"/>
        <v>1</v>
      </c>
      <c r="Q183" s="5" t="str">
        <f>INDEX(Кат!$J:$J,MATCH($A183,Кат!$A:$A,0))</f>
        <v>сергей проводка</v>
      </c>
    </row>
    <row r="184" spans="1:17" ht="60" x14ac:dyDescent="0.25">
      <c r="A184" s="88">
        <v>144949</v>
      </c>
      <c r="B184" s="88">
        <v>13311</v>
      </c>
      <c r="C184" s="89" t="s">
        <v>1367</v>
      </c>
      <c r="D184" s="89" t="s">
        <v>919</v>
      </c>
      <c r="E184" s="89"/>
      <c r="F184" s="89" t="s">
        <v>1744</v>
      </c>
      <c r="G184" s="89" t="s">
        <v>1745</v>
      </c>
      <c r="H184" s="89"/>
      <c r="I184" s="89" t="s">
        <v>526</v>
      </c>
      <c r="J184" s="90">
        <v>850</v>
      </c>
      <c r="K184" s="90">
        <v>1490</v>
      </c>
      <c r="L184" s="89" t="s">
        <v>906</v>
      </c>
      <c r="M184" s="89" t="s">
        <v>528</v>
      </c>
      <c r="N184" s="89"/>
      <c r="O184" s="89"/>
      <c r="P184" s="5" t="str">
        <f t="shared" si="2"/>
        <v>1</v>
      </c>
      <c r="Q184" s="5" t="str">
        <f>INDEX(Кат!$J:$J,MATCH($A184,Кат!$A:$A,0))</f>
        <v>сергей проводка</v>
      </c>
    </row>
    <row r="185" spans="1:17" ht="45" x14ac:dyDescent="0.25">
      <c r="A185" s="88">
        <v>144953</v>
      </c>
      <c r="B185" s="88">
        <v>13314</v>
      </c>
      <c r="C185" s="89" t="s">
        <v>1180</v>
      </c>
      <c r="D185" s="89" t="s">
        <v>919</v>
      </c>
      <c r="E185" s="89"/>
      <c r="F185" s="89" t="s">
        <v>1746</v>
      </c>
      <c r="G185" s="89" t="s">
        <v>1181</v>
      </c>
      <c r="H185" s="89"/>
      <c r="I185" s="89" t="s">
        <v>526</v>
      </c>
      <c r="J185" s="90">
        <v>5000</v>
      </c>
      <c r="K185" s="90">
        <v>7090</v>
      </c>
      <c r="L185" s="89" t="s">
        <v>1107</v>
      </c>
      <c r="M185" s="89" t="s">
        <v>528</v>
      </c>
      <c r="N185" s="89"/>
      <c r="O185" s="89"/>
      <c r="P185" s="5" t="str">
        <f t="shared" si="2"/>
        <v>1</v>
      </c>
      <c r="Q185" s="5" t="str">
        <f>INDEX(Кат!$J:$J,MATCH($A185,Кат!$A:$A,0))</f>
        <v>сергей проводка</v>
      </c>
    </row>
    <row r="186" spans="1:17" ht="60" x14ac:dyDescent="0.25">
      <c r="A186" s="88">
        <v>144954</v>
      </c>
      <c r="B186" s="88">
        <v>13335</v>
      </c>
      <c r="C186" s="89" t="s">
        <v>1182</v>
      </c>
      <c r="D186" s="89" t="s">
        <v>919</v>
      </c>
      <c r="E186" s="89"/>
      <c r="F186" s="89" t="s">
        <v>1747</v>
      </c>
      <c r="G186" s="89" t="s">
        <v>1748</v>
      </c>
      <c r="H186" s="89"/>
      <c r="I186" s="89" t="s">
        <v>526</v>
      </c>
      <c r="J186" s="90">
        <v>4500</v>
      </c>
      <c r="K186" s="90">
        <v>8690</v>
      </c>
      <c r="L186" s="89" t="s">
        <v>1147</v>
      </c>
      <c r="M186" s="89" t="s">
        <v>528</v>
      </c>
      <c r="N186" s="89"/>
      <c r="O186" s="89" t="s">
        <v>919</v>
      </c>
      <c r="P186" s="5" t="str">
        <f t="shared" si="2"/>
        <v>1</v>
      </c>
      <c r="Q186" s="5" t="str">
        <f>INDEX(Кат!$J:$J,MATCH($A186,Кат!$A:$A,0))</f>
        <v>сергей проводка</v>
      </c>
    </row>
    <row r="187" spans="1:17" ht="60" x14ac:dyDescent="0.25">
      <c r="A187" s="88">
        <v>144952</v>
      </c>
      <c r="B187" s="88">
        <v>145757</v>
      </c>
      <c r="C187" s="89" t="s">
        <v>1368</v>
      </c>
      <c r="D187" s="89" t="s">
        <v>919</v>
      </c>
      <c r="E187" s="89"/>
      <c r="F187" s="89" t="s">
        <v>770</v>
      </c>
      <c r="G187" s="89" t="s">
        <v>945</v>
      </c>
      <c r="H187" s="89"/>
      <c r="I187" s="89" t="s">
        <v>526</v>
      </c>
      <c r="J187" s="90">
        <v>1800</v>
      </c>
      <c r="K187" s="90">
        <v>2690</v>
      </c>
      <c r="L187" s="89" t="s">
        <v>1018</v>
      </c>
      <c r="M187" s="89" t="s">
        <v>528</v>
      </c>
      <c r="N187" s="89"/>
      <c r="O187" s="89" t="s">
        <v>919</v>
      </c>
      <c r="P187" s="5" t="str">
        <f t="shared" si="2"/>
        <v>1</v>
      </c>
      <c r="Q187" s="5" t="str">
        <f>INDEX(Кат!$J:$J,MATCH($A187,Кат!$A:$A,0))</f>
        <v>сергей проводка</v>
      </c>
    </row>
    <row r="188" spans="1:17" ht="60" x14ac:dyDescent="0.25">
      <c r="A188" s="88">
        <v>144957</v>
      </c>
      <c r="B188" s="88">
        <v>13262</v>
      </c>
      <c r="C188" s="89" t="s">
        <v>986</v>
      </c>
      <c r="D188" s="89" t="s">
        <v>919</v>
      </c>
      <c r="E188" s="89"/>
      <c r="F188" s="89" t="s">
        <v>561</v>
      </c>
      <c r="G188" s="89" t="s">
        <v>1749</v>
      </c>
      <c r="H188" s="89"/>
      <c r="I188" s="89" t="s">
        <v>526</v>
      </c>
      <c r="J188" s="90">
        <v>3000</v>
      </c>
      <c r="K188" s="90">
        <v>4190</v>
      </c>
      <c r="L188" s="89" t="s">
        <v>1062</v>
      </c>
      <c r="M188" s="89" t="s">
        <v>528</v>
      </c>
      <c r="N188" s="89"/>
      <c r="O188" s="89"/>
      <c r="P188" s="5" t="str">
        <f t="shared" si="2"/>
        <v>1</v>
      </c>
      <c r="Q188" s="5" t="str">
        <f>INDEX(Кат!$J:$J,MATCH($A188,Кат!$A:$A,0))</f>
        <v>сергей проводка</v>
      </c>
    </row>
    <row r="189" spans="1:17" ht="60" x14ac:dyDescent="0.25">
      <c r="A189" s="88">
        <v>144955</v>
      </c>
      <c r="B189" s="88">
        <v>13282</v>
      </c>
      <c r="C189" s="89" t="s">
        <v>987</v>
      </c>
      <c r="D189" s="89" t="s">
        <v>919</v>
      </c>
      <c r="E189" s="89"/>
      <c r="F189" s="89" t="s">
        <v>1750</v>
      </c>
      <c r="G189" s="89" t="s">
        <v>1751</v>
      </c>
      <c r="H189" s="89"/>
      <c r="I189" s="89" t="s">
        <v>526</v>
      </c>
      <c r="J189" s="90">
        <v>2500</v>
      </c>
      <c r="K189" s="90">
        <v>3490</v>
      </c>
      <c r="L189" s="89" t="s">
        <v>914</v>
      </c>
      <c r="M189" s="89" t="s">
        <v>528</v>
      </c>
      <c r="N189" s="89"/>
      <c r="O189" s="89"/>
      <c r="P189" s="5" t="str">
        <f t="shared" si="2"/>
        <v>1</v>
      </c>
      <c r="Q189" s="5" t="str">
        <f>INDEX(Кат!$J:$J,MATCH($A189,Кат!$A:$A,0))</f>
        <v>сергей проводка</v>
      </c>
    </row>
    <row r="190" spans="1:17" ht="60" x14ac:dyDescent="0.25">
      <c r="A190" s="88">
        <v>144847</v>
      </c>
      <c r="B190" s="88">
        <v>13271</v>
      </c>
      <c r="C190" s="89" t="s">
        <v>988</v>
      </c>
      <c r="D190" s="89" t="s">
        <v>919</v>
      </c>
      <c r="E190" s="89"/>
      <c r="F190" s="89" t="s">
        <v>1752</v>
      </c>
      <c r="G190" s="89" t="s">
        <v>989</v>
      </c>
      <c r="H190" s="89"/>
      <c r="I190" s="89" t="s">
        <v>526</v>
      </c>
      <c r="J190" s="90">
        <v>3000</v>
      </c>
      <c r="K190" s="90">
        <v>4190</v>
      </c>
      <c r="L190" s="89" t="s">
        <v>1056</v>
      </c>
      <c r="M190" s="89" t="s">
        <v>528</v>
      </c>
      <c r="N190" s="89"/>
      <c r="O190" s="89"/>
      <c r="P190" s="5" t="str">
        <f t="shared" si="2"/>
        <v>1</v>
      </c>
      <c r="Q190" s="5" t="str">
        <f>INDEX(Кат!$J:$J,MATCH($A190,Кат!$A:$A,0))</f>
        <v>сергей проводка</v>
      </c>
    </row>
    <row r="191" spans="1:17" ht="60" x14ac:dyDescent="0.25">
      <c r="A191" s="88">
        <v>144956</v>
      </c>
      <c r="B191" s="88">
        <v>13283</v>
      </c>
      <c r="C191" s="89" t="s">
        <v>990</v>
      </c>
      <c r="D191" s="89" t="s">
        <v>919</v>
      </c>
      <c r="E191" s="89"/>
      <c r="F191" s="89" t="s">
        <v>1753</v>
      </c>
      <c r="G191" s="89" t="s">
        <v>875</v>
      </c>
      <c r="H191" s="89"/>
      <c r="I191" s="89" t="s">
        <v>526</v>
      </c>
      <c r="J191" s="90">
        <v>3000</v>
      </c>
      <c r="K191" s="90">
        <v>4190</v>
      </c>
      <c r="L191" s="89" t="s">
        <v>928</v>
      </c>
      <c r="M191" s="89" t="s">
        <v>528</v>
      </c>
      <c r="N191" s="89"/>
      <c r="O191" s="89"/>
      <c r="P191" s="5" t="str">
        <f t="shared" si="2"/>
        <v>1</v>
      </c>
      <c r="Q191" s="5" t="str">
        <f>INDEX(Кат!$J:$J,MATCH($A191,Кат!$A:$A,0))</f>
        <v>сергей проводка</v>
      </c>
    </row>
    <row r="192" spans="1:17" ht="60" x14ac:dyDescent="0.25">
      <c r="A192" s="88">
        <v>258045</v>
      </c>
      <c r="B192" s="88">
        <v>211254</v>
      </c>
      <c r="C192" s="89" t="s">
        <v>990</v>
      </c>
      <c r="D192" s="89" t="s">
        <v>919</v>
      </c>
      <c r="E192" s="89"/>
      <c r="F192" s="89" t="s">
        <v>1753</v>
      </c>
      <c r="G192" s="89" t="s">
        <v>875</v>
      </c>
      <c r="H192" s="89" t="s">
        <v>526</v>
      </c>
      <c r="I192" s="89" t="s">
        <v>526</v>
      </c>
      <c r="J192" s="90">
        <v>3000</v>
      </c>
      <c r="K192" s="90">
        <v>4190</v>
      </c>
      <c r="L192" s="89" t="s">
        <v>928</v>
      </c>
      <c r="M192" s="89" t="s">
        <v>528</v>
      </c>
      <c r="N192" s="89"/>
      <c r="O192" s="89"/>
      <c r="P192" s="5" t="str">
        <f t="shared" si="2"/>
        <v>1</v>
      </c>
      <c r="Q192" s="5" t="str">
        <f>INDEX(Кат!$J:$J,MATCH($A192,Кат!$A:$A,0))</f>
        <v>сергей проводка</v>
      </c>
    </row>
    <row r="193" spans="1:17" ht="60" x14ac:dyDescent="0.25">
      <c r="A193" s="88">
        <v>144850</v>
      </c>
      <c r="B193" s="88">
        <v>13273</v>
      </c>
      <c r="C193" s="89" t="s">
        <v>991</v>
      </c>
      <c r="D193" s="89" t="s">
        <v>919</v>
      </c>
      <c r="E193" s="89"/>
      <c r="F193" s="89" t="s">
        <v>1754</v>
      </c>
      <c r="G193" s="89" t="s">
        <v>874</v>
      </c>
      <c r="H193" s="89"/>
      <c r="I193" s="89" t="s">
        <v>526</v>
      </c>
      <c r="J193" s="90">
        <v>3000</v>
      </c>
      <c r="K193" s="90">
        <v>3790</v>
      </c>
      <c r="L193" s="89" t="s">
        <v>897</v>
      </c>
      <c r="M193" s="89" t="s">
        <v>920</v>
      </c>
      <c r="N193" s="89"/>
      <c r="O193" s="89"/>
      <c r="P193" s="5" t="str">
        <f t="shared" si="2"/>
        <v>0</v>
      </c>
      <c r="Q193" s="5" t="str">
        <f>INDEX(Кат!$J:$J,MATCH($A193,Кат!$A:$A,0))</f>
        <v>сергей проводка</v>
      </c>
    </row>
    <row r="194" spans="1:17" ht="45" x14ac:dyDescent="0.25">
      <c r="A194" s="88">
        <v>144848</v>
      </c>
      <c r="B194" s="88">
        <v>13276</v>
      </c>
      <c r="C194" s="89" t="s">
        <v>992</v>
      </c>
      <c r="D194" s="89" t="s">
        <v>919</v>
      </c>
      <c r="E194" s="89"/>
      <c r="F194" s="89" t="s">
        <v>1755</v>
      </c>
      <c r="G194" s="89" t="s">
        <v>874</v>
      </c>
      <c r="H194" s="89" t="s">
        <v>874</v>
      </c>
      <c r="I194" s="89" t="s">
        <v>526</v>
      </c>
      <c r="J194" s="90">
        <v>3000</v>
      </c>
      <c r="K194" s="90">
        <v>4190</v>
      </c>
      <c r="L194" s="89" t="s">
        <v>899</v>
      </c>
      <c r="M194" s="89" t="s">
        <v>528</v>
      </c>
      <c r="N194" s="89"/>
      <c r="O194" s="89"/>
      <c r="P194" s="5" t="str">
        <f t="shared" si="2"/>
        <v>1</v>
      </c>
      <c r="Q194" s="5" t="str">
        <f>INDEX(Кат!$J:$J,MATCH($A194,Кат!$A:$A,0))</f>
        <v>сергей проводка</v>
      </c>
    </row>
    <row r="195" spans="1:17" ht="45" x14ac:dyDescent="0.25">
      <c r="A195" s="88">
        <v>144849</v>
      </c>
      <c r="B195" s="88">
        <v>13274</v>
      </c>
      <c r="C195" s="89" t="s">
        <v>992</v>
      </c>
      <c r="D195" s="89" t="s">
        <v>919</v>
      </c>
      <c r="E195" s="89"/>
      <c r="F195" s="89" t="s">
        <v>1756</v>
      </c>
      <c r="G195" s="89" t="s">
        <v>874</v>
      </c>
      <c r="H195" s="89"/>
      <c r="I195" s="89" t="s">
        <v>526</v>
      </c>
      <c r="J195" s="90">
        <v>3000</v>
      </c>
      <c r="K195" s="90">
        <v>4190</v>
      </c>
      <c r="L195" s="89" t="s">
        <v>898</v>
      </c>
      <c r="M195" s="89" t="s">
        <v>528</v>
      </c>
      <c r="N195" s="89"/>
      <c r="O195" s="89"/>
      <c r="P195" s="5" t="str">
        <f t="shared" ref="P195:P245" si="3">_xlfn.CONCAT(M195,IF(N195&lt;&gt;"",_xlfn.CONCAT("ск",N195),""))</f>
        <v>1</v>
      </c>
      <c r="Q195" s="5" t="str">
        <f>INDEX(Кат!$J:$J,MATCH($A195,Кат!$A:$A,0))</f>
        <v>сергей проводка</v>
      </c>
    </row>
    <row r="196" spans="1:17" ht="60" x14ac:dyDescent="0.25">
      <c r="A196" s="88">
        <v>144958</v>
      </c>
      <c r="B196" s="88">
        <v>13297</v>
      </c>
      <c r="C196" s="89" t="s">
        <v>993</v>
      </c>
      <c r="D196" s="89" t="s">
        <v>919</v>
      </c>
      <c r="E196" s="89"/>
      <c r="F196" s="89" t="s">
        <v>1757</v>
      </c>
      <c r="G196" s="89" t="s">
        <v>994</v>
      </c>
      <c r="H196" s="89"/>
      <c r="I196" s="89" t="s">
        <v>526</v>
      </c>
      <c r="J196" s="90">
        <v>550</v>
      </c>
      <c r="K196" s="90">
        <v>859</v>
      </c>
      <c r="L196" s="89" t="s">
        <v>908</v>
      </c>
      <c r="M196" s="89" t="s">
        <v>528</v>
      </c>
      <c r="N196" s="89"/>
      <c r="O196" s="89"/>
      <c r="P196" s="5" t="str">
        <f t="shared" si="3"/>
        <v>1</v>
      </c>
      <c r="Q196" s="5" t="str">
        <f>INDEX(Кат!$J:$J,MATCH($A196,Кат!$A:$A,0))</f>
        <v>сергей проводка</v>
      </c>
    </row>
    <row r="197" spans="1:17" ht="60" x14ac:dyDescent="0.25">
      <c r="A197" s="88">
        <v>144959</v>
      </c>
      <c r="B197" s="88">
        <v>13299</v>
      </c>
      <c r="C197" s="89" t="s">
        <v>995</v>
      </c>
      <c r="D197" s="89" t="s">
        <v>919</v>
      </c>
      <c r="E197" s="89"/>
      <c r="F197" s="89" t="s">
        <v>1758</v>
      </c>
      <c r="G197" s="89" t="s">
        <v>996</v>
      </c>
      <c r="H197" s="89"/>
      <c r="I197" s="89" t="s">
        <v>526</v>
      </c>
      <c r="J197" s="90">
        <v>500</v>
      </c>
      <c r="K197" s="90">
        <v>859</v>
      </c>
      <c r="L197" s="89" t="s">
        <v>777</v>
      </c>
      <c r="M197" s="89" t="s">
        <v>528</v>
      </c>
      <c r="N197" s="89"/>
      <c r="O197" s="89"/>
      <c r="P197" s="5" t="str">
        <f t="shared" si="3"/>
        <v>1</v>
      </c>
      <c r="Q197" s="5" t="str">
        <f>INDEX(Кат!$J:$J,MATCH($A197,Кат!$A:$A,0))</f>
        <v>сергей проводка</v>
      </c>
    </row>
    <row r="198" spans="1:17" ht="60" x14ac:dyDescent="0.25">
      <c r="A198" s="88">
        <v>430022</v>
      </c>
      <c r="B198" s="88">
        <v>430022</v>
      </c>
      <c r="C198" s="89" t="s">
        <v>1488</v>
      </c>
      <c r="D198" s="89" t="s">
        <v>919</v>
      </c>
      <c r="E198" s="89"/>
      <c r="F198" s="89" t="s">
        <v>1759</v>
      </c>
      <c r="G198" s="89" t="s">
        <v>1624</v>
      </c>
      <c r="H198" s="89"/>
      <c r="I198" s="89" t="s">
        <v>526</v>
      </c>
      <c r="J198" s="90">
        <v>13000</v>
      </c>
      <c r="K198" s="90">
        <v>17790</v>
      </c>
      <c r="L198" s="89" t="s">
        <v>1489</v>
      </c>
      <c r="M198" s="89" t="s">
        <v>528</v>
      </c>
      <c r="N198" s="89"/>
      <c r="O198" s="89"/>
      <c r="P198" s="5" t="str">
        <f t="shared" si="3"/>
        <v>1</v>
      </c>
      <c r="Q198" s="5" t="str">
        <f>INDEX(Кат!$J:$J,MATCH($A198,Кат!$A:$A,0))</f>
        <v>сергей проводка</v>
      </c>
    </row>
    <row r="199" spans="1:17" ht="60" x14ac:dyDescent="0.25">
      <c r="A199" s="88">
        <v>144973</v>
      </c>
      <c r="B199" s="88">
        <v>13364</v>
      </c>
      <c r="C199" s="89" t="s">
        <v>138</v>
      </c>
      <c r="D199" s="89" t="s">
        <v>919</v>
      </c>
      <c r="E199" s="89"/>
      <c r="F199" s="89" t="s">
        <v>1760</v>
      </c>
      <c r="G199" s="89" t="s">
        <v>1761</v>
      </c>
      <c r="H199" s="89"/>
      <c r="I199" s="89" t="s">
        <v>526</v>
      </c>
      <c r="J199" s="90">
        <v>10000</v>
      </c>
      <c r="K199" s="90">
        <v>12990</v>
      </c>
      <c r="L199" s="89" t="s">
        <v>1047</v>
      </c>
      <c r="M199" s="89" t="s">
        <v>528</v>
      </c>
      <c r="N199" s="89"/>
      <c r="O199" s="89"/>
      <c r="P199" s="5" t="str">
        <f t="shared" si="3"/>
        <v>1</v>
      </c>
      <c r="Q199" s="5" t="str">
        <f>INDEX(Кат!$J:$J,MATCH($A199,Кат!$A:$A,0))</f>
        <v>сергей проводка</v>
      </c>
    </row>
    <row r="200" spans="1:17" ht="60" x14ac:dyDescent="0.25">
      <c r="A200" s="88">
        <v>144964</v>
      </c>
      <c r="B200" s="88">
        <v>13265</v>
      </c>
      <c r="C200" s="89" t="s">
        <v>1369</v>
      </c>
      <c r="D200" s="89" t="s">
        <v>919</v>
      </c>
      <c r="E200" s="89"/>
      <c r="F200" s="89" t="s">
        <v>1762</v>
      </c>
      <c r="G200" s="89" t="s">
        <v>1763</v>
      </c>
      <c r="H200" s="89"/>
      <c r="I200" s="89" t="s">
        <v>526</v>
      </c>
      <c r="J200" s="90">
        <v>9000</v>
      </c>
      <c r="K200" s="90">
        <v>11890</v>
      </c>
      <c r="L200" s="89" t="s">
        <v>803</v>
      </c>
      <c r="M200" s="89" t="s">
        <v>528</v>
      </c>
      <c r="N200" s="89"/>
      <c r="O200" s="89"/>
      <c r="P200" s="5" t="str">
        <f t="shared" si="3"/>
        <v>1</v>
      </c>
      <c r="Q200" s="5" t="str">
        <f>INDEX(Кат!$J:$J,MATCH($A200,Кат!$A:$A,0))</f>
        <v>сергей проводка</v>
      </c>
    </row>
    <row r="201" spans="1:17" ht="60" x14ac:dyDescent="0.25">
      <c r="A201" s="88">
        <v>144974</v>
      </c>
      <c r="B201" s="88">
        <v>13367</v>
      </c>
      <c r="C201" s="89" t="s">
        <v>1183</v>
      </c>
      <c r="D201" s="89" t="s">
        <v>919</v>
      </c>
      <c r="E201" s="89"/>
      <c r="F201" s="89" t="s">
        <v>1764</v>
      </c>
      <c r="G201" s="89" t="s">
        <v>1765</v>
      </c>
      <c r="H201" s="89"/>
      <c r="I201" s="89" t="s">
        <v>526</v>
      </c>
      <c r="J201" s="90">
        <v>13000</v>
      </c>
      <c r="K201" s="90">
        <v>16890</v>
      </c>
      <c r="L201" s="89" t="s">
        <v>884</v>
      </c>
      <c r="M201" s="89" t="s">
        <v>528</v>
      </c>
      <c r="N201" s="89"/>
      <c r="O201" s="89"/>
      <c r="P201" s="5" t="str">
        <f t="shared" si="3"/>
        <v>1</v>
      </c>
      <c r="Q201" s="5" t="str">
        <f>INDEX(Кат!$J:$J,MATCH($A201,Кат!$A:$A,0))</f>
        <v>сергей проводка</v>
      </c>
    </row>
    <row r="202" spans="1:17" ht="75" x14ac:dyDescent="0.25">
      <c r="A202" s="88">
        <v>426729</v>
      </c>
      <c r="B202" s="88">
        <v>426729</v>
      </c>
      <c r="C202" s="89" t="s">
        <v>1370</v>
      </c>
      <c r="D202" s="89" t="s">
        <v>919</v>
      </c>
      <c r="E202" s="89"/>
      <c r="F202" s="89" t="s">
        <v>1766</v>
      </c>
      <c r="G202" s="89" t="s">
        <v>1622</v>
      </c>
      <c r="H202" s="89" t="s">
        <v>1371</v>
      </c>
      <c r="I202" s="89" t="s">
        <v>526</v>
      </c>
      <c r="J202" s="90">
        <v>13000</v>
      </c>
      <c r="K202" s="90">
        <v>16890</v>
      </c>
      <c r="L202" s="89"/>
      <c r="M202" s="89" t="s">
        <v>528</v>
      </c>
      <c r="N202" s="89"/>
      <c r="O202" s="89"/>
      <c r="P202" s="5" t="str">
        <f t="shared" si="3"/>
        <v>1</v>
      </c>
      <c r="Q202" s="5" t="str">
        <f>INDEX(Кат!$J:$J,MATCH($A202,Кат!$A:$A,0))</f>
        <v>сергей проводка</v>
      </c>
    </row>
    <row r="203" spans="1:17" ht="90" x14ac:dyDescent="0.25">
      <c r="A203" s="88">
        <v>426867</v>
      </c>
      <c r="B203" s="88">
        <v>426867</v>
      </c>
      <c r="C203" s="89" t="s">
        <v>1372</v>
      </c>
      <c r="D203" s="89" t="s">
        <v>919</v>
      </c>
      <c r="E203" s="89"/>
      <c r="F203" s="89" t="s">
        <v>1767</v>
      </c>
      <c r="G203" s="89" t="s">
        <v>1640</v>
      </c>
      <c r="H203" s="89" t="s">
        <v>1373</v>
      </c>
      <c r="I203" s="89" t="s">
        <v>526</v>
      </c>
      <c r="J203" s="90">
        <v>15000</v>
      </c>
      <c r="K203" s="90">
        <v>20490</v>
      </c>
      <c r="L203" s="89" t="s">
        <v>1374</v>
      </c>
      <c r="M203" s="89" t="s">
        <v>528</v>
      </c>
      <c r="N203" s="89"/>
      <c r="O203" s="89"/>
      <c r="P203" s="5" t="str">
        <f t="shared" si="3"/>
        <v>1</v>
      </c>
      <c r="Q203" s="5" t="str">
        <f>INDEX(Кат!$J:$J,MATCH($A203,Кат!$A:$A,0))</f>
        <v>сергей проводка</v>
      </c>
    </row>
    <row r="204" spans="1:17" ht="90" x14ac:dyDescent="0.25">
      <c r="A204" s="88">
        <v>426878</v>
      </c>
      <c r="B204" s="88">
        <v>426878</v>
      </c>
      <c r="C204" s="89" t="s">
        <v>1375</v>
      </c>
      <c r="D204" s="89" t="s">
        <v>919</v>
      </c>
      <c r="E204" s="89"/>
      <c r="F204" s="89" t="s">
        <v>1768</v>
      </c>
      <c r="G204" s="89" t="s">
        <v>1640</v>
      </c>
      <c r="H204" s="89" t="s">
        <v>1376</v>
      </c>
      <c r="I204" s="89" t="s">
        <v>526</v>
      </c>
      <c r="J204" s="90">
        <v>15000</v>
      </c>
      <c r="K204" s="90">
        <v>20490</v>
      </c>
      <c r="L204" s="89" t="s">
        <v>1377</v>
      </c>
      <c r="M204" s="89" t="s">
        <v>528</v>
      </c>
      <c r="N204" s="89"/>
      <c r="O204" s="89"/>
      <c r="P204" s="5" t="str">
        <f t="shared" si="3"/>
        <v>1</v>
      </c>
      <c r="Q204" s="5" t="str">
        <f>INDEX(Кат!$J:$J,MATCH($A204,Кат!$A:$A,0))</f>
        <v>сергей проводка</v>
      </c>
    </row>
    <row r="205" spans="1:17" ht="60" x14ac:dyDescent="0.25">
      <c r="A205" s="88">
        <v>430040</v>
      </c>
      <c r="B205" s="88">
        <v>430040</v>
      </c>
      <c r="C205" s="89" t="s">
        <v>1490</v>
      </c>
      <c r="D205" s="89" t="s">
        <v>919</v>
      </c>
      <c r="E205" s="89"/>
      <c r="F205" s="89" t="s">
        <v>1769</v>
      </c>
      <c r="G205" s="89" t="s">
        <v>1491</v>
      </c>
      <c r="H205" s="89"/>
      <c r="I205" s="89" t="s">
        <v>526</v>
      </c>
      <c r="J205" s="90">
        <v>500</v>
      </c>
      <c r="K205" s="90">
        <v>789</v>
      </c>
      <c r="L205" s="89" t="s">
        <v>1492</v>
      </c>
      <c r="M205" s="89" t="s">
        <v>528</v>
      </c>
      <c r="N205" s="89"/>
      <c r="O205" s="89"/>
      <c r="P205" s="5" t="str">
        <f t="shared" si="3"/>
        <v>1</v>
      </c>
      <c r="Q205" s="5" t="str">
        <f>INDEX(Кат!$J:$J,MATCH($A205,Кат!$A:$A,0))</f>
        <v>сергей проводка</v>
      </c>
    </row>
    <row r="206" spans="1:17" ht="45" x14ac:dyDescent="0.25">
      <c r="A206" s="88">
        <v>144960</v>
      </c>
      <c r="B206" s="88">
        <v>13303</v>
      </c>
      <c r="C206" s="89" t="s">
        <v>1378</v>
      </c>
      <c r="D206" s="89" t="s">
        <v>919</v>
      </c>
      <c r="E206" s="89"/>
      <c r="F206" s="89" t="s">
        <v>1770</v>
      </c>
      <c r="G206" s="89" t="s">
        <v>997</v>
      </c>
      <c r="H206" s="89"/>
      <c r="I206" s="89" t="s">
        <v>526</v>
      </c>
      <c r="J206" s="90">
        <v>1500</v>
      </c>
      <c r="K206" s="90">
        <v>2090</v>
      </c>
      <c r="L206" s="89" t="s">
        <v>814</v>
      </c>
      <c r="M206" s="89" t="s">
        <v>528</v>
      </c>
      <c r="N206" s="89"/>
      <c r="O206" s="89"/>
      <c r="P206" s="5" t="str">
        <f t="shared" si="3"/>
        <v>1</v>
      </c>
      <c r="Q206" s="5" t="str">
        <f>INDEX(Кат!$J:$J,MATCH($A206,Кат!$A:$A,0))</f>
        <v>сергей проводка</v>
      </c>
    </row>
    <row r="207" spans="1:17" ht="120" x14ac:dyDescent="0.25">
      <c r="A207" s="88">
        <v>426756</v>
      </c>
      <c r="B207" s="88">
        <v>426756</v>
      </c>
      <c r="C207" s="89" t="s">
        <v>1379</v>
      </c>
      <c r="D207" s="89" t="s">
        <v>919</v>
      </c>
      <c r="E207" s="89"/>
      <c r="F207" s="89" t="s">
        <v>1771</v>
      </c>
      <c r="G207" s="89" t="s">
        <v>1640</v>
      </c>
      <c r="H207" s="89" t="s">
        <v>1380</v>
      </c>
      <c r="I207" s="89" t="s">
        <v>526</v>
      </c>
      <c r="J207" s="90">
        <v>12000</v>
      </c>
      <c r="K207" s="90">
        <v>16390</v>
      </c>
      <c r="L207" s="89" t="s">
        <v>1381</v>
      </c>
      <c r="M207" s="89" t="s">
        <v>528</v>
      </c>
      <c r="N207" s="89"/>
      <c r="O207" s="89"/>
      <c r="P207" s="5" t="str">
        <f t="shared" si="3"/>
        <v>1</v>
      </c>
      <c r="Q207" s="5" t="str">
        <f>INDEX(Кат!$J:$J,MATCH($A207,Кат!$A:$A,0))</f>
        <v>сергей проводка</v>
      </c>
    </row>
    <row r="208" spans="1:17" ht="60" x14ac:dyDescent="0.25">
      <c r="A208" s="88">
        <v>426616</v>
      </c>
      <c r="B208" s="88">
        <v>426616</v>
      </c>
      <c r="C208" s="89" t="s">
        <v>1382</v>
      </c>
      <c r="D208" s="89" t="s">
        <v>919</v>
      </c>
      <c r="E208" s="89"/>
      <c r="F208" s="89" t="s">
        <v>1772</v>
      </c>
      <c r="G208" s="89" t="s">
        <v>1763</v>
      </c>
      <c r="H208" s="89" t="s">
        <v>1383</v>
      </c>
      <c r="I208" s="89" t="s">
        <v>526</v>
      </c>
      <c r="J208" s="90">
        <v>8000</v>
      </c>
      <c r="K208" s="90">
        <v>10890</v>
      </c>
      <c r="L208" s="89" t="s">
        <v>803</v>
      </c>
      <c r="M208" s="89" t="s">
        <v>528</v>
      </c>
      <c r="N208" s="89"/>
      <c r="O208" s="89"/>
      <c r="P208" s="5" t="str">
        <f t="shared" si="3"/>
        <v>1</v>
      </c>
      <c r="Q208" s="5" t="str">
        <f>INDEX(Кат!$J:$J,MATCH($A208,Кат!$A:$A,0))</f>
        <v>сергей проводка</v>
      </c>
    </row>
    <row r="209" spans="1:17" ht="135" x14ac:dyDescent="0.25">
      <c r="A209" s="88">
        <v>144976</v>
      </c>
      <c r="B209" s="88">
        <v>13229</v>
      </c>
      <c r="C209" s="89" t="s">
        <v>1384</v>
      </c>
      <c r="D209" s="89" t="s">
        <v>919</v>
      </c>
      <c r="E209" s="89"/>
      <c r="F209" s="89" t="s">
        <v>1773</v>
      </c>
      <c r="G209" s="89" t="s">
        <v>1774</v>
      </c>
      <c r="H209" s="89"/>
      <c r="I209" s="89" t="s">
        <v>526</v>
      </c>
      <c r="J209" s="90">
        <v>500</v>
      </c>
      <c r="K209" s="90">
        <v>859</v>
      </c>
      <c r="L209" s="89" t="s">
        <v>775</v>
      </c>
      <c r="M209" s="89" t="s">
        <v>528</v>
      </c>
      <c r="N209" s="89"/>
      <c r="O209" s="89"/>
      <c r="P209" s="5" t="str">
        <f t="shared" si="3"/>
        <v>1</v>
      </c>
      <c r="Q209" s="5" t="str">
        <f>INDEX(Кат!$J:$J,MATCH($A209,Кат!$A:$A,0))</f>
        <v>сергей проводка</v>
      </c>
    </row>
    <row r="210" spans="1:17" ht="60" x14ac:dyDescent="0.25">
      <c r="A210" s="88">
        <v>144977</v>
      </c>
      <c r="B210" s="88">
        <v>13254</v>
      </c>
      <c r="C210" s="89" t="s">
        <v>1385</v>
      </c>
      <c r="D210" s="89" t="s">
        <v>919</v>
      </c>
      <c r="E210" s="89"/>
      <c r="F210" s="89" t="s">
        <v>1775</v>
      </c>
      <c r="G210" s="89" t="s">
        <v>998</v>
      </c>
      <c r="H210" s="89"/>
      <c r="I210" s="89" t="s">
        <v>526</v>
      </c>
      <c r="J210" s="90">
        <v>500</v>
      </c>
      <c r="K210" s="90">
        <v>859</v>
      </c>
      <c r="L210" s="89" t="s">
        <v>1132</v>
      </c>
      <c r="M210" s="89" t="s">
        <v>528</v>
      </c>
      <c r="N210" s="89"/>
      <c r="O210" s="89"/>
      <c r="P210" s="5" t="str">
        <f t="shared" si="3"/>
        <v>1</v>
      </c>
      <c r="Q210" s="5" t="str">
        <f>INDEX(Кат!$J:$J,MATCH($A210,Кат!$A:$A,0))</f>
        <v>сергей проводка</v>
      </c>
    </row>
    <row r="211" spans="1:17" ht="60" x14ac:dyDescent="0.25">
      <c r="A211" s="88">
        <v>144978</v>
      </c>
      <c r="B211" s="88">
        <v>13324</v>
      </c>
      <c r="C211" s="89" t="s">
        <v>1184</v>
      </c>
      <c r="D211" s="89" t="s">
        <v>919</v>
      </c>
      <c r="E211" s="89"/>
      <c r="F211" s="89" t="s">
        <v>1776</v>
      </c>
      <c r="G211" s="89" t="s">
        <v>1185</v>
      </c>
      <c r="H211" s="89"/>
      <c r="I211" s="89" t="s">
        <v>526</v>
      </c>
      <c r="J211" s="90">
        <v>700</v>
      </c>
      <c r="K211" s="90">
        <v>1090</v>
      </c>
      <c r="L211" s="89" t="s">
        <v>907</v>
      </c>
      <c r="M211" s="89" t="s">
        <v>528</v>
      </c>
      <c r="N211" s="89"/>
      <c r="O211" s="89"/>
      <c r="P211" s="5" t="str">
        <f t="shared" si="3"/>
        <v>1</v>
      </c>
      <c r="Q211" s="5" t="str">
        <f>INDEX(Кат!$J:$J,MATCH($A211,Кат!$A:$A,0))</f>
        <v>сергей проводка</v>
      </c>
    </row>
    <row r="212" spans="1:17" ht="60" x14ac:dyDescent="0.25">
      <c r="A212" s="88">
        <v>144979</v>
      </c>
      <c r="B212" s="88">
        <v>13269</v>
      </c>
      <c r="C212" s="89" t="s">
        <v>1386</v>
      </c>
      <c r="D212" s="89" t="s">
        <v>919</v>
      </c>
      <c r="E212" s="89"/>
      <c r="F212" s="89" t="s">
        <v>1777</v>
      </c>
      <c r="G212" s="89" t="s">
        <v>1778</v>
      </c>
      <c r="H212" s="89"/>
      <c r="I212" s="89" t="s">
        <v>526</v>
      </c>
      <c r="J212" s="90">
        <v>650</v>
      </c>
      <c r="K212" s="90">
        <v>989</v>
      </c>
      <c r="L212" s="89" t="s">
        <v>1130</v>
      </c>
      <c r="M212" s="89" t="s">
        <v>528</v>
      </c>
      <c r="N212" s="89"/>
      <c r="O212" s="89"/>
      <c r="P212" s="5" t="str">
        <f t="shared" si="3"/>
        <v>1</v>
      </c>
      <c r="Q212" s="5" t="str">
        <f>INDEX(Кат!$J:$J,MATCH($A212,Кат!$A:$A,0))</f>
        <v>сергей проводка</v>
      </c>
    </row>
    <row r="213" spans="1:17" ht="60" x14ac:dyDescent="0.25">
      <c r="A213" s="88">
        <v>144980</v>
      </c>
      <c r="B213" s="88">
        <v>13300</v>
      </c>
      <c r="C213" s="89" t="s">
        <v>999</v>
      </c>
      <c r="D213" s="89" t="s">
        <v>919</v>
      </c>
      <c r="E213" s="89"/>
      <c r="F213" s="89" t="s">
        <v>1779</v>
      </c>
      <c r="G213" s="89" t="s">
        <v>1000</v>
      </c>
      <c r="H213" s="89"/>
      <c r="I213" s="89" t="s">
        <v>526</v>
      </c>
      <c r="J213" s="90">
        <v>1500</v>
      </c>
      <c r="K213" s="90">
        <v>2090</v>
      </c>
      <c r="L213" s="89" t="s">
        <v>781</v>
      </c>
      <c r="M213" s="89" t="s">
        <v>528</v>
      </c>
      <c r="N213" s="89"/>
      <c r="O213" s="89"/>
      <c r="P213" s="5" t="str">
        <f t="shared" si="3"/>
        <v>1</v>
      </c>
      <c r="Q213" s="5" t="str">
        <f>INDEX(Кат!$J:$J,MATCH($A213,Кат!$A:$A,0))</f>
        <v>сергей проводка</v>
      </c>
    </row>
    <row r="214" spans="1:17" ht="60" x14ac:dyDescent="0.25">
      <c r="A214" s="88">
        <v>144999</v>
      </c>
      <c r="B214" s="88">
        <v>13388</v>
      </c>
      <c r="C214" s="89" t="s">
        <v>1186</v>
      </c>
      <c r="D214" s="89" t="s">
        <v>919</v>
      </c>
      <c r="E214" s="89"/>
      <c r="F214" s="89" t="s">
        <v>1780</v>
      </c>
      <c r="G214" s="89" t="s">
        <v>1781</v>
      </c>
      <c r="H214" s="89"/>
      <c r="I214" s="89" t="s">
        <v>526</v>
      </c>
      <c r="J214" s="90">
        <v>8000</v>
      </c>
      <c r="K214" s="90">
        <v>10890</v>
      </c>
      <c r="L214" s="89" t="s">
        <v>807</v>
      </c>
      <c r="M214" s="89" t="s">
        <v>528</v>
      </c>
      <c r="N214" s="89"/>
      <c r="O214" s="89"/>
      <c r="P214" s="5" t="str">
        <f t="shared" si="3"/>
        <v>1</v>
      </c>
      <c r="Q214" s="5" t="str">
        <f>INDEX(Кат!$J:$J,MATCH($A214,Кат!$A:$A,0))</f>
        <v>сергей проводка</v>
      </c>
    </row>
    <row r="215" spans="1:17" ht="60" x14ac:dyDescent="0.25">
      <c r="A215" s="88">
        <v>144981</v>
      </c>
      <c r="B215" s="88">
        <v>13332</v>
      </c>
      <c r="C215" s="89" t="s">
        <v>1387</v>
      </c>
      <c r="D215" s="89" t="s">
        <v>919</v>
      </c>
      <c r="E215" s="89"/>
      <c r="F215" s="89" t="s">
        <v>1782</v>
      </c>
      <c r="G215" s="89" t="s">
        <v>1187</v>
      </c>
      <c r="H215" s="89"/>
      <c r="I215" s="89" t="s">
        <v>526</v>
      </c>
      <c r="J215" s="90">
        <v>6500</v>
      </c>
      <c r="K215" s="90">
        <v>8790</v>
      </c>
      <c r="L215" s="89" t="s">
        <v>1091</v>
      </c>
      <c r="M215" s="89" t="s">
        <v>528</v>
      </c>
      <c r="N215" s="89"/>
      <c r="O215" s="89"/>
      <c r="P215" s="5" t="str">
        <f t="shared" si="3"/>
        <v>1</v>
      </c>
      <c r="Q215" s="5" t="str">
        <f>INDEX(Кат!$J:$J,MATCH($A215,Кат!$A:$A,0))</f>
        <v>сергей проводка</v>
      </c>
    </row>
    <row r="216" spans="1:17" ht="45" x14ac:dyDescent="0.25">
      <c r="A216" s="88">
        <v>223870</v>
      </c>
      <c r="B216" s="88">
        <v>13338</v>
      </c>
      <c r="C216" s="89" t="s">
        <v>1188</v>
      </c>
      <c r="D216" s="89" t="s">
        <v>919</v>
      </c>
      <c r="E216" s="89"/>
      <c r="F216" s="89" t="s">
        <v>1783</v>
      </c>
      <c r="G216" s="89" t="s">
        <v>1187</v>
      </c>
      <c r="H216" s="89"/>
      <c r="I216" s="89" t="s">
        <v>526</v>
      </c>
      <c r="J216" s="90">
        <v>6500</v>
      </c>
      <c r="K216" s="90">
        <v>8590</v>
      </c>
      <c r="L216" s="89" t="s">
        <v>798</v>
      </c>
      <c r="M216" s="89" t="s">
        <v>528</v>
      </c>
      <c r="N216" s="89"/>
      <c r="O216" s="89"/>
      <c r="P216" s="5" t="str">
        <f t="shared" si="3"/>
        <v>1</v>
      </c>
      <c r="Q216" s="5" t="str">
        <f>INDEX(Кат!$J:$J,MATCH($A216,Кат!$A:$A,0))</f>
        <v>сергей проводка</v>
      </c>
    </row>
    <row r="217" spans="1:17" ht="60" x14ac:dyDescent="0.25">
      <c r="A217" s="88">
        <v>144982</v>
      </c>
      <c r="B217" s="88">
        <v>13333</v>
      </c>
      <c r="C217" s="89" t="s">
        <v>1388</v>
      </c>
      <c r="D217" s="89" t="s">
        <v>919</v>
      </c>
      <c r="E217" s="89"/>
      <c r="F217" s="89" t="s">
        <v>1784</v>
      </c>
      <c r="G217" s="89" t="s">
        <v>1189</v>
      </c>
      <c r="H217" s="89"/>
      <c r="I217" s="89" t="s">
        <v>526</v>
      </c>
      <c r="J217" s="90">
        <v>6500</v>
      </c>
      <c r="K217" s="90">
        <v>8790</v>
      </c>
      <c r="L217" s="89" t="s">
        <v>889</v>
      </c>
      <c r="M217" s="89" t="s">
        <v>528</v>
      </c>
      <c r="N217" s="89"/>
      <c r="O217" s="89"/>
      <c r="P217" s="5" t="str">
        <f t="shared" si="3"/>
        <v>1</v>
      </c>
      <c r="Q217" s="5" t="str">
        <f>INDEX(Кат!$J:$J,MATCH($A217,Кат!$A:$A,0))</f>
        <v>сергей проводка</v>
      </c>
    </row>
    <row r="218" spans="1:17" ht="60" x14ac:dyDescent="0.25">
      <c r="A218" s="88">
        <v>144983</v>
      </c>
      <c r="B218" s="88">
        <v>13339</v>
      </c>
      <c r="C218" s="89" t="s">
        <v>1389</v>
      </c>
      <c r="D218" s="89" t="s">
        <v>919</v>
      </c>
      <c r="E218" s="89"/>
      <c r="F218" s="89" t="s">
        <v>1785</v>
      </c>
      <c r="G218" s="89" t="s">
        <v>1189</v>
      </c>
      <c r="H218" s="89"/>
      <c r="I218" s="89" t="s">
        <v>526</v>
      </c>
      <c r="J218" s="90">
        <v>10000</v>
      </c>
      <c r="K218" s="90">
        <v>13690</v>
      </c>
      <c r="L218" s="89" t="s">
        <v>888</v>
      </c>
      <c r="M218" s="89" t="s">
        <v>528</v>
      </c>
      <c r="N218" s="89"/>
      <c r="O218" s="89"/>
      <c r="P218" s="5" t="str">
        <f t="shared" si="3"/>
        <v>1</v>
      </c>
      <c r="Q218" s="5" t="str">
        <f>INDEX(Кат!$J:$J,MATCH($A218,Кат!$A:$A,0))</f>
        <v>сергей проводка</v>
      </c>
    </row>
    <row r="219" spans="1:17" ht="60" x14ac:dyDescent="0.25">
      <c r="A219" s="88">
        <v>144993</v>
      </c>
      <c r="B219" s="88">
        <v>13356</v>
      </c>
      <c r="C219" s="89" t="s">
        <v>1190</v>
      </c>
      <c r="D219" s="89" t="s">
        <v>919</v>
      </c>
      <c r="E219" s="89"/>
      <c r="F219" s="89" t="s">
        <v>1786</v>
      </c>
      <c r="G219" s="89" t="s">
        <v>1191</v>
      </c>
      <c r="H219" s="89"/>
      <c r="I219" s="89" t="s">
        <v>526</v>
      </c>
      <c r="J219" s="90">
        <v>6500</v>
      </c>
      <c r="K219" s="90">
        <v>8790</v>
      </c>
      <c r="L219" s="89" t="s">
        <v>1097</v>
      </c>
      <c r="M219" s="89" t="s">
        <v>528</v>
      </c>
      <c r="N219" s="89"/>
      <c r="O219" s="89"/>
      <c r="P219" s="5" t="str">
        <f t="shared" si="3"/>
        <v>1</v>
      </c>
      <c r="Q219" s="5" t="str">
        <f>INDEX(Кат!$J:$J,MATCH($A219,Кат!$A:$A,0))</f>
        <v>сергей проводка</v>
      </c>
    </row>
    <row r="220" spans="1:17" ht="60" x14ac:dyDescent="0.25">
      <c r="A220" s="88">
        <v>144996</v>
      </c>
      <c r="B220" s="88">
        <v>13386</v>
      </c>
      <c r="C220" s="89" t="s">
        <v>157</v>
      </c>
      <c r="D220" s="89" t="s">
        <v>919</v>
      </c>
      <c r="E220" s="89"/>
      <c r="F220" s="89" t="s">
        <v>1787</v>
      </c>
      <c r="G220" s="89" t="s">
        <v>1788</v>
      </c>
      <c r="H220" s="89"/>
      <c r="I220" s="89" t="s">
        <v>526</v>
      </c>
      <c r="J220" s="90">
        <v>6000</v>
      </c>
      <c r="K220" s="90">
        <v>8490</v>
      </c>
      <c r="L220" s="89" t="s">
        <v>1083</v>
      </c>
      <c r="M220" s="89" t="s">
        <v>528</v>
      </c>
      <c r="N220" s="89"/>
      <c r="O220" s="89"/>
      <c r="P220" s="5" t="str">
        <f t="shared" si="3"/>
        <v>1</v>
      </c>
      <c r="Q220" s="5" t="str">
        <f>INDEX(Кат!$J:$J,MATCH($A220,Кат!$A:$A,0))</f>
        <v>сергей проводка</v>
      </c>
    </row>
    <row r="221" spans="1:17" ht="60" x14ac:dyDescent="0.25">
      <c r="A221" s="88">
        <v>145001</v>
      </c>
      <c r="B221" s="88">
        <v>13384</v>
      </c>
      <c r="C221" s="89" t="s">
        <v>155</v>
      </c>
      <c r="D221" s="89" t="s">
        <v>919</v>
      </c>
      <c r="E221" s="89"/>
      <c r="F221" s="89" t="s">
        <v>1789</v>
      </c>
      <c r="G221" s="89" t="s">
        <v>1790</v>
      </c>
      <c r="H221" s="89"/>
      <c r="I221" s="89" t="s">
        <v>526</v>
      </c>
      <c r="J221" s="90">
        <v>15000</v>
      </c>
      <c r="K221" s="90">
        <v>19490</v>
      </c>
      <c r="L221" s="89" t="s">
        <v>878</v>
      </c>
      <c r="M221" s="89" t="s">
        <v>528</v>
      </c>
      <c r="N221" s="89"/>
      <c r="O221" s="89"/>
      <c r="P221" s="5" t="str">
        <f t="shared" si="3"/>
        <v>1</v>
      </c>
      <c r="Q221" s="5" t="str">
        <f>INDEX(Кат!$J:$J,MATCH($A221,Кат!$A:$A,0))</f>
        <v>сергей проводка</v>
      </c>
    </row>
    <row r="222" spans="1:17" ht="60" x14ac:dyDescent="0.25">
      <c r="A222" s="88">
        <v>145003</v>
      </c>
      <c r="B222" s="88">
        <v>13419</v>
      </c>
      <c r="C222" s="89" t="s">
        <v>172</v>
      </c>
      <c r="D222" s="89" t="s">
        <v>919</v>
      </c>
      <c r="E222" s="89"/>
      <c r="F222" s="89"/>
      <c r="G222" s="89"/>
      <c r="H222" s="89"/>
      <c r="I222" s="89" t="s">
        <v>526</v>
      </c>
      <c r="J222" s="90">
        <v>10000</v>
      </c>
      <c r="K222" s="90">
        <v>12990</v>
      </c>
      <c r="L222" s="89" t="s">
        <v>1046</v>
      </c>
      <c r="M222" s="89" t="s">
        <v>528</v>
      </c>
      <c r="N222" s="89"/>
      <c r="O222" s="89"/>
      <c r="P222" s="5" t="str">
        <f t="shared" si="3"/>
        <v>1</v>
      </c>
      <c r="Q222" s="5" t="str">
        <f>INDEX(Кат!$J:$J,MATCH($A222,Кат!$A:$A,0))</f>
        <v>сергей проводка</v>
      </c>
    </row>
    <row r="223" spans="1:17" ht="90" x14ac:dyDescent="0.25">
      <c r="A223" s="88">
        <v>144984</v>
      </c>
      <c r="B223" s="88">
        <v>13308</v>
      </c>
      <c r="C223" s="89" t="s">
        <v>1390</v>
      </c>
      <c r="D223" s="89" t="s">
        <v>919</v>
      </c>
      <c r="E223" s="89"/>
      <c r="F223" s="89" t="s">
        <v>1791</v>
      </c>
      <c r="G223" s="89" t="s">
        <v>1792</v>
      </c>
      <c r="H223" s="89"/>
      <c r="I223" s="89" t="s">
        <v>526</v>
      </c>
      <c r="J223" s="90">
        <v>4000</v>
      </c>
      <c r="K223" s="90">
        <v>5590</v>
      </c>
      <c r="L223" s="89" t="s">
        <v>786</v>
      </c>
      <c r="M223" s="89" t="s">
        <v>528</v>
      </c>
      <c r="N223" s="89"/>
      <c r="O223" s="89"/>
      <c r="P223" s="5" t="str">
        <f t="shared" si="3"/>
        <v>1</v>
      </c>
      <c r="Q223" s="5" t="str">
        <f>INDEX(Кат!$J:$J,MATCH($A223,Кат!$A:$A,0))</f>
        <v>сергей проводка</v>
      </c>
    </row>
    <row r="224" spans="1:17" ht="60" x14ac:dyDescent="0.25">
      <c r="A224" s="88">
        <v>144985</v>
      </c>
      <c r="B224" s="88">
        <v>13309</v>
      </c>
      <c r="C224" s="89" t="s">
        <v>1391</v>
      </c>
      <c r="D224" s="89" t="s">
        <v>919</v>
      </c>
      <c r="E224" s="89"/>
      <c r="F224" s="89" t="s">
        <v>1793</v>
      </c>
      <c r="G224" s="89" t="s">
        <v>1794</v>
      </c>
      <c r="H224" s="89"/>
      <c r="I224" s="89" t="s">
        <v>526</v>
      </c>
      <c r="J224" s="90">
        <v>4000</v>
      </c>
      <c r="K224" s="90">
        <v>5590</v>
      </c>
      <c r="L224" s="89" t="s">
        <v>1065</v>
      </c>
      <c r="M224" s="89" t="s">
        <v>528</v>
      </c>
      <c r="N224" s="89"/>
      <c r="O224" s="89"/>
      <c r="P224" s="5" t="str">
        <f t="shared" si="3"/>
        <v>1</v>
      </c>
      <c r="Q224" s="5" t="str">
        <f>INDEX(Кат!$J:$J,MATCH($A224,Кат!$A:$A,0))</f>
        <v>сергей проводка</v>
      </c>
    </row>
    <row r="225" spans="1:17" ht="60" x14ac:dyDescent="0.25">
      <c r="A225" s="88">
        <v>426719</v>
      </c>
      <c r="B225" s="88">
        <v>426719</v>
      </c>
      <c r="C225" s="89" t="s">
        <v>1392</v>
      </c>
      <c r="D225" s="89" t="s">
        <v>919</v>
      </c>
      <c r="E225" s="89"/>
      <c r="F225" s="89" t="s">
        <v>1795</v>
      </c>
      <c r="G225" s="89" t="s">
        <v>1796</v>
      </c>
      <c r="H225" s="89" t="s">
        <v>1393</v>
      </c>
      <c r="I225" s="89" t="s">
        <v>526</v>
      </c>
      <c r="J225" s="90">
        <v>4000</v>
      </c>
      <c r="K225" s="90">
        <v>5590</v>
      </c>
      <c r="L225" s="89" t="s">
        <v>1477</v>
      </c>
      <c r="M225" s="89" t="s">
        <v>528</v>
      </c>
      <c r="N225" s="89"/>
      <c r="O225" s="89"/>
      <c r="P225" s="5" t="str">
        <f t="shared" si="3"/>
        <v>1</v>
      </c>
      <c r="Q225" s="5" t="str">
        <f>INDEX(Кат!$J:$J,MATCH($A225,Кат!$A:$A,0))</f>
        <v>сергей проводка</v>
      </c>
    </row>
    <row r="226" spans="1:17" ht="60" x14ac:dyDescent="0.25">
      <c r="A226" s="88">
        <v>426723</v>
      </c>
      <c r="B226" s="88">
        <v>426723</v>
      </c>
      <c r="C226" s="89" t="s">
        <v>1394</v>
      </c>
      <c r="D226" s="89" t="s">
        <v>919</v>
      </c>
      <c r="E226" s="89"/>
      <c r="F226" s="89" t="s">
        <v>1797</v>
      </c>
      <c r="G226" s="89" t="s">
        <v>1395</v>
      </c>
      <c r="H226" s="89" t="s">
        <v>1396</v>
      </c>
      <c r="I226" s="89" t="s">
        <v>526</v>
      </c>
      <c r="J226" s="90">
        <v>3500</v>
      </c>
      <c r="K226" s="90">
        <v>4890</v>
      </c>
      <c r="L226" s="89" t="s">
        <v>1478</v>
      </c>
      <c r="M226" s="89" t="s">
        <v>528</v>
      </c>
      <c r="N226" s="89"/>
      <c r="O226" s="89"/>
      <c r="P226" s="5" t="str">
        <f t="shared" si="3"/>
        <v>1</v>
      </c>
      <c r="Q226" s="5" t="str">
        <f>INDEX(Кат!$J:$J,MATCH($A226,Кат!$A:$A,0))</f>
        <v>сергей проводка</v>
      </c>
    </row>
    <row r="227" spans="1:17" ht="60" x14ac:dyDescent="0.25">
      <c r="A227" s="88">
        <v>144938</v>
      </c>
      <c r="B227" s="88">
        <v>18919</v>
      </c>
      <c r="C227" s="89" t="s">
        <v>1397</v>
      </c>
      <c r="D227" s="89" t="s">
        <v>919</v>
      </c>
      <c r="E227" s="89"/>
      <c r="F227" s="89" t="s">
        <v>1798</v>
      </c>
      <c r="G227" s="89" t="s">
        <v>1395</v>
      </c>
      <c r="H227" s="89"/>
      <c r="I227" s="89" t="s">
        <v>526</v>
      </c>
      <c r="J227" s="90">
        <v>3500</v>
      </c>
      <c r="K227" s="90">
        <v>4890</v>
      </c>
      <c r="L227" s="89" t="s">
        <v>1058</v>
      </c>
      <c r="M227" s="89" t="s">
        <v>528</v>
      </c>
      <c r="N227" s="89"/>
      <c r="O227" s="89"/>
      <c r="P227" s="5" t="str">
        <f t="shared" si="3"/>
        <v>1</v>
      </c>
      <c r="Q227" s="5" t="str">
        <f>INDEX(Кат!$J:$J,MATCH($A227,Кат!$A:$A,0))</f>
        <v>сергей проводка</v>
      </c>
    </row>
    <row r="228" spans="1:17" ht="60" x14ac:dyDescent="0.25">
      <c r="A228" s="88">
        <v>144994</v>
      </c>
      <c r="B228" s="88">
        <v>13392</v>
      </c>
      <c r="C228" s="89" t="s">
        <v>1192</v>
      </c>
      <c r="D228" s="89" t="s">
        <v>919</v>
      </c>
      <c r="E228" s="89"/>
      <c r="F228" s="89" t="s">
        <v>1799</v>
      </c>
      <c r="G228" s="89" t="s">
        <v>1193</v>
      </c>
      <c r="H228" s="89"/>
      <c r="I228" s="89" t="s">
        <v>526</v>
      </c>
      <c r="J228" s="90">
        <v>6500</v>
      </c>
      <c r="K228" s="90">
        <v>8790</v>
      </c>
      <c r="L228" s="89" t="s">
        <v>801</v>
      </c>
      <c r="M228" s="89" t="s">
        <v>528</v>
      </c>
      <c r="N228" s="89"/>
      <c r="O228" s="89"/>
      <c r="P228" s="5" t="str">
        <f t="shared" si="3"/>
        <v>1</v>
      </c>
      <c r="Q228" s="5" t="str">
        <f>INDEX(Кат!$J:$J,MATCH($A228,Кат!$A:$A,0))</f>
        <v>сергей проводка</v>
      </c>
    </row>
    <row r="229" spans="1:17" ht="60" x14ac:dyDescent="0.25">
      <c r="A229" s="88">
        <v>144995</v>
      </c>
      <c r="B229" s="88">
        <v>13383</v>
      </c>
      <c r="C229" s="89" t="s">
        <v>1192</v>
      </c>
      <c r="D229" s="89" t="s">
        <v>919</v>
      </c>
      <c r="E229" s="89"/>
      <c r="F229" s="89" t="s">
        <v>1800</v>
      </c>
      <c r="G229" s="89" t="s">
        <v>1193</v>
      </c>
      <c r="H229" s="89"/>
      <c r="I229" s="89" t="s">
        <v>526</v>
      </c>
      <c r="J229" s="90">
        <v>8000</v>
      </c>
      <c r="K229" s="90">
        <v>10890</v>
      </c>
      <c r="L229" s="89" t="s">
        <v>808</v>
      </c>
      <c r="M229" s="89" t="s">
        <v>528</v>
      </c>
      <c r="N229" s="89"/>
      <c r="O229" s="89"/>
      <c r="P229" s="5" t="str">
        <f t="shared" si="3"/>
        <v>1</v>
      </c>
      <c r="Q229" s="5" t="str">
        <f>INDEX(Кат!$J:$J,MATCH($A229,Кат!$A:$A,0))</f>
        <v>сергей проводка</v>
      </c>
    </row>
    <row r="230" spans="1:17" ht="60" x14ac:dyDescent="0.25">
      <c r="A230" s="88">
        <v>144997</v>
      </c>
      <c r="B230" s="88">
        <v>13389</v>
      </c>
      <c r="C230" s="89" t="s">
        <v>1192</v>
      </c>
      <c r="D230" s="89" t="s">
        <v>919</v>
      </c>
      <c r="E230" s="89"/>
      <c r="F230" s="89" t="s">
        <v>1801</v>
      </c>
      <c r="G230" s="89" t="s">
        <v>1802</v>
      </c>
      <c r="H230" s="89"/>
      <c r="I230" s="89" t="s">
        <v>526</v>
      </c>
      <c r="J230" s="90">
        <v>8000</v>
      </c>
      <c r="K230" s="90">
        <v>10890</v>
      </c>
      <c r="L230" s="89" t="s">
        <v>806</v>
      </c>
      <c r="M230" s="89" t="s">
        <v>528</v>
      </c>
      <c r="N230" s="89"/>
      <c r="O230" s="89"/>
      <c r="P230" s="5" t="str">
        <f t="shared" si="3"/>
        <v>1</v>
      </c>
      <c r="Q230" s="5" t="str">
        <f>INDEX(Кат!$J:$J,MATCH($A230,Кат!$A:$A,0))</f>
        <v>сергей проводка</v>
      </c>
    </row>
    <row r="231" spans="1:17" ht="60" x14ac:dyDescent="0.25">
      <c r="A231" s="88">
        <v>144998</v>
      </c>
      <c r="B231" s="88">
        <v>13387</v>
      </c>
      <c r="C231" s="89" t="s">
        <v>1192</v>
      </c>
      <c r="D231" s="89" t="s">
        <v>919</v>
      </c>
      <c r="E231" s="89"/>
      <c r="F231" s="89" t="s">
        <v>1803</v>
      </c>
      <c r="G231" s="89" t="s">
        <v>1781</v>
      </c>
      <c r="H231" s="89"/>
      <c r="I231" s="89" t="s">
        <v>526</v>
      </c>
      <c r="J231" s="90">
        <v>8000</v>
      </c>
      <c r="K231" s="90">
        <v>10590</v>
      </c>
      <c r="L231" s="89" t="s">
        <v>796</v>
      </c>
      <c r="M231" s="89" t="s">
        <v>528</v>
      </c>
      <c r="N231" s="89"/>
      <c r="O231" s="89"/>
      <c r="P231" s="5" t="str">
        <f t="shared" si="3"/>
        <v>1</v>
      </c>
      <c r="Q231" s="5" t="str">
        <f>INDEX(Кат!$J:$J,MATCH($A231,Кат!$A:$A,0))</f>
        <v>сергей проводка</v>
      </c>
    </row>
    <row r="232" spans="1:17" ht="60" x14ac:dyDescent="0.25">
      <c r="A232" s="88">
        <v>145000</v>
      </c>
      <c r="B232" s="88">
        <v>13390</v>
      </c>
      <c r="C232" s="89" t="s">
        <v>1192</v>
      </c>
      <c r="D232" s="89" t="s">
        <v>919</v>
      </c>
      <c r="E232" s="89"/>
      <c r="F232" s="89" t="s">
        <v>1804</v>
      </c>
      <c r="G232" s="89" t="s">
        <v>1805</v>
      </c>
      <c r="H232" s="89"/>
      <c r="I232" s="89" t="s">
        <v>526</v>
      </c>
      <c r="J232" s="90">
        <v>8000</v>
      </c>
      <c r="K232" s="90">
        <v>10890</v>
      </c>
      <c r="L232" s="89" t="s">
        <v>797</v>
      </c>
      <c r="M232" s="89" t="s">
        <v>528</v>
      </c>
      <c r="N232" s="89"/>
      <c r="O232" s="89"/>
      <c r="P232" s="5" t="str">
        <f t="shared" si="3"/>
        <v>1</v>
      </c>
      <c r="Q232" s="5" t="str">
        <f>INDEX(Кат!$J:$J,MATCH($A232,Кат!$A:$A,0))</f>
        <v>сергей проводка</v>
      </c>
    </row>
    <row r="233" spans="1:17" ht="60" x14ac:dyDescent="0.25">
      <c r="A233" s="88">
        <v>145002</v>
      </c>
      <c r="B233" s="88">
        <v>13385</v>
      </c>
      <c r="C233" s="89" t="s">
        <v>1192</v>
      </c>
      <c r="D233" s="89" t="s">
        <v>919</v>
      </c>
      <c r="E233" s="89"/>
      <c r="F233" s="89" t="s">
        <v>1806</v>
      </c>
      <c r="G233" s="89" t="s">
        <v>1807</v>
      </c>
      <c r="H233" s="89"/>
      <c r="I233" s="89" t="s">
        <v>526</v>
      </c>
      <c r="J233" s="90">
        <v>15000</v>
      </c>
      <c r="K233" s="90">
        <v>19490</v>
      </c>
      <c r="L233" s="89" t="s">
        <v>1021</v>
      </c>
      <c r="M233" s="89" t="s">
        <v>528</v>
      </c>
      <c r="N233" s="89"/>
      <c r="O233" s="89"/>
      <c r="P233" s="5" t="str">
        <f t="shared" si="3"/>
        <v>1</v>
      </c>
      <c r="Q233" s="5" t="str">
        <f>INDEX(Кат!$J:$J,MATCH($A233,Кат!$A:$A,0))</f>
        <v>сергей проводка</v>
      </c>
    </row>
    <row r="234" spans="1:17" ht="60" x14ac:dyDescent="0.25">
      <c r="A234" s="88">
        <v>144986</v>
      </c>
      <c r="B234" s="88">
        <v>13424</v>
      </c>
      <c r="C234" s="89" t="s">
        <v>1398</v>
      </c>
      <c r="D234" s="89" t="s">
        <v>919</v>
      </c>
      <c r="E234" s="89"/>
      <c r="F234" s="89" t="s">
        <v>1808</v>
      </c>
      <c r="G234" s="89" t="s">
        <v>1809</v>
      </c>
      <c r="H234" s="89"/>
      <c r="I234" s="89" t="s">
        <v>526</v>
      </c>
      <c r="J234" s="90">
        <v>6000</v>
      </c>
      <c r="K234" s="90">
        <v>8490</v>
      </c>
      <c r="L234" s="89" t="s">
        <v>1094</v>
      </c>
      <c r="M234" s="89" t="s">
        <v>528</v>
      </c>
      <c r="N234" s="89"/>
      <c r="O234" s="89"/>
      <c r="P234" s="5" t="str">
        <f t="shared" si="3"/>
        <v>1</v>
      </c>
      <c r="Q234" s="5" t="str">
        <f>INDEX(Кат!$J:$J,MATCH($A234,Кат!$A:$A,0))</f>
        <v>сергей проводка</v>
      </c>
    </row>
    <row r="235" spans="1:17" ht="60" x14ac:dyDescent="0.25">
      <c r="A235" s="88">
        <v>144990</v>
      </c>
      <c r="B235" s="88">
        <v>13363</v>
      </c>
      <c r="C235" s="89" t="s">
        <v>1399</v>
      </c>
      <c r="D235" s="89" t="s">
        <v>919</v>
      </c>
      <c r="E235" s="89"/>
      <c r="F235" s="89" t="s">
        <v>1810</v>
      </c>
      <c r="G235" s="89" t="s">
        <v>1194</v>
      </c>
      <c r="H235" s="89"/>
      <c r="I235" s="89" t="s">
        <v>526</v>
      </c>
      <c r="J235" s="90">
        <v>6500</v>
      </c>
      <c r="K235" s="90">
        <v>8790</v>
      </c>
      <c r="L235" s="89" t="s">
        <v>1096</v>
      </c>
      <c r="M235" s="89" t="s">
        <v>528</v>
      </c>
      <c r="N235" s="89"/>
      <c r="O235" s="89"/>
      <c r="P235" s="5" t="str">
        <f t="shared" si="3"/>
        <v>1</v>
      </c>
      <c r="Q235" s="5" t="str">
        <f>INDEX(Кат!$J:$J,MATCH($A235,Кат!$A:$A,0))</f>
        <v>сергей проводка</v>
      </c>
    </row>
    <row r="236" spans="1:17" ht="60" x14ac:dyDescent="0.25">
      <c r="A236" s="88">
        <v>144992</v>
      </c>
      <c r="B236" s="88">
        <v>13357</v>
      </c>
      <c r="C236" s="89" t="s">
        <v>1400</v>
      </c>
      <c r="D236" s="89" t="s">
        <v>919</v>
      </c>
      <c r="E236" s="89"/>
      <c r="F236" s="89" t="s">
        <v>1811</v>
      </c>
      <c r="G236" s="89" t="s">
        <v>1194</v>
      </c>
      <c r="H236" s="89"/>
      <c r="I236" s="89" t="s">
        <v>526</v>
      </c>
      <c r="J236" s="90">
        <v>13000</v>
      </c>
      <c r="K236" s="90">
        <v>16890</v>
      </c>
      <c r="L236" s="89" t="s">
        <v>1044</v>
      </c>
      <c r="M236" s="89" t="s">
        <v>528</v>
      </c>
      <c r="N236" s="89"/>
      <c r="O236" s="89"/>
      <c r="P236" s="5" t="str">
        <f t="shared" si="3"/>
        <v>1</v>
      </c>
      <c r="Q236" s="5" t="str">
        <f>INDEX(Кат!$J:$J,MATCH($A236,Кат!$A:$A,0))</f>
        <v>сергей проводка</v>
      </c>
    </row>
    <row r="237" spans="1:17" ht="60" x14ac:dyDescent="0.25">
      <c r="A237" s="88">
        <v>144991</v>
      </c>
      <c r="B237" s="88">
        <v>13358</v>
      </c>
      <c r="C237" s="89" t="s">
        <v>1401</v>
      </c>
      <c r="D237" s="89" t="s">
        <v>919</v>
      </c>
      <c r="E237" s="89"/>
      <c r="F237" s="89" t="s">
        <v>1812</v>
      </c>
      <c r="G237" s="89" t="s">
        <v>1194</v>
      </c>
      <c r="H237" s="89"/>
      <c r="I237" s="89" t="s">
        <v>526</v>
      </c>
      <c r="J237" s="90">
        <v>9000</v>
      </c>
      <c r="K237" s="90">
        <v>11890</v>
      </c>
      <c r="L237" s="89" t="s">
        <v>1099</v>
      </c>
      <c r="M237" s="89" t="s">
        <v>528</v>
      </c>
      <c r="N237" s="89"/>
      <c r="O237" s="89"/>
      <c r="P237" s="5" t="str">
        <f t="shared" si="3"/>
        <v>1</v>
      </c>
      <c r="Q237" s="5" t="str">
        <f>INDEX(Кат!$J:$J,MATCH($A237,Кат!$A:$A,0))</f>
        <v>сергей проводка</v>
      </c>
    </row>
    <row r="238" spans="1:17" ht="60" x14ac:dyDescent="0.25">
      <c r="A238" s="88">
        <v>144989</v>
      </c>
      <c r="B238" s="88">
        <v>13394</v>
      </c>
      <c r="C238" s="89" t="s">
        <v>1402</v>
      </c>
      <c r="D238" s="89" t="s">
        <v>919</v>
      </c>
      <c r="E238" s="89"/>
      <c r="F238" s="89" t="s">
        <v>1813</v>
      </c>
      <c r="G238" s="89" t="s">
        <v>1814</v>
      </c>
      <c r="H238" s="89"/>
      <c r="I238" s="89" t="s">
        <v>526</v>
      </c>
      <c r="J238" s="90">
        <v>13000</v>
      </c>
      <c r="K238" s="90">
        <v>17790</v>
      </c>
      <c r="L238" s="89" t="s">
        <v>879</v>
      </c>
      <c r="M238" s="89" t="s">
        <v>920</v>
      </c>
      <c r="N238" s="89"/>
      <c r="O238" s="89" t="s">
        <v>919</v>
      </c>
      <c r="P238" s="5" t="str">
        <f t="shared" si="3"/>
        <v>0</v>
      </c>
      <c r="Q238" s="5" t="str">
        <f>INDEX(Кат!$J:$J,MATCH($A238,Кат!$A:$A,0))</f>
        <v>сергей проводка</v>
      </c>
    </row>
    <row r="239" spans="1:17" ht="60" x14ac:dyDescent="0.25">
      <c r="A239" s="88">
        <v>144987</v>
      </c>
      <c r="B239" s="88">
        <v>13411</v>
      </c>
      <c r="C239" s="89" t="s">
        <v>1403</v>
      </c>
      <c r="D239" s="89" t="s">
        <v>919</v>
      </c>
      <c r="E239" s="89"/>
      <c r="F239" s="89" t="s">
        <v>1815</v>
      </c>
      <c r="G239" s="89" t="s">
        <v>1814</v>
      </c>
      <c r="H239" s="89"/>
      <c r="I239" s="89" t="s">
        <v>526</v>
      </c>
      <c r="J239" s="90">
        <v>8000</v>
      </c>
      <c r="K239" s="90">
        <v>10890</v>
      </c>
      <c r="L239" s="89" t="s">
        <v>1095</v>
      </c>
      <c r="M239" s="89" t="s">
        <v>528</v>
      </c>
      <c r="N239" s="89"/>
      <c r="O239" s="89"/>
      <c r="P239" s="5" t="str">
        <f t="shared" si="3"/>
        <v>1</v>
      </c>
      <c r="Q239" s="5" t="str">
        <f>INDEX(Кат!$J:$J,MATCH($A239,Кат!$A:$A,0))</f>
        <v>сергей проводка</v>
      </c>
    </row>
    <row r="240" spans="1:17" ht="60" x14ac:dyDescent="0.25">
      <c r="A240" s="88">
        <v>144988</v>
      </c>
      <c r="B240" s="88">
        <v>13415</v>
      </c>
      <c r="C240" s="89" t="s">
        <v>1404</v>
      </c>
      <c r="D240" s="89" t="s">
        <v>919</v>
      </c>
      <c r="E240" s="89"/>
      <c r="F240" s="89" t="s">
        <v>1816</v>
      </c>
      <c r="G240" s="89" t="s">
        <v>1814</v>
      </c>
      <c r="H240" s="89"/>
      <c r="I240" s="89" t="s">
        <v>526</v>
      </c>
      <c r="J240" s="90">
        <v>8000</v>
      </c>
      <c r="K240" s="90">
        <v>10890</v>
      </c>
      <c r="L240" s="89" t="s">
        <v>886</v>
      </c>
      <c r="M240" s="89" t="s">
        <v>528</v>
      </c>
      <c r="N240" s="89"/>
      <c r="O240" s="89"/>
      <c r="P240" s="5" t="str">
        <f t="shared" si="3"/>
        <v>1</v>
      </c>
      <c r="Q240" s="5" t="str">
        <f>INDEX(Кат!$J:$J,MATCH($A240,Кат!$A:$A,0))</f>
        <v>сергей проводка</v>
      </c>
    </row>
    <row r="241" spans="1:17" ht="60" x14ac:dyDescent="0.25">
      <c r="A241" s="88">
        <v>426428</v>
      </c>
      <c r="B241" s="88">
        <v>426428</v>
      </c>
      <c r="C241" s="89" t="s">
        <v>1405</v>
      </c>
      <c r="D241" s="89" t="s">
        <v>919</v>
      </c>
      <c r="E241" s="89"/>
      <c r="F241" s="89" t="s">
        <v>1817</v>
      </c>
      <c r="G241" s="89" t="s">
        <v>1654</v>
      </c>
      <c r="H241" s="89" t="s">
        <v>1406</v>
      </c>
      <c r="I241" s="89" t="s">
        <v>526</v>
      </c>
      <c r="J241" s="90">
        <v>1800</v>
      </c>
      <c r="K241" s="90">
        <v>2390</v>
      </c>
      <c r="L241" s="89" t="s">
        <v>1479</v>
      </c>
      <c r="M241" s="89" t="s">
        <v>528</v>
      </c>
      <c r="N241" s="89"/>
      <c r="O241" s="89"/>
      <c r="P241" s="5" t="str">
        <f t="shared" si="3"/>
        <v>1</v>
      </c>
      <c r="Q241" s="5" t="str">
        <f>INDEX(Кат!$J:$J,MATCH($A241,Кат!$A:$A,0))</f>
        <v>сергей проводка</v>
      </c>
    </row>
    <row r="242" spans="1:17" ht="45" x14ac:dyDescent="0.25">
      <c r="A242" s="88">
        <v>145006</v>
      </c>
      <c r="B242" s="88">
        <v>13307</v>
      </c>
      <c r="C242" s="89" t="s">
        <v>1407</v>
      </c>
      <c r="D242" s="89" t="s">
        <v>919</v>
      </c>
      <c r="E242" s="89"/>
      <c r="F242" s="89" t="s">
        <v>1818</v>
      </c>
      <c r="G242" s="89" t="s">
        <v>1001</v>
      </c>
      <c r="H242" s="89"/>
      <c r="I242" s="89" t="s">
        <v>526</v>
      </c>
      <c r="J242" s="90">
        <v>400</v>
      </c>
      <c r="K242" s="90">
        <v>699</v>
      </c>
      <c r="L242" s="89"/>
      <c r="M242" s="89" t="s">
        <v>528</v>
      </c>
      <c r="N242" s="89"/>
      <c r="O242" s="89"/>
      <c r="P242" s="5" t="str">
        <f t="shared" si="3"/>
        <v>1</v>
      </c>
      <c r="Q242" s="5" t="str">
        <f>INDEX(Кат!$J:$J,MATCH($A242,Кат!$A:$A,0))</f>
        <v>сергей проводка</v>
      </c>
    </row>
    <row r="243" spans="1:17" ht="60" x14ac:dyDescent="0.25">
      <c r="A243" s="88">
        <v>145005</v>
      </c>
      <c r="B243" s="88">
        <v>13306</v>
      </c>
      <c r="C243" s="89" t="s">
        <v>1408</v>
      </c>
      <c r="D243" s="89" t="s">
        <v>919</v>
      </c>
      <c r="E243" s="89"/>
      <c r="F243" s="89" t="s">
        <v>1819</v>
      </c>
      <c r="G243" s="89" t="s">
        <v>1002</v>
      </c>
      <c r="H243" s="89"/>
      <c r="I243" s="89" t="s">
        <v>526</v>
      </c>
      <c r="J243" s="90">
        <v>400</v>
      </c>
      <c r="K243" s="90">
        <v>659</v>
      </c>
      <c r="L243" s="89" t="s">
        <v>1139</v>
      </c>
      <c r="M243" s="89" t="s">
        <v>528</v>
      </c>
      <c r="N243" s="89"/>
      <c r="O243" s="89"/>
      <c r="P243" s="5" t="str">
        <f t="shared" si="3"/>
        <v>1</v>
      </c>
      <c r="Q243" s="5" t="str">
        <f>INDEX(Кат!$J:$J,MATCH($A243,Кат!$A:$A,0))</f>
        <v>сергей проводка</v>
      </c>
    </row>
    <row r="244" spans="1:17" ht="60" x14ac:dyDescent="0.25">
      <c r="A244" s="88">
        <v>144948</v>
      </c>
      <c r="B244" s="88">
        <v>13330</v>
      </c>
      <c r="C244" s="89" t="s">
        <v>1409</v>
      </c>
      <c r="D244" s="89" t="s">
        <v>919</v>
      </c>
      <c r="E244" s="89"/>
      <c r="F244" s="89" t="s">
        <v>1820</v>
      </c>
      <c r="G244" s="89" t="s">
        <v>1821</v>
      </c>
      <c r="H244" s="89"/>
      <c r="I244" s="89" t="s">
        <v>526</v>
      </c>
      <c r="J244" s="90">
        <v>400</v>
      </c>
      <c r="K244" s="90">
        <v>699</v>
      </c>
      <c r="L244" s="89" t="s">
        <v>1140</v>
      </c>
      <c r="M244" s="89" t="s">
        <v>528</v>
      </c>
      <c r="N244" s="89"/>
      <c r="O244" s="89"/>
      <c r="P244" s="5" t="str">
        <f t="shared" si="3"/>
        <v>1</v>
      </c>
      <c r="Q244" s="5" t="str">
        <f>INDEX(Кат!$J:$J,MATCH($A244,Кат!$A:$A,0))</f>
        <v>сергей проводка</v>
      </c>
    </row>
    <row r="245" spans="1:17" ht="60" x14ac:dyDescent="0.25">
      <c r="A245" s="88">
        <v>145004</v>
      </c>
      <c r="B245" s="88">
        <v>13336</v>
      </c>
      <c r="C245" s="89" t="s">
        <v>1410</v>
      </c>
      <c r="D245" s="89" t="s">
        <v>919</v>
      </c>
      <c r="E245" s="89"/>
      <c r="F245" s="89" t="s">
        <v>1822</v>
      </c>
      <c r="G245" s="89" t="s">
        <v>1195</v>
      </c>
      <c r="H245" s="89"/>
      <c r="I245" s="89" t="s">
        <v>526</v>
      </c>
      <c r="J245" s="90">
        <v>400</v>
      </c>
      <c r="K245" s="90">
        <v>659</v>
      </c>
      <c r="L245" s="89" t="s">
        <v>1142</v>
      </c>
      <c r="M245" s="89" t="s">
        <v>528</v>
      </c>
      <c r="N245" s="89"/>
      <c r="O245" s="89"/>
      <c r="P245" s="5" t="str">
        <f t="shared" si="3"/>
        <v>1</v>
      </c>
      <c r="Q245" s="5" t="str">
        <f>INDEX(Кат!$J:$J,MATCH($A245,Кат!$A:$A,0))</f>
        <v>сергей проводка</v>
      </c>
    </row>
    <row r="246" spans="1:17" ht="60" x14ac:dyDescent="0.25">
      <c r="A246" s="88">
        <v>145007</v>
      </c>
      <c r="B246" s="88">
        <v>13436</v>
      </c>
      <c r="C246" s="89" t="s">
        <v>1003</v>
      </c>
      <c r="D246" s="89" t="s">
        <v>919</v>
      </c>
      <c r="E246" s="89"/>
      <c r="F246" s="89" t="s">
        <v>1823</v>
      </c>
      <c r="G246" s="89" t="s">
        <v>1004</v>
      </c>
      <c r="H246" s="89"/>
      <c r="I246" s="89" t="s">
        <v>526</v>
      </c>
      <c r="J246" s="90">
        <v>400</v>
      </c>
      <c r="K246" s="90">
        <v>659</v>
      </c>
      <c r="L246" s="89" t="s">
        <v>1138</v>
      </c>
      <c r="M246" s="89" t="s">
        <v>528</v>
      </c>
      <c r="N246" s="89"/>
      <c r="O246" s="89"/>
      <c r="P246" s="5" t="str">
        <f t="shared" ref="P246" si="4">_xlfn.CONCAT(M246,IF(N246&lt;&gt;"",_xlfn.CONCAT("ск",N246),""))</f>
        <v>1</v>
      </c>
      <c r="Q246" s="5" t="str">
        <f>INDEX(Кат!$J:$J,MATCH($A246,Кат!$A:$A,0))</f>
        <v>сергей проводка</v>
      </c>
    </row>
    <row r="247" spans="1:17" ht="60" x14ac:dyDescent="0.25">
      <c r="A247" s="88">
        <v>145008</v>
      </c>
      <c r="B247" s="88">
        <v>13412</v>
      </c>
      <c r="C247" s="89" t="s">
        <v>1005</v>
      </c>
      <c r="D247" s="89" t="s">
        <v>919</v>
      </c>
      <c r="E247" s="89"/>
      <c r="F247" s="89" t="s">
        <v>1824</v>
      </c>
      <c r="G247" s="89" t="s">
        <v>1006</v>
      </c>
      <c r="H247" s="89"/>
      <c r="I247" s="89" t="s">
        <v>526</v>
      </c>
      <c r="J247" s="90">
        <v>400</v>
      </c>
      <c r="K247" s="90">
        <v>659</v>
      </c>
      <c r="L247" s="89" t="s">
        <v>1137</v>
      </c>
      <c r="M247" s="89" t="s">
        <v>528</v>
      </c>
      <c r="N247" s="89"/>
      <c r="O247" s="89"/>
      <c r="P247" s="5" t="str">
        <f t="shared" ref="P247:P278" si="5">_xlfn.CONCAT(M247,IF(N247&lt;&gt;"",_xlfn.CONCAT("ск",N247),""))</f>
        <v>1</v>
      </c>
      <c r="Q247" s="5" t="str">
        <f>INDEX(Кат!$J:$J,MATCH($A247,Кат!$A:$A,0))</f>
        <v>сергей проводка</v>
      </c>
    </row>
    <row r="248" spans="1:17" ht="60" x14ac:dyDescent="0.25">
      <c r="A248" s="88">
        <v>426942</v>
      </c>
      <c r="B248" s="88">
        <v>426942</v>
      </c>
      <c r="C248" s="89" t="s">
        <v>1411</v>
      </c>
      <c r="D248" s="89" t="s">
        <v>919</v>
      </c>
      <c r="E248" s="89"/>
      <c r="F248" s="89" t="s">
        <v>1825</v>
      </c>
      <c r="G248" s="89" t="s">
        <v>1412</v>
      </c>
      <c r="H248" s="89" t="s">
        <v>1413</v>
      </c>
      <c r="I248" s="89" t="s">
        <v>526</v>
      </c>
      <c r="J248" s="90">
        <v>8000</v>
      </c>
      <c r="K248" s="90">
        <v>12290</v>
      </c>
      <c r="L248" s="89" t="s">
        <v>1414</v>
      </c>
      <c r="M248" s="89" t="s">
        <v>528</v>
      </c>
      <c r="N248" s="89"/>
      <c r="O248" s="89"/>
      <c r="P248" s="5" t="str">
        <f t="shared" si="5"/>
        <v>1</v>
      </c>
      <c r="Q248" s="5" t="str">
        <f>INDEX(Кат!$J:$J,MATCH($A248,Кат!$A:$A,0))</f>
        <v>сергей проводка</v>
      </c>
    </row>
    <row r="249" spans="1:17" ht="45" x14ac:dyDescent="0.25">
      <c r="A249" s="88">
        <v>145009</v>
      </c>
      <c r="B249" s="88">
        <v>13233</v>
      </c>
      <c r="C249" s="89" t="s">
        <v>1415</v>
      </c>
      <c r="D249" s="89" t="s">
        <v>919</v>
      </c>
      <c r="E249" s="89"/>
      <c r="F249" s="89" t="s">
        <v>1826</v>
      </c>
      <c r="G249" s="89" t="s">
        <v>1827</v>
      </c>
      <c r="H249" s="89"/>
      <c r="I249" s="89" t="s">
        <v>526</v>
      </c>
      <c r="J249" s="90">
        <v>7000</v>
      </c>
      <c r="K249" s="90">
        <v>9490</v>
      </c>
      <c r="L249" s="89" t="s">
        <v>1086</v>
      </c>
      <c r="M249" s="89" t="s">
        <v>528</v>
      </c>
      <c r="N249" s="89"/>
      <c r="O249" s="89"/>
      <c r="P249" s="5" t="str">
        <f t="shared" si="5"/>
        <v>1</v>
      </c>
      <c r="Q249" s="5" t="str">
        <f>INDEX(Кат!$J:$J,MATCH($A249,Кат!$A:$A,0))</f>
        <v>сергей проводка</v>
      </c>
    </row>
    <row r="250" spans="1:17" ht="75" x14ac:dyDescent="0.25">
      <c r="A250" s="88">
        <v>426426</v>
      </c>
      <c r="B250" s="88">
        <v>426426</v>
      </c>
      <c r="C250" s="89" t="s">
        <v>1416</v>
      </c>
      <c r="D250" s="89" t="s">
        <v>919</v>
      </c>
      <c r="E250" s="89"/>
      <c r="F250" s="89" t="s">
        <v>1828</v>
      </c>
      <c r="G250" s="89" t="s">
        <v>1417</v>
      </c>
      <c r="H250" s="89" t="s">
        <v>1418</v>
      </c>
      <c r="I250" s="89" t="s">
        <v>526</v>
      </c>
      <c r="J250" s="90">
        <v>500</v>
      </c>
      <c r="K250" s="90">
        <v>859</v>
      </c>
      <c r="L250" s="89" t="s">
        <v>1480</v>
      </c>
      <c r="M250" s="89" t="s">
        <v>528</v>
      </c>
      <c r="N250" s="89"/>
      <c r="O250" s="89"/>
      <c r="P250" s="5" t="str">
        <f t="shared" si="5"/>
        <v>1</v>
      </c>
      <c r="Q250" s="5" t="str">
        <f>INDEX(Кат!$J:$J,MATCH($A250,Кат!$A:$A,0))</f>
        <v>сергей проводка</v>
      </c>
    </row>
    <row r="251" spans="1:17" ht="90" x14ac:dyDescent="0.25">
      <c r="A251" s="88">
        <v>426435</v>
      </c>
      <c r="B251" s="88">
        <v>426435</v>
      </c>
      <c r="C251" s="89" t="s">
        <v>1419</v>
      </c>
      <c r="D251" s="89" t="s">
        <v>919</v>
      </c>
      <c r="E251" s="89"/>
      <c r="F251" s="89" t="s">
        <v>1829</v>
      </c>
      <c r="G251" s="89" t="s">
        <v>1420</v>
      </c>
      <c r="H251" s="89" t="s">
        <v>1421</v>
      </c>
      <c r="I251" s="89" t="s">
        <v>526</v>
      </c>
      <c r="J251" s="90">
        <v>250</v>
      </c>
      <c r="K251" s="90">
        <v>519</v>
      </c>
      <c r="L251" s="89" t="s">
        <v>1481</v>
      </c>
      <c r="M251" s="89" t="s">
        <v>528</v>
      </c>
      <c r="N251" s="89"/>
      <c r="O251" s="89"/>
      <c r="P251" s="5" t="str">
        <f t="shared" si="5"/>
        <v>1</v>
      </c>
      <c r="Q251" s="5" t="str">
        <f>INDEX(Кат!$J:$J,MATCH($A251,Кат!$A:$A,0))</f>
        <v>сергей проводка</v>
      </c>
    </row>
    <row r="252" spans="1:17" ht="60" x14ac:dyDescent="0.25">
      <c r="A252" s="88">
        <v>312005</v>
      </c>
      <c r="B252" s="88">
        <v>312005</v>
      </c>
      <c r="C252" s="89" t="s">
        <v>1422</v>
      </c>
      <c r="D252" s="89" t="s">
        <v>919</v>
      </c>
      <c r="E252" s="89"/>
      <c r="F252" s="89"/>
      <c r="G252" s="89"/>
      <c r="H252" s="89"/>
      <c r="I252" s="89" t="s">
        <v>526</v>
      </c>
      <c r="J252" s="90">
        <v>700</v>
      </c>
      <c r="K252" s="90">
        <v>1690</v>
      </c>
      <c r="L252" s="89" t="s">
        <v>1016</v>
      </c>
      <c r="M252" s="89" t="s">
        <v>528</v>
      </c>
      <c r="N252" s="89"/>
      <c r="O252" s="89"/>
      <c r="P252" s="5" t="str">
        <f t="shared" si="5"/>
        <v>1</v>
      </c>
      <c r="Q252" s="5" t="str">
        <f>INDEX(Кат!$J:$J,MATCH($A252,Кат!$A:$A,0))</f>
        <v>сергей проводка</v>
      </c>
    </row>
    <row r="253" spans="1:17" ht="45" x14ac:dyDescent="0.25">
      <c r="A253" s="88">
        <v>153100</v>
      </c>
      <c r="B253" s="88">
        <v>32646</v>
      </c>
      <c r="C253" s="89" t="s">
        <v>1423</v>
      </c>
      <c r="D253" s="89" t="s">
        <v>919</v>
      </c>
      <c r="E253" s="89"/>
      <c r="F253" s="89" t="s">
        <v>564</v>
      </c>
      <c r="G253" s="89" t="s">
        <v>1830</v>
      </c>
      <c r="H253" s="89"/>
      <c r="I253" s="89" t="s">
        <v>526</v>
      </c>
      <c r="J253" s="90">
        <v>2500</v>
      </c>
      <c r="K253" s="90">
        <v>3490</v>
      </c>
      <c r="L253" s="89"/>
      <c r="M253" s="89" t="s">
        <v>528</v>
      </c>
      <c r="N253" s="89"/>
      <c r="O253" s="89"/>
      <c r="P253" s="5" t="str">
        <f t="shared" si="5"/>
        <v>1</v>
      </c>
      <c r="Q253" s="5" t="str">
        <f>INDEX(Кат!$J:$J,MATCH($A253,Кат!$A:$A,0))</f>
        <v>сергей проводка</v>
      </c>
    </row>
    <row r="254" spans="1:17" ht="30" x14ac:dyDescent="0.25">
      <c r="A254" s="88">
        <v>415290</v>
      </c>
      <c r="B254" s="88">
        <v>415290</v>
      </c>
      <c r="C254" s="89" t="s">
        <v>1204</v>
      </c>
      <c r="D254" s="89" t="s">
        <v>919</v>
      </c>
      <c r="E254" s="89"/>
      <c r="F254" s="89"/>
      <c r="G254" s="89"/>
      <c r="H254" s="89"/>
      <c r="I254" s="89" t="s">
        <v>526</v>
      </c>
      <c r="J254" s="90">
        <v>1500</v>
      </c>
      <c r="K254" s="90">
        <v>2290</v>
      </c>
      <c r="L254" s="89"/>
      <c r="M254" s="89" t="s">
        <v>528</v>
      </c>
      <c r="N254" s="89"/>
      <c r="O254" s="89"/>
      <c r="P254" s="5" t="str">
        <f t="shared" si="5"/>
        <v>1</v>
      </c>
      <c r="Q254" s="5" t="str">
        <f>INDEX(Кат!$J:$J,MATCH($A254,Кат!$A:$A,0))</f>
        <v>сергей проводка</v>
      </c>
    </row>
    <row r="255" spans="1:17" ht="45" x14ac:dyDescent="0.25">
      <c r="A255" s="88">
        <v>155901</v>
      </c>
      <c r="B255" s="88">
        <v>13301</v>
      </c>
      <c r="C255" s="89" t="s">
        <v>1007</v>
      </c>
      <c r="D255" s="89" t="s">
        <v>919</v>
      </c>
      <c r="E255" s="89"/>
      <c r="F255" s="89" t="s">
        <v>1831</v>
      </c>
      <c r="G255" s="89" t="s">
        <v>925</v>
      </c>
      <c r="H255" s="89"/>
      <c r="I255" s="89" t="s">
        <v>526</v>
      </c>
      <c r="J255" s="90">
        <v>600</v>
      </c>
      <c r="K255" s="90">
        <v>959</v>
      </c>
      <c r="L255" s="89" t="s">
        <v>1125</v>
      </c>
      <c r="M255" s="89" t="s">
        <v>528</v>
      </c>
      <c r="N255" s="89"/>
      <c r="O255" s="89"/>
      <c r="P255" s="5" t="str">
        <f t="shared" si="5"/>
        <v>1</v>
      </c>
      <c r="Q255" s="5" t="str">
        <f>INDEX(Кат!$J:$J,MATCH($A255,Кат!$A:$A,0))</f>
        <v>сергей проводка</v>
      </c>
    </row>
    <row r="256" spans="1:17" ht="45" x14ac:dyDescent="0.25">
      <c r="A256" s="88">
        <v>155900</v>
      </c>
      <c r="B256" s="88">
        <v>13315</v>
      </c>
      <c r="C256" s="89" t="s">
        <v>1196</v>
      </c>
      <c r="D256" s="89" t="s">
        <v>919</v>
      </c>
      <c r="E256" s="89"/>
      <c r="F256" s="89" t="s">
        <v>1832</v>
      </c>
      <c r="G256" s="89" t="s">
        <v>924</v>
      </c>
      <c r="H256" s="89"/>
      <c r="I256" s="89" t="s">
        <v>526</v>
      </c>
      <c r="J256" s="90">
        <v>500</v>
      </c>
      <c r="K256" s="90">
        <v>859</v>
      </c>
      <c r="L256" s="89" t="s">
        <v>1135</v>
      </c>
      <c r="M256" s="89" t="s">
        <v>528</v>
      </c>
      <c r="N256" s="89"/>
      <c r="O256" s="89"/>
      <c r="P256" s="5" t="str">
        <f t="shared" si="5"/>
        <v>1</v>
      </c>
      <c r="Q256" s="5" t="str">
        <f>INDEX(Кат!$J:$J,MATCH($A256,Кат!$A:$A,0))</f>
        <v>сергей проводка</v>
      </c>
    </row>
    <row r="257" spans="1:17" ht="60" x14ac:dyDescent="0.25">
      <c r="A257" s="88">
        <v>155902</v>
      </c>
      <c r="B257" s="88">
        <v>13421</v>
      </c>
      <c r="C257" s="89" t="s">
        <v>1008</v>
      </c>
      <c r="D257" s="89" t="s">
        <v>919</v>
      </c>
      <c r="E257" s="89"/>
      <c r="F257" s="89" t="s">
        <v>1833</v>
      </c>
      <c r="G257" s="89" t="s">
        <v>926</v>
      </c>
      <c r="H257" s="89"/>
      <c r="I257" s="89" t="s">
        <v>526</v>
      </c>
      <c r="J257" s="90">
        <v>550</v>
      </c>
      <c r="K257" s="90">
        <v>859</v>
      </c>
      <c r="L257" s="89" t="s">
        <v>1124</v>
      </c>
      <c r="M257" s="89" t="s">
        <v>528</v>
      </c>
      <c r="N257" s="89"/>
      <c r="O257" s="89"/>
      <c r="P257" s="5" t="str">
        <f t="shared" si="5"/>
        <v>1</v>
      </c>
      <c r="Q257" s="5" t="str">
        <f>INDEX(Кат!$J:$J,MATCH($A257,Кат!$A:$A,0))</f>
        <v>сергей проводка</v>
      </c>
    </row>
    <row r="258" spans="1:17" ht="45" x14ac:dyDescent="0.25">
      <c r="A258" s="88">
        <v>155903</v>
      </c>
      <c r="B258" s="88">
        <v>13361</v>
      </c>
      <c r="C258" s="89" t="s">
        <v>1197</v>
      </c>
      <c r="D258" s="89" t="s">
        <v>919</v>
      </c>
      <c r="E258" s="89"/>
      <c r="F258" s="89" t="s">
        <v>1834</v>
      </c>
      <c r="G258" s="89" t="s">
        <v>927</v>
      </c>
      <c r="H258" s="89"/>
      <c r="I258" s="89" t="s">
        <v>526</v>
      </c>
      <c r="J258" s="90">
        <v>550</v>
      </c>
      <c r="K258" s="90">
        <v>859</v>
      </c>
      <c r="L258" s="89" t="s">
        <v>1127</v>
      </c>
      <c r="M258" s="89" t="s">
        <v>528</v>
      </c>
      <c r="N258" s="89"/>
      <c r="O258" s="89"/>
      <c r="P258" s="5" t="str">
        <f t="shared" si="5"/>
        <v>1</v>
      </c>
      <c r="Q258" s="5" t="str">
        <f>INDEX(Кат!$J:$J,MATCH($A258,Кат!$A:$A,0))</f>
        <v>сергей проводка</v>
      </c>
    </row>
    <row r="259" spans="1:17" ht="45" x14ac:dyDescent="0.25">
      <c r="A259" s="88">
        <v>158955</v>
      </c>
      <c r="B259" s="88">
        <v>54230</v>
      </c>
      <c r="C259" s="89" t="s">
        <v>1424</v>
      </c>
      <c r="D259" s="89" t="s">
        <v>919</v>
      </c>
      <c r="E259" s="89"/>
      <c r="F259" s="89"/>
      <c r="G259" s="89"/>
      <c r="H259" s="89"/>
      <c r="I259" s="89" t="s">
        <v>526</v>
      </c>
      <c r="J259" s="90"/>
      <c r="K259" s="90">
        <v>0</v>
      </c>
      <c r="L259" s="89"/>
      <c r="M259" s="89" t="s">
        <v>920</v>
      </c>
      <c r="N259" s="89"/>
      <c r="O259" s="89"/>
      <c r="P259" s="5" t="str">
        <f t="shared" si="5"/>
        <v>0</v>
      </c>
      <c r="Q259" s="5" t="str">
        <f>INDEX(Кат!$J:$J,MATCH($A259,Кат!$A:$A,0))</f>
        <v>сергей проводка</v>
      </c>
    </row>
    <row r="260" spans="1:17" ht="60" x14ac:dyDescent="0.25">
      <c r="A260" s="88">
        <v>160419</v>
      </c>
      <c r="B260" s="88">
        <v>125475</v>
      </c>
      <c r="C260" s="89" t="s">
        <v>1425</v>
      </c>
      <c r="D260" s="89" t="s">
        <v>919</v>
      </c>
      <c r="E260" s="89"/>
      <c r="F260" s="89"/>
      <c r="G260" s="89"/>
      <c r="H260" s="89"/>
      <c r="I260" s="89" t="s">
        <v>526</v>
      </c>
      <c r="J260" s="90">
        <v>260</v>
      </c>
      <c r="K260" s="90">
        <v>519</v>
      </c>
      <c r="L260" s="89" t="s">
        <v>816</v>
      </c>
      <c r="M260" s="89" t="s">
        <v>528</v>
      </c>
      <c r="N260" s="89"/>
      <c r="O260" s="89"/>
      <c r="P260" s="5" t="str">
        <f t="shared" si="5"/>
        <v>1</v>
      </c>
      <c r="Q260" s="5" t="str">
        <f>INDEX(Кат!$J:$J,MATCH($A260,Кат!$A:$A,0))</f>
        <v>сергей проводка</v>
      </c>
    </row>
    <row r="261" spans="1:17" ht="45" x14ac:dyDescent="0.25">
      <c r="A261" s="88">
        <v>163978</v>
      </c>
      <c r="B261" s="88">
        <v>14185</v>
      </c>
      <c r="C261" s="89" t="s">
        <v>1009</v>
      </c>
      <c r="D261" s="89" t="s">
        <v>919</v>
      </c>
      <c r="E261" s="89"/>
      <c r="F261" s="89" t="s">
        <v>1835</v>
      </c>
      <c r="G261" s="89" t="s">
        <v>1010</v>
      </c>
      <c r="H261" s="89"/>
      <c r="I261" s="89" t="s">
        <v>526</v>
      </c>
      <c r="J261" s="90">
        <v>400</v>
      </c>
      <c r="K261" s="90">
        <v>699</v>
      </c>
      <c r="L261" s="89"/>
      <c r="M261" s="89" t="s">
        <v>528</v>
      </c>
      <c r="N261" s="89"/>
      <c r="O261" s="89"/>
      <c r="P261" s="5" t="str">
        <f t="shared" si="5"/>
        <v>1</v>
      </c>
      <c r="Q261" s="5" t="str">
        <f>INDEX(Кат!$J:$J,MATCH($A261,Кат!$A:$A,0))</f>
        <v>сергей проводка</v>
      </c>
    </row>
    <row r="262" spans="1:17" ht="60" x14ac:dyDescent="0.25">
      <c r="A262" s="88">
        <v>163979</v>
      </c>
      <c r="B262" s="88">
        <v>13268</v>
      </c>
      <c r="C262" s="89" t="s">
        <v>1011</v>
      </c>
      <c r="D262" s="89" t="s">
        <v>919</v>
      </c>
      <c r="E262" s="89"/>
      <c r="F262" s="89" t="s">
        <v>1836</v>
      </c>
      <c r="G262" s="89" t="s">
        <v>1837</v>
      </c>
      <c r="H262" s="89"/>
      <c r="I262" s="89" t="s">
        <v>526</v>
      </c>
      <c r="J262" s="90">
        <v>450</v>
      </c>
      <c r="K262" s="90">
        <v>759</v>
      </c>
      <c r="L262" s="89" t="s">
        <v>1131</v>
      </c>
      <c r="M262" s="89" t="s">
        <v>528</v>
      </c>
      <c r="N262" s="89"/>
      <c r="O262" s="89"/>
      <c r="P262" s="5" t="str">
        <f t="shared" si="5"/>
        <v>1</v>
      </c>
      <c r="Q262" s="5" t="str">
        <f>INDEX(Кат!$J:$J,MATCH($A262,Кат!$A:$A,0))</f>
        <v>сергей проводка</v>
      </c>
    </row>
    <row r="263" spans="1:17" ht="60" x14ac:dyDescent="0.25">
      <c r="A263" s="88">
        <v>164568</v>
      </c>
      <c r="B263" s="88">
        <v>10142</v>
      </c>
      <c r="C263" s="89" t="s">
        <v>559</v>
      </c>
      <c r="D263" s="89" t="s">
        <v>919</v>
      </c>
      <c r="E263" s="89" t="s">
        <v>1838</v>
      </c>
      <c r="F263" s="89" t="s">
        <v>873</v>
      </c>
      <c r="G263" s="89" t="s">
        <v>1839</v>
      </c>
      <c r="H263" s="89"/>
      <c r="I263" s="89" t="s">
        <v>526</v>
      </c>
      <c r="J263" s="90">
        <v>5000</v>
      </c>
      <c r="K263" s="90">
        <v>7790</v>
      </c>
      <c r="L263" s="89" t="s">
        <v>1070</v>
      </c>
      <c r="M263" s="89" t="s">
        <v>528</v>
      </c>
      <c r="N263" s="89" t="s">
        <v>556</v>
      </c>
      <c r="O263" s="89"/>
      <c r="P263" s="5" t="str">
        <f t="shared" si="5"/>
        <v>1ск6</v>
      </c>
      <c r="Q263" s="5" t="str">
        <f>INDEX(Кат!$J:$J,MATCH($A263,Кат!$A:$A,0))</f>
        <v>сергей проводка</v>
      </c>
    </row>
    <row r="264" spans="1:17" ht="60" x14ac:dyDescent="0.25">
      <c r="A264" s="88">
        <v>164569</v>
      </c>
      <c r="B264" s="88">
        <v>3981</v>
      </c>
      <c r="C264" s="89" t="s">
        <v>1426</v>
      </c>
      <c r="D264" s="89" t="s">
        <v>919</v>
      </c>
      <c r="E264" s="89" t="s">
        <v>872</v>
      </c>
      <c r="F264" s="89" t="s">
        <v>1840</v>
      </c>
      <c r="G264" s="89" t="s">
        <v>1841</v>
      </c>
      <c r="H264" s="89"/>
      <c r="I264" s="89" t="s">
        <v>526</v>
      </c>
      <c r="J264" s="90">
        <v>5500</v>
      </c>
      <c r="K264" s="90">
        <v>7290</v>
      </c>
      <c r="L264" s="89" t="s">
        <v>1081</v>
      </c>
      <c r="M264" s="89" t="s">
        <v>528</v>
      </c>
      <c r="N264" s="89"/>
      <c r="O264" s="89"/>
      <c r="P264" s="5" t="str">
        <f t="shared" si="5"/>
        <v>1</v>
      </c>
      <c r="Q264" s="5" t="str">
        <f>INDEX(Кат!$J:$J,MATCH($A264,Кат!$A:$A,0))</f>
        <v>сергей проводка</v>
      </c>
    </row>
    <row r="265" spans="1:17" ht="60" x14ac:dyDescent="0.25">
      <c r="A265" s="88">
        <v>164570</v>
      </c>
      <c r="B265" s="88">
        <v>3983</v>
      </c>
      <c r="C265" s="89" t="s">
        <v>558</v>
      </c>
      <c r="D265" s="89" t="s">
        <v>919</v>
      </c>
      <c r="E265" s="89" t="s">
        <v>1842</v>
      </c>
      <c r="F265" s="89" t="s">
        <v>1843</v>
      </c>
      <c r="G265" s="89" t="s">
        <v>1844</v>
      </c>
      <c r="H265" s="89"/>
      <c r="I265" s="89" t="s">
        <v>526</v>
      </c>
      <c r="J265" s="90">
        <v>4500</v>
      </c>
      <c r="K265" s="90">
        <v>5790</v>
      </c>
      <c r="L265" s="89" t="s">
        <v>1072</v>
      </c>
      <c r="M265" s="89" t="s">
        <v>528</v>
      </c>
      <c r="N265" s="89"/>
      <c r="O265" s="89"/>
      <c r="P265" s="5" t="str">
        <f t="shared" si="5"/>
        <v>1</v>
      </c>
      <c r="Q265" s="5" t="str">
        <f>INDEX(Кат!$J:$J,MATCH($A265,Кат!$A:$A,0))</f>
        <v>сергей проводка</v>
      </c>
    </row>
    <row r="266" spans="1:17" ht="60" x14ac:dyDescent="0.25">
      <c r="A266" s="88">
        <v>164571</v>
      </c>
      <c r="B266" s="88">
        <v>3982</v>
      </c>
      <c r="C266" s="89" t="s">
        <v>557</v>
      </c>
      <c r="D266" s="89" t="s">
        <v>919</v>
      </c>
      <c r="E266" s="89" t="s">
        <v>1845</v>
      </c>
      <c r="F266" s="89" t="s">
        <v>1846</v>
      </c>
      <c r="G266" s="89" t="s">
        <v>1847</v>
      </c>
      <c r="H266" s="89"/>
      <c r="I266" s="89" t="s">
        <v>526</v>
      </c>
      <c r="J266" s="90">
        <v>7000</v>
      </c>
      <c r="K266" s="90">
        <v>8490</v>
      </c>
      <c r="L266" s="89" t="s">
        <v>1082</v>
      </c>
      <c r="M266" s="89" t="s">
        <v>528</v>
      </c>
      <c r="N266" s="89" t="s">
        <v>556</v>
      </c>
      <c r="O266" s="89"/>
      <c r="P266" s="5" t="str">
        <f t="shared" si="5"/>
        <v>1ск6</v>
      </c>
      <c r="Q266" s="5" t="str">
        <f>INDEX(Кат!$J:$J,MATCH($A266,Кат!$A:$A,0))</f>
        <v>сергей проводка</v>
      </c>
    </row>
    <row r="267" spans="1:17" ht="105" x14ac:dyDescent="0.25">
      <c r="A267" s="88">
        <v>426735</v>
      </c>
      <c r="B267" s="88">
        <v>426735</v>
      </c>
      <c r="C267" s="89" t="s">
        <v>1427</v>
      </c>
      <c r="D267" s="89" t="s">
        <v>919</v>
      </c>
      <c r="E267" s="89"/>
      <c r="F267" s="89"/>
      <c r="G267" s="89"/>
      <c r="H267" s="89" t="s">
        <v>1428</v>
      </c>
      <c r="I267" s="89" t="s">
        <v>526</v>
      </c>
      <c r="J267" s="90">
        <v>4000</v>
      </c>
      <c r="K267" s="90">
        <v>5590</v>
      </c>
      <c r="L267" s="89" t="s">
        <v>1483</v>
      </c>
      <c r="M267" s="89" t="s">
        <v>528</v>
      </c>
      <c r="N267" s="89"/>
      <c r="O267" s="89"/>
      <c r="P267" s="5" t="str">
        <f t="shared" si="5"/>
        <v>1</v>
      </c>
      <c r="Q267" s="5" t="str">
        <f>INDEX(Кат!$J:$J,MATCH($A267,Кат!$A:$A,0))</f>
        <v>сергей проводка</v>
      </c>
    </row>
    <row r="268" spans="1:17" ht="60" x14ac:dyDescent="0.25">
      <c r="A268" s="88">
        <v>164579</v>
      </c>
      <c r="B268" s="88">
        <v>13370</v>
      </c>
      <c r="C268" s="89" t="s">
        <v>1429</v>
      </c>
      <c r="D268" s="89" t="s">
        <v>919</v>
      </c>
      <c r="E268" s="89"/>
      <c r="F268" s="89"/>
      <c r="G268" s="89"/>
      <c r="H268" s="89"/>
      <c r="I268" s="89" t="s">
        <v>526</v>
      </c>
      <c r="J268" s="90">
        <v>4000</v>
      </c>
      <c r="K268" s="90">
        <v>5590</v>
      </c>
      <c r="L268" s="89" t="s">
        <v>1109</v>
      </c>
      <c r="M268" s="89" t="s">
        <v>528</v>
      </c>
      <c r="N268" s="89"/>
      <c r="O268" s="89"/>
      <c r="P268" s="5" t="str">
        <f t="shared" si="5"/>
        <v>1</v>
      </c>
      <c r="Q268" s="5" t="str">
        <f>INDEX(Кат!$J:$J,MATCH($A268,Кат!$A:$A,0))</f>
        <v>сергей проводка</v>
      </c>
    </row>
    <row r="269" spans="1:17" ht="90" x14ac:dyDescent="0.25">
      <c r="A269" s="88">
        <v>426757</v>
      </c>
      <c r="B269" s="88">
        <v>426757</v>
      </c>
      <c r="C269" s="89" t="s">
        <v>1430</v>
      </c>
      <c r="D269" s="89" t="s">
        <v>919</v>
      </c>
      <c r="E269" s="89"/>
      <c r="F269" s="89"/>
      <c r="G269" s="89"/>
      <c r="H269" s="89" t="s">
        <v>1431</v>
      </c>
      <c r="I269" s="89" t="s">
        <v>526</v>
      </c>
      <c r="J269" s="90">
        <v>5000</v>
      </c>
      <c r="K269" s="90">
        <v>7090</v>
      </c>
      <c r="L269" s="89" t="s">
        <v>1482</v>
      </c>
      <c r="M269" s="89" t="s">
        <v>528</v>
      </c>
      <c r="N269" s="89"/>
      <c r="O269" s="89"/>
      <c r="P269" s="5" t="str">
        <f t="shared" si="5"/>
        <v>1</v>
      </c>
      <c r="Q269" s="5" t="str">
        <f>INDEX(Кат!$J:$J,MATCH($A269,Кат!$A:$A,0))</f>
        <v>сергей проводка</v>
      </c>
    </row>
    <row r="270" spans="1:17" ht="60" x14ac:dyDescent="0.25">
      <c r="A270" s="88">
        <v>164580</v>
      </c>
      <c r="B270" s="88">
        <v>13362</v>
      </c>
      <c r="C270" s="89" t="s">
        <v>1198</v>
      </c>
      <c r="D270" s="89" t="s">
        <v>919</v>
      </c>
      <c r="E270" s="89"/>
      <c r="F270" s="89"/>
      <c r="G270" s="89"/>
      <c r="H270" s="89"/>
      <c r="I270" s="89" t="s">
        <v>526</v>
      </c>
      <c r="J270" s="90">
        <v>5500</v>
      </c>
      <c r="K270" s="90">
        <v>7790</v>
      </c>
      <c r="L270" s="89" t="s">
        <v>1080</v>
      </c>
      <c r="M270" s="89" t="s">
        <v>528</v>
      </c>
      <c r="N270" s="89"/>
      <c r="O270" s="89"/>
      <c r="P270" s="5" t="str">
        <f t="shared" si="5"/>
        <v>1</v>
      </c>
      <c r="Q270" s="5" t="str">
        <f>INDEX(Кат!$J:$J,MATCH($A270,Кат!$A:$A,0))</f>
        <v>сергей проводка</v>
      </c>
    </row>
    <row r="271" spans="1:17" ht="60" x14ac:dyDescent="0.25">
      <c r="A271" s="88">
        <v>194011</v>
      </c>
      <c r="B271" s="88">
        <v>13267</v>
      </c>
      <c r="C271" s="89" t="s">
        <v>1012</v>
      </c>
      <c r="D271" s="89" t="s">
        <v>919</v>
      </c>
      <c r="E271" s="89"/>
      <c r="F271" s="89" t="s">
        <v>1848</v>
      </c>
      <c r="G271" s="89" t="s">
        <v>1849</v>
      </c>
      <c r="H271" s="89"/>
      <c r="I271" s="89" t="s">
        <v>526</v>
      </c>
      <c r="J271" s="90">
        <v>550</v>
      </c>
      <c r="K271" s="90">
        <v>859</v>
      </c>
      <c r="L271" s="89" t="s">
        <v>779</v>
      </c>
      <c r="M271" s="89" t="s">
        <v>528</v>
      </c>
      <c r="N271" s="89"/>
      <c r="O271" s="89"/>
      <c r="P271" s="5" t="str">
        <f t="shared" si="5"/>
        <v>1</v>
      </c>
      <c r="Q271" s="5" t="str">
        <f>INDEX(Кат!$J:$J,MATCH($A271,Кат!$A:$A,0))</f>
        <v>сергей проводка</v>
      </c>
    </row>
    <row r="272" spans="1:17" ht="60" x14ac:dyDescent="0.25">
      <c r="A272" s="88">
        <v>194471</v>
      </c>
      <c r="B272" s="88">
        <v>4011</v>
      </c>
      <c r="C272" s="89" t="s">
        <v>1432</v>
      </c>
      <c r="D272" s="89" t="s">
        <v>919</v>
      </c>
      <c r="E272" s="89"/>
      <c r="F272" s="89" t="s">
        <v>1850</v>
      </c>
      <c r="G272" s="89" t="s">
        <v>1851</v>
      </c>
      <c r="H272" s="89"/>
      <c r="I272" s="89" t="s">
        <v>526</v>
      </c>
      <c r="J272" s="90">
        <v>4000</v>
      </c>
      <c r="K272" s="90">
        <v>5590</v>
      </c>
      <c r="L272" s="89" t="s">
        <v>788</v>
      </c>
      <c r="M272" s="89" t="s">
        <v>528</v>
      </c>
      <c r="N272" s="89"/>
      <c r="O272" s="89"/>
      <c r="P272" s="5" t="str">
        <f t="shared" si="5"/>
        <v>1</v>
      </c>
      <c r="Q272" s="5" t="str">
        <f>INDEX(Кат!$J:$J,MATCH($A272,Кат!$A:$A,0))</f>
        <v>сергей проводка</v>
      </c>
    </row>
    <row r="273" spans="1:17" ht="45" x14ac:dyDescent="0.25">
      <c r="A273" s="88">
        <v>201253</v>
      </c>
      <c r="B273" s="88">
        <v>15434</v>
      </c>
      <c r="C273" s="89" t="s">
        <v>1433</v>
      </c>
      <c r="D273" s="89" t="s">
        <v>919</v>
      </c>
      <c r="E273" s="89"/>
      <c r="F273" s="89" t="s">
        <v>1848</v>
      </c>
      <c r="G273" s="89" t="s">
        <v>1849</v>
      </c>
      <c r="H273" s="89" t="s">
        <v>562</v>
      </c>
      <c r="I273" s="89" t="s">
        <v>526</v>
      </c>
      <c r="J273" s="90">
        <v>300</v>
      </c>
      <c r="K273" s="90">
        <v>529</v>
      </c>
      <c r="L273" s="89"/>
      <c r="M273" s="89" t="s">
        <v>528</v>
      </c>
      <c r="N273" s="89"/>
      <c r="O273" s="89"/>
      <c r="P273" s="5" t="str">
        <f t="shared" si="5"/>
        <v>1</v>
      </c>
      <c r="Q273" s="5" t="str">
        <f>INDEX(Кат!$J:$J,MATCH($A273,Кат!$A:$A,0))</f>
        <v>сергей проводка</v>
      </c>
    </row>
    <row r="274" spans="1:17" ht="60" x14ac:dyDescent="0.25">
      <c r="A274" s="88">
        <v>201255</v>
      </c>
      <c r="B274" s="88">
        <v>18666</v>
      </c>
      <c r="C274" s="89" t="s">
        <v>1434</v>
      </c>
      <c r="D274" s="89" t="s">
        <v>919</v>
      </c>
      <c r="E274" s="89"/>
      <c r="F274" s="89" t="s">
        <v>563</v>
      </c>
      <c r="G274" s="89" t="s">
        <v>1852</v>
      </c>
      <c r="H274" s="89"/>
      <c r="I274" s="89" t="s">
        <v>526</v>
      </c>
      <c r="J274" s="90">
        <v>300</v>
      </c>
      <c r="K274" s="90">
        <v>559</v>
      </c>
      <c r="L274" s="89" t="s">
        <v>1145</v>
      </c>
      <c r="M274" s="89" t="s">
        <v>528</v>
      </c>
      <c r="N274" s="89"/>
      <c r="O274" s="89"/>
      <c r="P274" s="5" t="str">
        <f t="shared" si="5"/>
        <v>1</v>
      </c>
      <c r="Q274" s="5" t="str">
        <f>INDEX(Кат!$J:$J,MATCH($A274,Кат!$A:$A,0))</f>
        <v>сергей проводка</v>
      </c>
    </row>
    <row r="275" spans="1:17" ht="45" x14ac:dyDescent="0.25">
      <c r="A275" s="88">
        <v>201254</v>
      </c>
      <c r="B275" s="88">
        <v>13228</v>
      </c>
      <c r="C275" s="89" t="s">
        <v>1435</v>
      </c>
      <c r="D275" s="89" t="s">
        <v>919</v>
      </c>
      <c r="E275" s="89"/>
      <c r="F275" s="89"/>
      <c r="G275" s="89"/>
      <c r="H275" s="89"/>
      <c r="I275" s="89" t="s">
        <v>526</v>
      </c>
      <c r="J275" s="90">
        <v>100</v>
      </c>
      <c r="K275" s="90">
        <v>219</v>
      </c>
      <c r="L275" s="89" t="s">
        <v>774</v>
      </c>
      <c r="M275" s="89" t="s">
        <v>528</v>
      </c>
      <c r="N275" s="89"/>
      <c r="O275" s="89"/>
      <c r="P275" s="5" t="str">
        <f t="shared" si="5"/>
        <v>1</v>
      </c>
      <c r="Q275" s="5" t="str">
        <f>INDEX(Кат!$J:$J,MATCH($A275,Кат!$A:$A,0))</f>
        <v>сергей проводка</v>
      </c>
    </row>
    <row r="276" spans="1:17" ht="45" x14ac:dyDescent="0.25">
      <c r="A276" s="88">
        <v>201273</v>
      </c>
      <c r="B276" s="88">
        <v>15198</v>
      </c>
      <c r="C276" s="89" t="s">
        <v>1436</v>
      </c>
      <c r="D276" s="89" t="s">
        <v>919</v>
      </c>
      <c r="E276" s="89"/>
      <c r="F276" s="89"/>
      <c r="G276" s="89"/>
      <c r="H276" s="89"/>
      <c r="I276" s="89" t="s">
        <v>526</v>
      </c>
      <c r="J276" s="90">
        <v>1200</v>
      </c>
      <c r="K276" s="90">
        <v>1790</v>
      </c>
      <c r="L276" s="89"/>
      <c r="M276" s="89" t="s">
        <v>528</v>
      </c>
      <c r="N276" s="89"/>
      <c r="O276" s="89"/>
      <c r="P276" s="5" t="str">
        <f t="shared" si="5"/>
        <v>1</v>
      </c>
      <c r="Q276" s="5" t="str">
        <f>INDEX(Кат!$J:$J,MATCH($A276,Кат!$A:$A,0))</f>
        <v>сергей проводка</v>
      </c>
    </row>
    <row r="277" spans="1:17" ht="75" x14ac:dyDescent="0.25">
      <c r="A277" s="88">
        <v>202549</v>
      </c>
      <c r="B277" s="88">
        <v>21043</v>
      </c>
      <c r="C277" s="89" t="s">
        <v>1437</v>
      </c>
      <c r="D277" s="89" t="s">
        <v>919</v>
      </c>
      <c r="E277" s="89"/>
      <c r="F277" s="89"/>
      <c r="G277" s="89"/>
      <c r="H277" s="89"/>
      <c r="I277" s="89" t="s">
        <v>526</v>
      </c>
      <c r="J277" s="90">
        <v>300</v>
      </c>
      <c r="K277" s="90">
        <v>559</v>
      </c>
      <c r="L277" s="89" t="s">
        <v>1143</v>
      </c>
      <c r="M277" s="89" t="s">
        <v>528</v>
      </c>
      <c r="N277" s="89"/>
      <c r="O277" s="89"/>
      <c r="P277" s="5" t="str">
        <f t="shared" si="5"/>
        <v>1</v>
      </c>
      <c r="Q277" s="5" t="str">
        <f>INDEX(Кат!$J:$J,MATCH($A277,Кат!$A:$A,0))</f>
        <v>сергей проводка</v>
      </c>
    </row>
    <row r="278" spans="1:17" ht="60" x14ac:dyDescent="0.25">
      <c r="A278" s="88">
        <v>202550</v>
      </c>
      <c r="B278" s="88">
        <v>125402</v>
      </c>
      <c r="C278" s="89" t="s">
        <v>1438</v>
      </c>
      <c r="D278" s="89" t="s">
        <v>919</v>
      </c>
      <c r="E278" s="89"/>
      <c r="F278" s="89" t="s">
        <v>757</v>
      </c>
      <c r="G278" s="89"/>
      <c r="H278" s="89"/>
      <c r="I278" s="89" t="s">
        <v>526</v>
      </c>
      <c r="J278" s="90">
        <v>85</v>
      </c>
      <c r="K278" s="90">
        <v>109</v>
      </c>
      <c r="L278" s="89" t="s">
        <v>1020</v>
      </c>
      <c r="M278" s="89" t="s">
        <v>528</v>
      </c>
      <c r="N278" s="89"/>
      <c r="O278" s="89"/>
      <c r="P278" s="5" t="str">
        <f t="shared" si="5"/>
        <v>1</v>
      </c>
      <c r="Q278" s="5" t="str">
        <f>INDEX(Кат!$J:$J,MATCH($A278,Кат!$A:$A,0))</f>
        <v>сергей проводка</v>
      </c>
    </row>
    <row r="279" spans="1:17" ht="45" x14ac:dyDescent="0.25">
      <c r="A279" s="88">
        <v>202551</v>
      </c>
      <c r="B279" s="88">
        <v>125014</v>
      </c>
      <c r="C279" s="89" t="s">
        <v>1439</v>
      </c>
      <c r="D279" s="89" t="s">
        <v>919</v>
      </c>
      <c r="E279" s="89"/>
      <c r="F279" s="89" t="s">
        <v>756</v>
      </c>
      <c r="G279" s="89"/>
      <c r="H279" s="89"/>
      <c r="I279" s="89" t="s">
        <v>526</v>
      </c>
      <c r="J279" s="90">
        <v>80</v>
      </c>
      <c r="K279" s="90">
        <v>159</v>
      </c>
      <c r="L279" s="89"/>
      <c r="M279" s="89" t="s">
        <v>528</v>
      </c>
      <c r="N279" s="89"/>
      <c r="O279" s="89"/>
      <c r="P279" s="5" t="str">
        <f t="shared" ref="P279:P281" si="6">_xlfn.CONCAT(M279,IF(N279&lt;&gt;"",_xlfn.CONCAT("ск",N279),""))</f>
        <v>1</v>
      </c>
      <c r="Q279" s="5" t="str">
        <f>INDEX(Кат!$J:$J,MATCH($A279,Кат!$A:$A,0))</f>
        <v>сергей проводка</v>
      </c>
    </row>
    <row r="280" spans="1:17" ht="45" x14ac:dyDescent="0.25">
      <c r="A280" s="88">
        <v>202555</v>
      </c>
      <c r="B280" s="88">
        <v>4464</v>
      </c>
      <c r="C280" s="89" t="s">
        <v>1493</v>
      </c>
      <c r="D280" s="89" t="s">
        <v>919</v>
      </c>
      <c r="E280" s="89"/>
      <c r="F280" s="89" t="s">
        <v>1494</v>
      </c>
      <c r="G280" s="89"/>
      <c r="H280" s="89"/>
      <c r="I280" s="89" t="s">
        <v>526</v>
      </c>
      <c r="J280" s="90">
        <v>150</v>
      </c>
      <c r="K280" s="90">
        <v>199</v>
      </c>
      <c r="L280" s="89"/>
      <c r="M280" s="89" t="s">
        <v>528</v>
      </c>
      <c r="N280" s="89"/>
      <c r="O280" s="89"/>
      <c r="P280" s="5" t="str">
        <f t="shared" si="6"/>
        <v>1</v>
      </c>
      <c r="Q280" s="5" t="str">
        <f>INDEX(Кат!$J:$J,MATCH($A280,Кат!$A:$A,0))</f>
        <v>сергей проводка</v>
      </c>
    </row>
    <row r="281" spans="1:17" ht="30" x14ac:dyDescent="0.25">
      <c r="A281" s="88">
        <v>251662</v>
      </c>
      <c r="B281" s="88">
        <v>184894</v>
      </c>
      <c r="C281" s="89" t="s">
        <v>1440</v>
      </c>
      <c r="D281" s="89" t="s">
        <v>919</v>
      </c>
      <c r="E281" s="89"/>
      <c r="F281" s="89" t="s">
        <v>771</v>
      </c>
      <c r="G281" s="89"/>
      <c r="H281" s="89" t="s">
        <v>771</v>
      </c>
      <c r="I281" s="89" t="s">
        <v>526</v>
      </c>
      <c r="J281" s="90"/>
      <c r="K281" s="90">
        <v>839</v>
      </c>
      <c r="L281" s="89"/>
      <c r="M281" s="89" t="s">
        <v>528</v>
      </c>
      <c r="N281" s="89"/>
      <c r="O281" s="89"/>
      <c r="P281" s="5" t="str">
        <f t="shared" si="6"/>
        <v>1</v>
      </c>
      <c r="Q281" s="5" t="str">
        <f>INDEX(Кат!$J:$J,MATCH($A281,Кат!$A:$A,0))</f>
        <v>сергей проводка</v>
      </c>
    </row>
    <row r="282" spans="1:17" ht="60" x14ac:dyDescent="0.25">
      <c r="A282" s="88">
        <v>202560</v>
      </c>
      <c r="B282" s="88">
        <v>7120</v>
      </c>
      <c r="C282" s="89" t="s">
        <v>1441</v>
      </c>
      <c r="D282" s="89" t="s">
        <v>919</v>
      </c>
      <c r="E282" s="89"/>
      <c r="F282" s="89" t="s">
        <v>755</v>
      </c>
      <c r="G282" s="89"/>
      <c r="H282" s="89" t="s">
        <v>755</v>
      </c>
      <c r="I282" s="89" t="s">
        <v>526</v>
      </c>
      <c r="J282" s="90">
        <v>450</v>
      </c>
      <c r="K282" s="90">
        <v>759</v>
      </c>
      <c r="L282" s="89" t="s">
        <v>1126</v>
      </c>
      <c r="M282" s="89" t="s">
        <v>528</v>
      </c>
      <c r="N282" s="89"/>
      <c r="O282" s="89"/>
      <c r="P282" s="5" t="str">
        <f t="shared" ref="P282:P287" si="7">_xlfn.CONCAT(M282,IF(N282&lt;&gt;"",_xlfn.CONCAT("ск",N282),""))</f>
        <v>1</v>
      </c>
      <c r="Q282" s="5" t="str">
        <f>INDEX(Кат!$J:$J,MATCH($A282,Кат!$A:$A,0))</f>
        <v>сергей проводка</v>
      </c>
    </row>
    <row r="283" spans="1:17" ht="45" x14ac:dyDescent="0.25">
      <c r="A283" s="88">
        <v>202563</v>
      </c>
      <c r="B283" s="88">
        <v>38246</v>
      </c>
      <c r="C283" s="89" t="s">
        <v>1442</v>
      </c>
      <c r="D283" s="89" t="s">
        <v>919</v>
      </c>
      <c r="E283" s="89"/>
      <c r="F283" s="89"/>
      <c r="G283" s="89"/>
      <c r="H283" s="89"/>
      <c r="I283" s="89" t="s">
        <v>526</v>
      </c>
      <c r="J283" s="90">
        <v>300</v>
      </c>
      <c r="K283" s="90">
        <v>529</v>
      </c>
      <c r="L283" s="89"/>
      <c r="M283" s="89" t="s">
        <v>528</v>
      </c>
      <c r="N283" s="89"/>
      <c r="O283" s="89"/>
      <c r="P283" s="5" t="str">
        <f t="shared" si="7"/>
        <v>1</v>
      </c>
      <c r="Q283" s="5" t="str">
        <f>INDEX(Кат!$J:$J,MATCH($A283,Кат!$A:$A,0))</f>
        <v>сергей проводка</v>
      </c>
    </row>
    <row r="284" spans="1:17" ht="60" x14ac:dyDescent="0.25">
      <c r="A284" s="88">
        <v>202564</v>
      </c>
      <c r="B284" s="88">
        <v>13425</v>
      </c>
      <c r="C284" s="89" t="s">
        <v>1443</v>
      </c>
      <c r="D284" s="89" t="s">
        <v>919</v>
      </c>
      <c r="E284" s="89"/>
      <c r="F284" s="89"/>
      <c r="G284" s="89"/>
      <c r="H284" s="89"/>
      <c r="I284" s="89" t="s">
        <v>526</v>
      </c>
      <c r="J284" s="90">
        <v>450</v>
      </c>
      <c r="K284" s="90">
        <v>759</v>
      </c>
      <c r="L284" s="89" t="s">
        <v>1133</v>
      </c>
      <c r="M284" s="89" t="s">
        <v>528</v>
      </c>
      <c r="N284" s="89"/>
      <c r="O284" s="89"/>
      <c r="P284" s="5" t="str">
        <f t="shared" si="7"/>
        <v>1</v>
      </c>
      <c r="Q284" s="5" t="str">
        <f>INDEX(Кат!$J:$J,MATCH($A284,Кат!$A:$A,0))</f>
        <v>сергей проводка</v>
      </c>
    </row>
    <row r="285" spans="1:17" ht="60" x14ac:dyDescent="0.25">
      <c r="A285" s="88">
        <v>202567</v>
      </c>
      <c r="B285" s="88">
        <v>30238</v>
      </c>
      <c r="C285" s="89" t="s">
        <v>1444</v>
      </c>
      <c r="D285" s="89" t="s">
        <v>919</v>
      </c>
      <c r="E285" s="89"/>
      <c r="F285" s="89"/>
      <c r="G285" s="89"/>
      <c r="H285" s="89"/>
      <c r="I285" s="89" t="s">
        <v>526</v>
      </c>
      <c r="J285" s="90">
        <v>800</v>
      </c>
      <c r="K285" s="90">
        <v>1390</v>
      </c>
      <c r="L285" s="89"/>
      <c r="M285" s="89" t="s">
        <v>528</v>
      </c>
      <c r="N285" s="89" t="s">
        <v>556</v>
      </c>
      <c r="O285" s="89"/>
      <c r="P285" s="5" t="str">
        <f t="shared" si="7"/>
        <v>1ск6</v>
      </c>
      <c r="Q285" s="5" t="str">
        <f>INDEX(Кат!$J:$J,MATCH($A285,Кат!$A:$A,0))</f>
        <v>сергей проводка</v>
      </c>
    </row>
    <row r="286" spans="1:17" ht="45" x14ac:dyDescent="0.25">
      <c r="A286" s="88">
        <v>202568</v>
      </c>
      <c r="B286" s="88">
        <v>20457</v>
      </c>
      <c r="C286" s="89" t="s">
        <v>1445</v>
      </c>
      <c r="D286" s="89" t="s">
        <v>919</v>
      </c>
      <c r="E286" s="89"/>
      <c r="F286" s="89"/>
      <c r="G286" s="89"/>
      <c r="H286" s="89"/>
      <c r="I286" s="89" t="s">
        <v>526</v>
      </c>
      <c r="J286" s="90">
        <v>150</v>
      </c>
      <c r="K286" s="90">
        <v>379</v>
      </c>
      <c r="L286" s="89" t="s">
        <v>812</v>
      </c>
      <c r="M286" s="89" t="s">
        <v>528</v>
      </c>
      <c r="N286" s="89"/>
      <c r="O286" s="89"/>
      <c r="P286" s="5" t="str">
        <f t="shared" si="7"/>
        <v>1</v>
      </c>
      <c r="Q286" s="5" t="str">
        <f>INDEX(Кат!$J:$J,MATCH($A286,Кат!$A:$A,0))</f>
        <v>сергей проводка</v>
      </c>
    </row>
    <row r="287" spans="1:17" ht="45" x14ac:dyDescent="0.25">
      <c r="A287" s="88">
        <v>222997</v>
      </c>
      <c r="B287" s="88">
        <v>13302</v>
      </c>
      <c r="C287" s="89" t="s">
        <v>527</v>
      </c>
      <c r="D287" s="89" t="s">
        <v>919</v>
      </c>
      <c r="E287" s="89"/>
      <c r="F287" s="89"/>
      <c r="G287" s="89"/>
      <c r="H287" s="89"/>
      <c r="I287" s="89" t="s">
        <v>526</v>
      </c>
      <c r="J287" s="90">
        <v>100</v>
      </c>
      <c r="K287" s="90">
        <v>219</v>
      </c>
      <c r="L287" s="89" t="s">
        <v>1146</v>
      </c>
      <c r="M287" s="89" t="s">
        <v>528</v>
      </c>
      <c r="N287" s="89"/>
      <c r="O287" s="89"/>
      <c r="P287" s="5" t="str">
        <f t="shared" si="7"/>
        <v>1</v>
      </c>
      <c r="Q287" s="5" t="str">
        <f>INDEX(Кат!$J:$J,MATCH($A287,Кат!$A:$A,0))</f>
        <v>сергей проводка</v>
      </c>
    </row>
  </sheetData>
  <autoFilter ref="A1:Q287" xr:uid="{CAB2A709-412B-48EC-A3AF-C23CA81192C6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A76-C25E-4621-AB1D-FCDE7170A4CC}">
  <sheetPr codeName="Лист3">
    <tabColor rgb="FF92D050"/>
  </sheetPr>
  <dimension ref="A1:I287"/>
  <sheetViews>
    <sheetView tabSelected="1" topLeftCell="A259" workbookViewId="0">
      <selection activeCell="A2" sqref="A2:I287"/>
    </sheetView>
  </sheetViews>
  <sheetFormatPr defaultRowHeight="15" x14ac:dyDescent="0.25"/>
  <cols>
    <col min="1" max="1" width="7" bestFit="1" customWidth="1"/>
    <col min="2" max="2" width="14.140625" bestFit="1" customWidth="1"/>
    <col min="3" max="3" width="18.7109375" customWidth="1"/>
  </cols>
  <sheetData>
    <row r="1" spans="1:9" x14ac:dyDescent="0.25">
      <c r="A1" s="8" t="str" cm="1">
        <f t="array" ref="A1:A287">_xlfn._xlws.FILTER(Кат!$A:$A,Кат!$A:$A&lt;&gt;"")</f>
        <v>ID</v>
      </c>
      <c r="B1" s="8" t="str" cm="1">
        <f t="array" ref="B1:B287">_xlfn._xlws.FILTER(Кат!AA:AA,Кат!$A:$A&lt;&gt;"")</f>
        <v>MR</v>
      </c>
      <c r="C1" t="str" cm="1">
        <f t="array" ref="C1:C287">_xlfn._xlws.FILTER(Кат!AC:AC,Кат!$A:$A&lt;&gt;"")</f>
        <v>MR</v>
      </c>
      <c r="D1" s="8" cm="1">
        <f t="array" ref="D1:E287">_xlfn._xlws.FILTER(Кат!AG:AH,Кат!$A:$A&lt;&gt;"")</f>
        <v>2</v>
      </c>
      <c r="E1">
        <v>2</v>
      </c>
      <c r="F1" s="8" cm="1">
        <f t="array" ref="F1:G287">_xlfn._xlws.FILTER(Кат!AL:AM,Кат!$A:$A&lt;&gt;"")</f>
        <v>3</v>
      </c>
      <c r="G1">
        <v>3</v>
      </c>
      <c r="H1" s="8" cm="1">
        <f t="array" ref="H1:I287">_xlfn._xlws.FILTER(Кат!AQ:AR,Кат!$A:$A&lt;&gt;"")</f>
        <v>4</v>
      </c>
      <c r="I1">
        <v>4</v>
      </c>
    </row>
    <row r="2" spans="1:9" x14ac:dyDescent="0.25">
      <c r="A2">
        <v>158955</v>
      </c>
      <c r="B2" t="str">
        <v>не нашел</v>
      </c>
      <c r="C2">
        <v>0</v>
      </c>
      <c r="D2" t="str">
        <v>не нашел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>
        <v>201254</v>
      </c>
      <c r="B3">
        <v>229</v>
      </c>
      <c r="C3" t="str">
        <v>https://motorring.ru/product/12540-provod-massy-pletenka-70sm-vaz-2101</v>
      </c>
      <c r="D3">
        <v>245</v>
      </c>
      <c r="E3" t="str">
        <v>https://www.ozon.ru/product/provod-massy-kuzovnoy-pletenyy-60-sm-kosichka-pletenka-1795397849/</v>
      </c>
      <c r="F3">
        <v>0</v>
      </c>
      <c r="G3">
        <v>0</v>
      </c>
      <c r="H3">
        <v>0</v>
      </c>
      <c r="I3">
        <v>0</v>
      </c>
    </row>
    <row r="4" spans="1:9" x14ac:dyDescent="0.25">
      <c r="A4">
        <v>222997</v>
      </c>
      <c r="B4">
        <v>229</v>
      </c>
      <c r="C4" t="str">
        <v>https://motorring.ru/product/12581-razyem-motor-pechki-vaz-2110-2112-shevrole-niva</v>
      </c>
      <c r="D4">
        <v>337</v>
      </c>
      <c r="E4" t="str">
        <v>https://www.ozon.ru/product/razem-podklyucheniya-motora-otopitelya-na-vaz-2110-11-12-lada-priora-shevrole-niva-ax434-1064988683/</v>
      </c>
      <c r="F4">
        <v>0</v>
      </c>
      <c r="G4">
        <v>0</v>
      </c>
      <c r="H4">
        <v>0</v>
      </c>
      <c r="I4">
        <v>0</v>
      </c>
    </row>
    <row r="5" spans="1:9" x14ac:dyDescent="0.25">
      <c r="A5">
        <v>202568</v>
      </c>
      <c r="B5">
        <v>390</v>
      </c>
      <c r="C5" t="str">
        <v>https://motorring.ru/product/18484-razyem-elektrozerkal-lada-kalina-granta-vesta</v>
      </c>
      <c r="D5">
        <v>338</v>
      </c>
      <c r="E5" t="str">
        <v>https://www.ozon.ru/product/razem-elektrozerkal-papa-dlya-granta-kalina-vesta-datsun-749384020/</v>
      </c>
      <c r="F5">
        <v>0</v>
      </c>
      <c r="G5">
        <v>0</v>
      </c>
      <c r="H5">
        <v>0</v>
      </c>
      <c r="I5">
        <v>0</v>
      </c>
    </row>
    <row r="6" spans="1:9" x14ac:dyDescent="0.25">
      <c r="A6">
        <v>144947</v>
      </c>
      <c r="B6">
        <v>369</v>
      </c>
      <c r="C6" t="str">
        <v>https://motorring.ru/product/13941-ghgut-provodov-podsvetki-zadnego-nomera-11180-3724214-lada</v>
      </c>
      <c r="D6">
        <v>489</v>
      </c>
      <c r="E6" t="str">
        <v>https://www.ozon.ru/product/zhgut-provodov-osveshchenie-nomernogo-znaka-podsvetka-dlya-lada-kalina-lada-kalina-sport-oem-nomer-215837189/</v>
      </c>
      <c r="F6">
        <v>0</v>
      </c>
      <c r="G6">
        <v>0</v>
      </c>
      <c r="H6">
        <v>0</v>
      </c>
      <c r="I6">
        <v>0</v>
      </c>
    </row>
    <row r="7" spans="1:9" x14ac:dyDescent="0.25">
      <c r="A7">
        <v>144866</v>
      </c>
      <c r="B7">
        <v>549</v>
      </c>
      <c r="C7" t="str">
        <v>https://motorring.ru/product/13851-ghgut-provodov-kommutatora-21050-3724026-dlya-vaz-2104-2107</v>
      </c>
      <c r="D7">
        <v>402</v>
      </c>
      <c r="E7" t="str">
        <v>https://www.ozon.ru/product/zhgut-provodov-kommutatora-vaz-2105-1156664945/</v>
      </c>
      <c r="F7">
        <v>0</v>
      </c>
      <c r="G7">
        <v>0</v>
      </c>
      <c r="H7">
        <v>0</v>
      </c>
      <c r="I7">
        <v>0</v>
      </c>
    </row>
    <row r="8" spans="1:9" x14ac:dyDescent="0.25">
      <c r="A8">
        <v>201255</v>
      </c>
      <c r="B8">
        <v>590</v>
      </c>
      <c r="C8" t="str">
        <v>https://motorring.ru/product/12544-ghgut-provodov-soedinitelynyy-klemma-evro-2101-3724080-vaz</v>
      </c>
      <c r="D8">
        <v>383</v>
      </c>
      <c r="E8" t="str">
        <v>https://www.ozon.ru/product/provod-akkumulyatora-minusovoy-dlya-vaz-2101-2105-2107-1731438208/</v>
      </c>
      <c r="F8">
        <v>0</v>
      </c>
      <c r="G8">
        <v>0</v>
      </c>
      <c r="H8">
        <v>0</v>
      </c>
      <c r="I8">
        <v>0</v>
      </c>
    </row>
    <row r="9" spans="1:9" x14ac:dyDescent="0.25">
      <c r="A9">
        <v>144867</v>
      </c>
      <c r="B9">
        <v>629</v>
      </c>
      <c r="C9" t="str">
        <v>https://motorring.ru/product/10889-ghgut-provodov-kommutatora-21080-3724026-dlya-vaz</v>
      </c>
      <c r="D9">
        <v>462</v>
      </c>
      <c r="E9" t="str">
        <v>https://www.ozon.ru/product/zhgut-provodov-kommutatora-vaz-2108-2109-21099-1564161857/</v>
      </c>
      <c r="F9">
        <v>0</v>
      </c>
      <c r="G9">
        <v>0</v>
      </c>
      <c r="H9">
        <v>0</v>
      </c>
      <c r="I9">
        <v>0</v>
      </c>
    </row>
    <row r="10" spans="1:9" x14ac:dyDescent="0.25">
      <c r="A10">
        <v>201253</v>
      </c>
      <c r="B10" t="str">
        <v>не нашел</v>
      </c>
      <c r="C10">
        <v>0</v>
      </c>
      <c r="D10" t="str">
        <v>не нашел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5">
      <c r="A11">
        <v>202549</v>
      </c>
      <c r="B11">
        <v>590</v>
      </c>
      <c r="C11" t="str">
        <v>https://motorring.ru/product/18505-razyem-bloka-upravleniya-steklopodyemnikami-perednimi</v>
      </c>
      <c r="D11">
        <v>367</v>
      </c>
      <c r="E11" t="str">
        <v>https://www.ozon.ru/product/razem-bloka-upravleniya-dlya-bloka-upravleniya-steklopodemnikami-i-zerkalami-lada-kalina-749386617/</v>
      </c>
      <c r="F11">
        <v>0</v>
      </c>
      <c r="G11">
        <v>0</v>
      </c>
      <c r="H11">
        <v>0</v>
      </c>
      <c r="I11">
        <v>0</v>
      </c>
    </row>
    <row r="12" spans="1:9" x14ac:dyDescent="0.25">
      <c r="A12">
        <v>145004</v>
      </c>
      <c r="B12">
        <v>690</v>
      </c>
      <c r="C12" t="str">
        <v>https://motorring.ru/product/13975-ghgut-provodov-forsunok-11186-3724036-dlya-lada-kalina</v>
      </c>
      <c r="D12">
        <v>609</v>
      </c>
      <c r="E12" t="str">
        <v>https://www.ozon.ru/product/provodka-zhgut-provodov-forsunok-dlya-vaz-lada-kalina-1117-1118-1119-dvig-11186-1-6-l-8-kl-953563642/</v>
      </c>
      <c r="F12">
        <v>0</v>
      </c>
      <c r="G12">
        <v>0</v>
      </c>
      <c r="H12">
        <v>0</v>
      </c>
      <c r="I12">
        <v>0</v>
      </c>
    </row>
    <row r="13" spans="1:9" x14ac:dyDescent="0.25">
      <c r="A13">
        <v>144948</v>
      </c>
      <c r="B13" t="str">
        <v>1290 cargen</v>
      </c>
      <c r="C13" t="str">
        <v>https://motorring.ru/product/13953-ghgut-provodov-rampy-11184-3724036-00-dlya-lada-kalina</v>
      </c>
      <c r="D13">
        <v>857</v>
      </c>
      <c r="E13" t="str">
        <v>https://www.ozon.ru/product/zhgut-provodov-forsunok-dlya-a-m-vaz-21184-dvigatel-1-4-16-kl-1235547535/</v>
      </c>
      <c r="F13">
        <v>0</v>
      </c>
      <c r="G13">
        <v>0</v>
      </c>
      <c r="H13">
        <v>0</v>
      </c>
      <c r="I13">
        <v>0</v>
      </c>
    </row>
    <row r="14" spans="1:9" x14ac:dyDescent="0.25">
      <c r="A14">
        <v>145005</v>
      </c>
      <c r="B14">
        <v>690</v>
      </c>
      <c r="C14" t="str">
        <v>https://motorring.ru/product/13954-ghgut-provodov-forsunok-2111-3724036-vaz-2110-2112</v>
      </c>
      <c r="D14">
        <v>399</v>
      </c>
      <c r="E14" t="str">
        <v>https://www.ozon.ru/product/zhgut-provodka-forsunok-vaz-2110-2115-kalina-priora-8kl-2111-3724036-1078565448/</v>
      </c>
      <c r="F14">
        <v>0</v>
      </c>
      <c r="G14">
        <v>0</v>
      </c>
      <c r="H14">
        <v>0</v>
      </c>
      <c r="I14">
        <v>0</v>
      </c>
    </row>
    <row r="15" spans="1:9" x14ac:dyDescent="0.25">
      <c r="A15">
        <v>145006</v>
      </c>
      <c r="B15" t="str">
        <v>не нашел</v>
      </c>
      <c r="C15">
        <v>0</v>
      </c>
      <c r="D15">
        <v>409</v>
      </c>
      <c r="E15" t="str">
        <v>https://www.ozon.ru/product/tolyatti-wire-connector-05-m-length-1080185726/</v>
      </c>
      <c r="F15">
        <v>0</v>
      </c>
      <c r="G15">
        <v>0</v>
      </c>
      <c r="H15">
        <v>0</v>
      </c>
      <c r="I15">
        <v>0</v>
      </c>
    </row>
    <row r="16" spans="1:9" x14ac:dyDescent="0.25">
      <c r="A16">
        <v>145007</v>
      </c>
      <c r="B16">
        <v>690</v>
      </c>
      <c r="C16" t="str">
        <v>https://motorring.ru/product/13976-ghgut-provodov-forsunok-21214-3724036-lada-4h4-niva-21214</v>
      </c>
      <c r="D16">
        <v>406</v>
      </c>
      <c r="E16" t="str">
        <v>https://www.ozon.ru/product/lada-zhgut-provodov-dlina-0-2-m-771903142/</v>
      </c>
      <c r="F16">
        <v>0</v>
      </c>
      <c r="G16">
        <v>0</v>
      </c>
      <c r="H16">
        <v>0</v>
      </c>
      <c r="I16">
        <v>0</v>
      </c>
    </row>
    <row r="17" spans="1:9" x14ac:dyDescent="0.25">
      <c r="A17">
        <v>145008</v>
      </c>
      <c r="B17">
        <v>690</v>
      </c>
      <c r="C17" t="str">
        <v>https://motorring.ru/product/12623-ghgut-provodov-forsunok-2123-3724036-dlya-shevrole-niva</v>
      </c>
      <c r="D17">
        <v>616</v>
      </c>
      <c r="E17" t="str">
        <v>https://www.ozon.ru/product/zhgut-provodka-forsunok-8-kl-inzhektor-dvs-dvigatel-lada-niva-klassika-vaz-2105-2107-shevrole-niva-967225942/</v>
      </c>
      <c r="F17">
        <v>0</v>
      </c>
      <c r="G17">
        <v>0</v>
      </c>
      <c r="H17">
        <v>0</v>
      </c>
      <c r="I17">
        <v>0</v>
      </c>
    </row>
    <row r="18" spans="1:9" x14ac:dyDescent="0.25">
      <c r="A18">
        <v>163978</v>
      </c>
      <c r="B18" t="str">
        <v>не такой</v>
      </c>
      <c r="C18">
        <v>0</v>
      </c>
      <c r="D18" t="str">
        <v>не нашел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>
        <v>144828</v>
      </c>
      <c r="B19">
        <v>690</v>
      </c>
      <c r="C19" t="str">
        <v>https://motorring.ru/product/13536-ghgut-provodov-gabaritov-hodovyh-ogney-pravyy-lada-niva-4h4</v>
      </c>
      <c r="D19">
        <v>879</v>
      </c>
      <c r="E19" t="str">
        <v>https://www.ozon.ru/product/zhgut-provodov-podfarnika-gabaritov-i-hodovyh-ogney-dho-niva-21214-3712540-02-1472569281/</v>
      </c>
      <c r="F19">
        <v>0</v>
      </c>
      <c r="G19">
        <v>0</v>
      </c>
      <c r="H19">
        <v>0</v>
      </c>
      <c r="I19">
        <v>0</v>
      </c>
    </row>
    <row r="20" spans="1:9" x14ac:dyDescent="0.25">
      <c r="A20">
        <v>155900</v>
      </c>
      <c r="B20">
        <v>890</v>
      </c>
      <c r="C20" t="str">
        <v>https://motorring.ru/product/12585-klemma-evro-1118-3724070-dlya-lada-kalina</v>
      </c>
      <c r="D20">
        <v>732</v>
      </c>
      <c r="E20" t="str">
        <v>https://www.ozon.ru/product/provod-akkumulyatora-2170-1118-2190-1566204369/</v>
      </c>
      <c r="F20">
        <v>0</v>
      </c>
      <c r="G20">
        <v>0</v>
      </c>
      <c r="H20">
        <v>0</v>
      </c>
      <c r="I20">
        <v>0</v>
      </c>
    </row>
    <row r="21" spans="1:9" x14ac:dyDescent="0.25">
      <c r="A21">
        <v>144837</v>
      </c>
      <c r="B21">
        <v>690</v>
      </c>
      <c r="C21" t="str">
        <v>https://motorring.ru/product/12586-ghgut-provodov-zadney-dveri-1118-3724550-10-dlya-lada</v>
      </c>
      <c r="D21">
        <v>806</v>
      </c>
      <c r="E21" t="str">
        <v>https://www.ozon.ru/product/zhgut-provodov-zadney-dveri-lada-kalina-vaz-1118-3724550-10-1451834421/</v>
      </c>
      <c r="F21">
        <v>0</v>
      </c>
      <c r="G21">
        <v>0</v>
      </c>
      <c r="H21">
        <v>0</v>
      </c>
      <c r="I21">
        <v>0</v>
      </c>
    </row>
    <row r="22" spans="1:9" x14ac:dyDescent="0.25">
      <c r="A22">
        <v>202564</v>
      </c>
      <c r="B22">
        <v>790</v>
      </c>
      <c r="C22" t="str">
        <v>https://motorring.ru/product/12603-razyem-predohraniteley-4sht-lada-niva-4h4</v>
      </c>
      <c r="D22" t="str">
        <v>не нашел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>
        <v>144976</v>
      </c>
      <c r="B23">
        <v>890</v>
      </c>
      <c r="C23" t="str">
        <v>https://motorring.ru/product/12541-ghgut-provodov-soedinitelynyy-klemma-evro-2101-07-3724070</v>
      </c>
      <c r="D23">
        <v>510</v>
      </c>
      <c r="E23" t="str">
        <v>https://www.ozon.ru/product/avtoelektronika-provod-akb-366653923/</v>
      </c>
      <c r="F23">
        <v>0</v>
      </c>
      <c r="G23">
        <v>0</v>
      </c>
      <c r="H23">
        <v>0</v>
      </c>
      <c r="I23">
        <v>0</v>
      </c>
    </row>
    <row r="24" spans="1:9" x14ac:dyDescent="0.25">
      <c r="A24">
        <v>160436</v>
      </c>
      <c r="B24">
        <v>990</v>
      </c>
      <c r="C24" t="str">
        <v>https://motorring.ru/product/12559-kosa-paneli-priborov-2106-3724030-dlya-vaz-2106</v>
      </c>
      <c r="D24">
        <v>818</v>
      </c>
      <c r="E24" t="str">
        <v>https://www.ozon.ru/product/provodka-podtorpednaya-2106-3724030-kosa-na-shchitok-1750709109/</v>
      </c>
      <c r="F24">
        <v>0</v>
      </c>
      <c r="G24">
        <v>0</v>
      </c>
      <c r="H24">
        <v>0</v>
      </c>
      <c r="I24">
        <v>0</v>
      </c>
    </row>
    <row r="25" spans="1:9" x14ac:dyDescent="0.25">
      <c r="A25">
        <v>144977</v>
      </c>
      <c r="B25">
        <v>890</v>
      </c>
      <c r="C25" t="str">
        <v>https://motorring.ru/product/12560-ghgut-provodov-soedinitelynyy-klemma-evro-2106-3724070-dlya</v>
      </c>
      <c r="D25">
        <v>733</v>
      </c>
      <c r="E25" t="str">
        <v>https://www.ozon.ru/product/lada-provod-akb-1289813390/</v>
      </c>
      <c r="F25">
        <v>0</v>
      </c>
      <c r="G25">
        <v>0</v>
      </c>
      <c r="H25">
        <v>0</v>
      </c>
      <c r="I25">
        <v>0</v>
      </c>
    </row>
    <row r="26" spans="1:9" x14ac:dyDescent="0.25">
      <c r="A26">
        <v>163979</v>
      </c>
      <c r="B26">
        <v>790</v>
      </c>
      <c r="C26" t="str">
        <v>https://motorring.ru/product/12202-minusovoy-provod-massy-2108-3724080-dlya-vaz-2108-21099</v>
      </c>
      <c r="D26" t="str">
        <v>не нашел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>
        <v>144979</v>
      </c>
      <c r="B27">
        <v>1090</v>
      </c>
      <c r="C27" t="str">
        <v>https://motorring.ru/product/26436-ghgut-provodov-stekloochistitelya-omyvatelya-21093-3724019</v>
      </c>
      <c r="D27">
        <v>855</v>
      </c>
      <c r="E27" t="str">
        <v>https://www.ozon.ru/product/zhgut-korobki-vozduhopritoka-bez-pylnika-dlya-a-m-vaz-2108-21099-201419223/</v>
      </c>
      <c r="F27">
        <v>0</v>
      </c>
      <c r="G27">
        <v>0</v>
      </c>
      <c r="H27">
        <v>0</v>
      </c>
      <c r="I27">
        <v>0</v>
      </c>
    </row>
    <row r="28" spans="1:9" x14ac:dyDescent="0.25">
      <c r="A28">
        <v>144959</v>
      </c>
      <c r="B28">
        <v>890</v>
      </c>
      <c r="C28" t="str">
        <v>https://motorring.ru/product/12576-ghgut-provodov-salona-ruchnika-2110-3724550-dlya-vaz</v>
      </c>
      <c r="D28">
        <v>791</v>
      </c>
      <c r="E28" t="str">
        <v>https://www.ozon.ru/product/zhgut-provodov-salona-i-ruchnika-2110-vaz-2110-3724550-1434232395/</v>
      </c>
      <c r="F28">
        <v>0</v>
      </c>
      <c r="G28">
        <v>0</v>
      </c>
      <c r="H28">
        <v>0</v>
      </c>
      <c r="I28">
        <v>0</v>
      </c>
    </row>
    <row r="29" spans="1:9" x14ac:dyDescent="0.25">
      <c r="A29">
        <v>144864</v>
      </c>
      <c r="B29">
        <v>890</v>
      </c>
      <c r="C29" t="str">
        <v>https://motorring.ru/product/9701-ghgut-provodov-katushek-zaghiganiya-21104-3724148</v>
      </c>
      <c r="D29">
        <v>380</v>
      </c>
      <c r="E29" t="str">
        <v>https://www.ozon.ru/product/zhgut-provodov-katushek-zazhiganiya-priora-vaz-2110-vaz-2112-vaz-21124-16-klapanov-1605822338/</v>
      </c>
      <c r="F29">
        <v>0</v>
      </c>
      <c r="G29">
        <v>0</v>
      </c>
      <c r="H29">
        <v>0</v>
      </c>
      <c r="I29">
        <v>0</v>
      </c>
    </row>
    <row r="30" spans="1:9" x14ac:dyDescent="0.25">
      <c r="A30">
        <v>144826</v>
      </c>
      <c r="B30">
        <v>890</v>
      </c>
      <c r="C30" t="str">
        <v>https://motorring.ru/product/12567</v>
      </c>
      <c r="D30">
        <v>519</v>
      </c>
      <c r="E30" t="str">
        <v>https://www.ozon.ru/product/zhgut-provodov-podklyucheniya-elektrobenzonasosa-cargen-dlya-a-m-vaz-2112-1421038026/</v>
      </c>
      <c r="F30">
        <v>0</v>
      </c>
      <c r="G30">
        <v>0</v>
      </c>
      <c r="H30">
        <v>0</v>
      </c>
      <c r="I30">
        <v>0</v>
      </c>
    </row>
    <row r="31" spans="1:9" x14ac:dyDescent="0.25">
      <c r="A31">
        <v>144825</v>
      </c>
      <c r="B31">
        <v>890</v>
      </c>
      <c r="C31" t="str">
        <v>https://motorring.ru/product/12567</v>
      </c>
      <c r="D31">
        <v>456</v>
      </c>
      <c r="E31" t="str">
        <v>https://www.ozon.ru/product/tolyatti-zhgut-provodov-1519693161/</v>
      </c>
      <c r="F31">
        <v>0</v>
      </c>
      <c r="G31">
        <v>0</v>
      </c>
      <c r="H31">
        <v>0</v>
      </c>
      <c r="I31">
        <v>0</v>
      </c>
    </row>
    <row r="32" spans="1:9" x14ac:dyDescent="0.25">
      <c r="A32">
        <v>194011</v>
      </c>
      <c r="B32">
        <v>890</v>
      </c>
      <c r="C32" t="str">
        <v>https://motorring.ru/product/12201-plyusovoy-provod-generatora-2114-3724070-20-dlya-vaz</v>
      </c>
      <c r="D32">
        <v>843</v>
      </c>
      <c r="E32" t="str">
        <v>https://www.ozon.ru/product/provod-akkumulyatora-plyusovoy-dlya-vaz-2113-2114-2115-1739496739/</v>
      </c>
      <c r="F32">
        <v>0</v>
      </c>
      <c r="G32">
        <v>0</v>
      </c>
      <c r="H32">
        <v>0</v>
      </c>
      <c r="I32">
        <v>0</v>
      </c>
    </row>
    <row r="33" spans="1:9" x14ac:dyDescent="0.25">
      <c r="A33">
        <v>144894</v>
      </c>
      <c r="B33">
        <v>1190</v>
      </c>
      <c r="C33" t="str">
        <v>https://motorring.ru/product/12204-ghgut-provodov-korobki-vozduhopritoka-2114-3724019-dlya-vaz</v>
      </c>
      <c r="D33">
        <v>805</v>
      </c>
      <c r="E33" t="str">
        <v>https://www.ozon.ru/product/zhgut-provodov-omyvatelya-i-stekloochistitelya-2114-vaz-2115-3724019-1449845684/</v>
      </c>
      <c r="F33">
        <v>0</v>
      </c>
      <c r="G33">
        <v>0</v>
      </c>
      <c r="H33">
        <v>0</v>
      </c>
      <c r="I33">
        <v>0</v>
      </c>
    </row>
    <row r="34" spans="1:9" x14ac:dyDescent="0.25">
      <c r="A34">
        <v>155903</v>
      </c>
      <c r="B34">
        <v>890</v>
      </c>
      <c r="C34" t="str">
        <v>https://motorring.ru/product/12649-klemma-evro-2170-3724070-dlya-lada-priora</v>
      </c>
      <c r="D34" t="str">
        <v>не нашел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25">
      <c r="A35">
        <v>202560</v>
      </c>
      <c r="B35">
        <v>790</v>
      </c>
      <c r="C35" t="str">
        <v>https://motorring.ru/product/10237-razyem-kombinacii-priborov-lada-priora-kalina-kalina</v>
      </c>
      <c r="D35">
        <v>628</v>
      </c>
      <c r="E35" t="str">
        <v>https://www.ozon.ru/product/razem-paneli-priborov-kombinatsii-podhodit-dlya-vaz-1118-2170-32-kontakta-v-sbore-s-provodami-1686212251/</v>
      </c>
      <c r="F35">
        <v>0</v>
      </c>
      <c r="G35">
        <v>0</v>
      </c>
      <c r="H35">
        <v>0</v>
      </c>
      <c r="I35">
        <v>0</v>
      </c>
    </row>
    <row r="36" spans="1:9" x14ac:dyDescent="0.25">
      <c r="A36">
        <v>144829</v>
      </c>
      <c r="B36" t="str">
        <v>не такой</v>
      </c>
      <c r="C36">
        <v>0</v>
      </c>
      <c r="D36" t="str">
        <v>не нашел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5">
      <c r="A37">
        <v>144865</v>
      </c>
      <c r="B37">
        <v>1190</v>
      </c>
      <c r="C37" t="str">
        <v>https://motorring.ru/product/13977-ghgut-provodov-katushek-zaghiganiya-lada-kalina-granta</v>
      </c>
      <c r="D37">
        <v>944</v>
      </c>
      <c r="E37" t="str">
        <v>https://www.ozon.ru/product/cargen-wiring-harness-215837284/</v>
      </c>
      <c r="F37">
        <v>0</v>
      </c>
      <c r="G37">
        <v>0</v>
      </c>
      <c r="H37">
        <v>0</v>
      </c>
      <c r="I37">
        <v>0</v>
      </c>
    </row>
    <row r="38" spans="1:9" x14ac:dyDescent="0.25">
      <c r="A38">
        <v>144863</v>
      </c>
      <c r="B38">
        <v>1090</v>
      </c>
      <c r="C38" t="str">
        <v>https://motorring.ru/product/1014-ghgut-provodov-katushek-zaghiganiya-1118-3724148-dvigatelya</v>
      </c>
      <c r="D38">
        <v>674</v>
      </c>
      <c r="E38" t="str">
        <v>https://www.ozon.ru/product/provodka-zhgut-provodov-katushek-zazhiganiya-dlya-vaz-1118-kalina-priora-2170-953568916/</v>
      </c>
      <c r="F38">
        <v>0</v>
      </c>
      <c r="G38">
        <v>0</v>
      </c>
      <c r="H38">
        <v>0</v>
      </c>
      <c r="I38">
        <v>0</v>
      </c>
    </row>
    <row r="39" spans="1:9" x14ac:dyDescent="0.25">
      <c r="A39">
        <v>144862</v>
      </c>
      <c r="B39">
        <v>890</v>
      </c>
      <c r="C39" t="str">
        <v>https://motorring.ru/product/14975-ghgut-provodov-katushek-zaghiganiya-11174-3724148</v>
      </c>
      <c r="D39">
        <v>682</v>
      </c>
      <c r="E39" t="str">
        <v>https://www.ozon.ru/product/zhgut-katushek-zazhiganiya-kalina-priora-granta-s-dvigatelem-vaz-21126-1-6l-16kl-1118-2170-2190-dv-1574400278/</v>
      </c>
      <c r="F39">
        <v>0</v>
      </c>
      <c r="G39">
        <v>0</v>
      </c>
      <c r="H39">
        <v>0</v>
      </c>
      <c r="I39">
        <v>0</v>
      </c>
    </row>
    <row r="40" spans="1:9" x14ac:dyDescent="0.25">
      <c r="A40">
        <v>155901</v>
      </c>
      <c r="B40">
        <v>990</v>
      </c>
      <c r="C40" t="str">
        <v>https://motorring.ru/product/12580-klemma-evro-2110-3724070-dlya-vaz-2110-2112</v>
      </c>
      <c r="D40">
        <v>473</v>
      </c>
      <c r="E40" t="str">
        <v>https://www.ozon.ru/product/provod-akkumulyatornyy-akb-2110-plyus-1062295531/</v>
      </c>
      <c r="F40">
        <v>0</v>
      </c>
      <c r="G40">
        <v>0</v>
      </c>
      <c r="H40">
        <v>0</v>
      </c>
      <c r="I40">
        <v>0</v>
      </c>
    </row>
    <row r="41" spans="1:9" x14ac:dyDescent="0.25">
      <c r="A41">
        <v>144958</v>
      </c>
      <c r="B41">
        <v>890</v>
      </c>
      <c r="C41" t="str">
        <v>https://motorring.ru/product/26472-ghgut-provodov-salona-podsvetki-2110-3724551-dlya-vaz</v>
      </c>
      <c r="D41">
        <v>1055</v>
      </c>
      <c r="E41" t="str">
        <v>https://www.ozon.ru/product/zhgut-provodov-salona-i-podsvetki-2110-vaz-2110-3724551-1434229903/</v>
      </c>
      <c r="F41">
        <v>0</v>
      </c>
      <c r="G41">
        <v>0</v>
      </c>
      <c r="H41">
        <v>0</v>
      </c>
      <c r="I41">
        <v>0</v>
      </c>
    </row>
    <row r="42" spans="1:9" x14ac:dyDescent="0.25">
      <c r="A42">
        <v>155902</v>
      </c>
      <c r="B42">
        <v>890</v>
      </c>
      <c r="C42" t="str">
        <v>https://motorring.ru/product/12599-klemma-evro-21213-3724070-lada-4h4-niva-21213-2131</v>
      </c>
      <c r="D42">
        <v>974</v>
      </c>
      <c r="E42" t="str">
        <v>https://www.ozon.ru/product/provod-akb-klemma-evro-niva-vaz-21213-3724070-1451993400/</v>
      </c>
      <c r="F42">
        <v>0</v>
      </c>
      <c r="G42">
        <v>0</v>
      </c>
      <c r="H42">
        <v>0</v>
      </c>
      <c r="I42">
        <v>0</v>
      </c>
    </row>
    <row r="43" spans="1:9" x14ac:dyDescent="0.25">
      <c r="A43">
        <v>160435</v>
      </c>
      <c r="B43">
        <v>1190</v>
      </c>
      <c r="C43" t="str">
        <v>https://motorring.ru/product/12552</v>
      </c>
      <c r="D43">
        <v>2271</v>
      </c>
      <c r="E43" t="str">
        <v>https://www.ozon.ru/product/kosa-zhgut-paneli-priborov-vaz-2105-1419065893/</v>
      </c>
      <c r="F43">
        <v>0</v>
      </c>
      <c r="G43">
        <v>0</v>
      </c>
      <c r="H43">
        <v>0</v>
      </c>
      <c r="I43">
        <v>0</v>
      </c>
    </row>
    <row r="44" spans="1:9" x14ac:dyDescent="0.25">
      <c r="A44">
        <v>144819</v>
      </c>
      <c r="B44">
        <v>1190</v>
      </c>
      <c r="C44" t="str">
        <v>https://motorring.ru/product/12561-ghgut-podfarnikov-vaz-2106</v>
      </c>
      <c r="D44">
        <v>790</v>
      </c>
      <c r="E44" t="str">
        <v>https://www.ozon.ru/product/chehol-kozhuh-podfarnika-vaz-lada-2103-2106-komplekt-2-shtuki-1543435178/</v>
      </c>
      <c r="F44">
        <v>0</v>
      </c>
      <c r="G44">
        <v>0</v>
      </c>
      <c r="H44">
        <v>0</v>
      </c>
      <c r="I44">
        <v>0</v>
      </c>
    </row>
    <row r="45" spans="1:9" x14ac:dyDescent="0.25">
      <c r="A45">
        <v>144978</v>
      </c>
      <c r="B45">
        <v>1190</v>
      </c>
      <c r="C45" t="str">
        <v>https://motorring.ru/product/12594-ghgut-provodov-stekloochistitelya-1118-3724019-dlya-lada</v>
      </c>
      <c r="D45" t="str">
        <v>не нашел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25">
      <c r="A46">
        <v>144861</v>
      </c>
      <c r="B46">
        <v>829</v>
      </c>
      <c r="C46" t="str">
        <v>https://motorring.ru/product/12205</v>
      </c>
      <c r="D46" t="str">
        <v>не нашел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25">
      <c r="A47">
        <v>202567</v>
      </c>
      <c r="B47" t="str">
        <v>не нашел</v>
      </c>
      <c r="C47">
        <v>0</v>
      </c>
      <c r="D47" t="str">
        <v>не нашел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25">
      <c r="A48">
        <v>144840</v>
      </c>
      <c r="B48">
        <v>1590</v>
      </c>
      <c r="C48" t="str">
        <v>https://motorring.ru/product/12543-jgut-provodov-zadniy-21011-3724210-vaz-2101</v>
      </c>
      <c r="D48">
        <v>1246</v>
      </c>
      <c r="E48" t="str">
        <v>https://www.ozon.ru/product/zhgut-provodov-zadniy-vaz-2101-1419041871/</v>
      </c>
      <c r="F48">
        <v>0</v>
      </c>
      <c r="G48">
        <v>0</v>
      </c>
      <c r="H48">
        <v>0</v>
      </c>
      <c r="I48">
        <v>0</v>
      </c>
    </row>
    <row r="49" spans="1:9" x14ac:dyDescent="0.25">
      <c r="A49">
        <v>144822</v>
      </c>
      <c r="B49">
        <v>2190</v>
      </c>
      <c r="C49" t="str">
        <v>https://motorring.ru/product/12564-ghgut-provodov-bagaghnika-2110-3724558-dlya-vaz-2110</v>
      </c>
      <c r="D49">
        <v>2125</v>
      </c>
      <c r="E49" t="str">
        <v>https://www.ozon.ru/product/zhgut-provodov-bagazhnika-vaz-2110-1426115155/</v>
      </c>
      <c r="F49">
        <v>0</v>
      </c>
      <c r="G49">
        <v>0</v>
      </c>
      <c r="H49">
        <v>0</v>
      </c>
      <c r="I49">
        <v>0</v>
      </c>
    </row>
    <row r="50" spans="1:9" x14ac:dyDescent="0.25">
      <c r="A50">
        <v>144949</v>
      </c>
      <c r="B50">
        <v>1590</v>
      </c>
      <c r="C50" t="str">
        <v>https://motorring.ru/product/13956-ghgut-provodov-rampy-21127-3724036-cargen-dlya-lada-kalina</v>
      </c>
      <c r="D50">
        <v>577</v>
      </c>
      <c r="E50" t="str">
        <v>https://www.ozon.ru/product/zhgut-forsunok-dlya-lada-vaz-kalina-granta-kross-sport-vesta-iks-rey-s-dvigatelem-vaz-21127-1565824300/</v>
      </c>
      <c r="F50">
        <v>0</v>
      </c>
      <c r="G50">
        <v>0</v>
      </c>
      <c r="H50">
        <v>0</v>
      </c>
      <c r="I50">
        <v>0</v>
      </c>
    </row>
    <row r="51" spans="1:9" x14ac:dyDescent="0.25">
      <c r="A51">
        <v>144834</v>
      </c>
      <c r="B51" t="str">
        <v>не такой</v>
      </c>
      <c r="C51">
        <v>0</v>
      </c>
      <c r="D51">
        <v>935</v>
      </c>
      <c r="E51" t="str">
        <v>https://www.ozon.ru/product/zhgut-provodov-podklyucheniya-elektrousilitelya-rulya-eur-1117-3450008-04-dopolnitelnyy-perehodnyy-215837321/</v>
      </c>
      <c r="F51">
        <v>0</v>
      </c>
      <c r="G51">
        <v>0</v>
      </c>
      <c r="H51">
        <v>0</v>
      </c>
      <c r="I51">
        <v>0</v>
      </c>
    </row>
    <row r="52" spans="1:9" x14ac:dyDescent="0.25">
      <c r="A52">
        <v>144980</v>
      </c>
      <c r="B52">
        <v>2190</v>
      </c>
      <c r="C52" t="str">
        <v>https://motorring.ru/product/12579-ghgut-provodov-steklopodyemnikov-centralynogo-zamka</v>
      </c>
      <c r="D52">
        <v>2125</v>
      </c>
      <c r="E52" t="str">
        <v>https://www.ozon.ru/product/zhgut-provodov-steklopodemnikov-i-tsentralnogo-zamka-vaz-2110-3724226-1434239544/</v>
      </c>
      <c r="F52">
        <v>0</v>
      </c>
      <c r="G52">
        <v>0</v>
      </c>
      <c r="H52">
        <v>0</v>
      </c>
      <c r="I52">
        <v>0</v>
      </c>
    </row>
    <row r="53" spans="1:9" x14ac:dyDescent="0.25">
      <c r="A53">
        <v>144835</v>
      </c>
      <c r="B53" t="str">
        <v>не такой</v>
      </c>
      <c r="C53">
        <v>0</v>
      </c>
      <c r="D53">
        <v>1767</v>
      </c>
      <c r="E53" t="str">
        <v>https://www.ozon.ru/product/zhgut-provodov-elektrousilitelya-rulya-proizvodstvo-rossiya-ekonom-2110-vaz-2110-372410055-1435117610/</v>
      </c>
      <c r="F53">
        <v>0</v>
      </c>
      <c r="G53">
        <v>0</v>
      </c>
      <c r="H53">
        <v>0</v>
      </c>
      <c r="I53">
        <v>0</v>
      </c>
    </row>
    <row r="54" spans="1:9" x14ac:dyDescent="0.25">
      <c r="A54">
        <v>144896</v>
      </c>
      <c r="B54" t="str">
        <v>990 снят</v>
      </c>
      <c r="C54" t="str">
        <v>https://motorring.ru/product/12617</v>
      </c>
      <c r="D54" t="str">
        <v>не нашел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25">
      <c r="A55">
        <v>144960</v>
      </c>
      <c r="B55">
        <v>2190</v>
      </c>
      <c r="C55" t="str">
        <v>https://motorring.ru/product/12583</v>
      </c>
      <c r="D55">
        <v>2550</v>
      </c>
      <c r="E55" t="str">
        <v>https://www.ozon.ru/product/zhgut-provodov-sistemy-zazhiganiya-kommutatornyy-puchok-2110-vaz-2110-3724026-1435120797/</v>
      </c>
      <c r="F55">
        <v>0</v>
      </c>
      <c r="G55">
        <v>0</v>
      </c>
      <c r="H55">
        <v>0</v>
      </c>
      <c r="I55">
        <v>0</v>
      </c>
    </row>
    <row r="56" spans="1:9" x14ac:dyDescent="0.25">
      <c r="A56">
        <v>144824</v>
      </c>
      <c r="B56">
        <v>2690</v>
      </c>
      <c r="C56" t="str">
        <v>https://motorring.ru/product/12566-ghgut-provodov-bagaghnika-vaz-2112</v>
      </c>
      <c r="D56">
        <v>2440</v>
      </c>
      <c r="E56" t="str">
        <v>https://www.ozon.ru/product/zhgut-provodov-bagazhnika-vaz-2112-1426608874/</v>
      </c>
      <c r="F56">
        <v>0</v>
      </c>
      <c r="G56">
        <v>0</v>
      </c>
      <c r="H56">
        <v>0</v>
      </c>
      <c r="I56">
        <v>0</v>
      </c>
    </row>
    <row r="57" spans="1:9" x14ac:dyDescent="0.25">
      <c r="A57">
        <v>144940</v>
      </c>
      <c r="B57">
        <v>2190</v>
      </c>
      <c r="C57" t="str">
        <v>https://motorring.ru/product/12574-ghgut-provodov-pechki-stekloochistitelya-2112-3724019</v>
      </c>
      <c r="D57">
        <v>1795</v>
      </c>
      <c r="E57" t="str">
        <v>https://www.ozon.ru/product/zhgut-provodov-pechki-i-stekloochistitelya-2110-vaz-2110-3724019-1434226129/</v>
      </c>
      <c r="F57">
        <v>0</v>
      </c>
      <c r="G57">
        <v>0</v>
      </c>
      <c r="H57">
        <v>0</v>
      </c>
      <c r="I57">
        <v>0</v>
      </c>
    </row>
    <row r="58" spans="1:9" x14ac:dyDescent="0.25">
      <c r="A58">
        <v>144941</v>
      </c>
      <c r="B58">
        <v>2190</v>
      </c>
      <c r="C58" t="str">
        <v>https://motorring.ru/product/12574-ghgut-provodov-pechki-stekloochistitelya-2112-3724019</v>
      </c>
      <c r="D58">
        <v>1795</v>
      </c>
      <c r="E58" t="str">
        <v>https://www.ozon.ru/product/zhgut-provodov-pechki-i-stekloochistitelya-2110-vaz-2112-3724019-1434216650/</v>
      </c>
      <c r="F58">
        <v>0</v>
      </c>
      <c r="G58">
        <v>0</v>
      </c>
      <c r="H58">
        <v>0</v>
      </c>
      <c r="I58">
        <v>0</v>
      </c>
    </row>
    <row r="59" spans="1:9" x14ac:dyDescent="0.25">
      <c r="A59">
        <v>144823</v>
      </c>
      <c r="B59">
        <v>2690</v>
      </c>
      <c r="C59" t="str">
        <v>https://motorring.ru/product/12565</v>
      </c>
      <c r="D59">
        <v>1978</v>
      </c>
      <c r="E59" t="str">
        <v>https://www.ozon.ru/product/zhgut-provodov-bagazhnika-vaz-2111-1426608879/</v>
      </c>
      <c r="F59">
        <v>0</v>
      </c>
      <c r="G59">
        <v>0</v>
      </c>
      <c r="H59">
        <v>0</v>
      </c>
      <c r="I59">
        <v>0</v>
      </c>
    </row>
    <row r="60" spans="1:9" x14ac:dyDescent="0.25">
      <c r="A60">
        <v>201273</v>
      </c>
      <c r="B60" t="str">
        <v>не нашел</v>
      </c>
      <c r="C60">
        <v>0</v>
      </c>
      <c r="D60" t="str">
        <v>не нашел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25">
      <c r="A61">
        <v>144951</v>
      </c>
      <c r="B61">
        <v>2190</v>
      </c>
      <c r="C61" t="str">
        <v>https://motorring.ru/product/13981-ghgut-provodov-rampy-21179-3724036-00-cargen-vesta</v>
      </c>
      <c r="D61">
        <v>3433</v>
      </c>
      <c r="E61" t="str">
        <v>https://www.ozon.ru/product/provodka-lada-vesta-dv-21179-zhgut-forsunok-cargen-1491051828/</v>
      </c>
      <c r="F61">
        <v>0</v>
      </c>
      <c r="G61">
        <v>0</v>
      </c>
      <c r="H61">
        <v>0</v>
      </c>
      <c r="I61">
        <v>0</v>
      </c>
    </row>
    <row r="62" spans="1:9" x14ac:dyDescent="0.25">
      <c r="A62">
        <v>144820</v>
      </c>
      <c r="B62">
        <v>2490</v>
      </c>
      <c r="C62" t="str">
        <v>https://motorring.ru/product/4597-ghgut-provodov-dlya-podklyucheniya-elektrousilitelya-rulya</v>
      </c>
      <c r="D62">
        <v>1734</v>
      </c>
      <c r="E62" t="str">
        <v>https://www.ozon.ru/product/zhgut-provodov-dlya-podklyucheniya-elektrousilitelya-rulya-eur-avtomobilya-vaz-2110-2111-2112-kalina-215836981/</v>
      </c>
      <c r="F62">
        <v>0</v>
      </c>
      <c r="G62">
        <v>0</v>
      </c>
      <c r="H62">
        <v>0</v>
      </c>
      <c r="I62">
        <v>0</v>
      </c>
    </row>
    <row r="63" spans="1:9" x14ac:dyDescent="0.25">
      <c r="A63">
        <v>144895</v>
      </c>
      <c r="B63" t="str">
        <v>не нашел</v>
      </c>
      <c r="C63">
        <v>0</v>
      </c>
      <c r="D63" t="str">
        <v>не нашел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25">
      <c r="A64">
        <v>144932</v>
      </c>
      <c r="B64">
        <v>2890</v>
      </c>
      <c r="C64" t="str">
        <v>https://motorring.ru/product/16522-ghgut-provodov-peredney-levoy-dveri-11186-3724551-dlya-lada</v>
      </c>
      <c r="D64" t="str">
        <v>6070 дорого</v>
      </c>
      <c r="E64" t="str">
        <v>https://www.ozon.ru/product/zhgut-provodov-levoy-peredney-dveri-s-elektro-podemnikom-obogrevom-na-kalina-380065251/</v>
      </c>
      <c r="F64">
        <v>0</v>
      </c>
      <c r="G64">
        <v>0</v>
      </c>
      <c r="H64">
        <v>0</v>
      </c>
      <c r="I64">
        <v>0</v>
      </c>
    </row>
    <row r="65" spans="1:9" x14ac:dyDescent="0.25">
      <c r="A65">
        <v>144933</v>
      </c>
      <c r="B65">
        <v>2890</v>
      </c>
      <c r="C65" t="str">
        <v>https://motorring.ru/product/12655-ghgut-provodov-peredney-levoy-dveri-2190-3724545-10-dlya</v>
      </c>
      <c r="D65">
        <v>2796</v>
      </c>
      <c r="E65" t="str">
        <v>https://www.ozon.ru/product/zhgut-provodov-peredney-levoy-dveri-granta-vaz-2190-3724545-10-1465378106/</v>
      </c>
      <c r="F65">
        <v>0</v>
      </c>
      <c r="G65">
        <v>0</v>
      </c>
      <c r="H65">
        <v>0</v>
      </c>
      <c r="I65">
        <v>0</v>
      </c>
    </row>
    <row r="66" spans="1:9" x14ac:dyDescent="0.25">
      <c r="A66">
        <v>144936</v>
      </c>
      <c r="B66">
        <v>2190</v>
      </c>
      <c r="C66" t="str">
        <v>https://motorring.ru/product/16523-ghgut-provodov-peredney-pravoy-dveri-11186-3724550-dlya</v>
      </c>
      <c r="D66" t="str">
        <v>не нашел</v>
      </c>
      <c r="E66">
        <v>0</v>
      </c>
      <c r="F66">
        <v>0</v>
      </c>
      <c r="G66">
        <v>0</v>
      </c>
      <c r="H66">
        <v>0</v>
      </c>
      <c r="I66">
        <v>0</v>
      </c>
    </row>
    <row r="67" spans="1:9" x14ac:dyDescent="0.25">
      <c r="A67">
        <v>144937</v>
      </c>
      <c r="B67">
        <v>2890</v>
      </c>
      <c r="C67" t="str">
        <v>https://motorring.ru/product/12657-ghgut-provodov-peredney-pravoy-dveri-2190-3724544-10-dlya</v>
      </c>
      <c r="D67">
        <v>2198</v>
      </c>
      <c r="E67" t="str">
        <v>https://www.ozon.ru/product/zhgut-provodov-peredney-pravoy-dveri-granta-vaz-2190-3724544-10-1465380772/</v>
      </c>
      <c r="F67">
        <v>0</v>
      </c>
      <c r="G67">
        <v>0</v>
      </c>
      <c r="H67">
        <v>0</v>
      </c>
      <c r="I67">
        <v>0</v>
      </c>
    </row>
    <row r="68" spans="1:9" x14ac:dyDescent="0.25">
      <c r="A68">
        <v>144955</v>
      </c>
      <c r="B68">
        <v>3590</v>
      </c>
      <c r="C68" t="str">
        <v>https://motorring.ru/product/13960-ghgut-provodov-salona-zadnih-fonarey-2109-3724210-dlya-vaz</v>
      </c>
      <c r="D68">
        <v>3370</v>
      </c>
      <c r="E68" t="str">
        <v>https://www.ozon.ru/product/zhgut-provodov-zadniy-salona-i-zadnih-fonarey-na-vaz-2109-1426561647/</v>
      </c>
      <c r="F68">
        <v>0</v>
      </c>
      <c r="G68">
        <v>0</v>
      </c>
      <c r="H68">
        <v>0</v>
      </c>
      <c r="I68">
        <v>0</v>
      </c>
    </row>
    <row r="69" spans="1:9" x14ac:dyDescent="0.25">
      <c r="A69">
        <v>144934</v>
      </c>
      <c r="B69">
        <v>2890</v>
      </c>
      <c r="C69" t="str">
        <v>https://motorring.ru/product/12641-ghgut-provodov-peredney-pravoy-dveri-bez-povtoritelya</v>
      </c>
      <c r="D69" t="str">
        <v>не нашел</v>
      </c>
      <c r="E69">
        <v>0</v>
      </c>
      <c r="F69">
        <v>0</v>
      </c>
      <c r="G69">
        <v>0</v>
      </c>
      <c r="H69">
        <v>0</v>
      </c>
      <c r="I69">
        <v>0</v>
      </c>
    </row>
    <row r="70" spans="1:9" x14ac:dyDescent="0.25">
      <c r="A70">
        <v>144950</v>
      </c>
      <c r="B70">
        <v>1890</v>
      </c>
      <c r="C70" t="str">
        <v>https://motorring.ru/product/13972-ghgut-provodov-rampy-21129-3724036-00-lada-kalina-granta</v>
      </c>
      <c r="D70">
        <v>1981</v>
      </c>
      <c r="E70" t="str">
        <v>https://www.ozon.ru/product/zhgut-provodov-forsunok-vesta-dvigatel-21129-cargen-913147493/</v>
      </c>
      <c r="F70">
        <v>0</v>
      </c>
      <c r="G70">
        <v>0</v>
      </c>
      <c r="H70">
        <v>0</v>
      </c>
      <c r="I70">
        <v>0</v>
      </c>
    </row>
    <row r="71" spans="1:9" x14ac:dyDescent="0.25">
      <c r="A71">
        <v>144842</v>
      </c>
      <c r="B71">
        <v>3690</v>
      </c>
      <c r="C71" t="str">
        <v>https://motorring.ru/product/13959-ghgut-provodov-zadniy-2106-3724210-dlya-vaz-2106</v>
      </c>
      <c r="D71">
        <v>3224</v>
      </c>
      <c r="E71" t="str">
        <v>https://www.ozon.ru/product/zhgut-provodov-zadniy-vaz-2106-1419091255/</v>
      </c>
      <c r="F71">
        <v>0</v>
      </c>
      <c r="G71">
        <v>0</v>
      </c>
      <c r="H71">
        <v>0</v>
      </c>
      <c r="I71">
        <v>0</v>
      </c>
    </row>
    <row r="72" spans="1:9" x14ac:dyDescent="0.25">
      <c r="A72">
        <v>144817</v>
      </c>
      <c r="B72" t="str">
        <v>не нашел</v>
      </c>
      <c r="C72">
        <v>0</v>
      </c>
      <c r="D72">
        <v>4762</v>
      </c>
      <c r="E72" t="str">
        <v>https://www.ozon.ru/product/zhgut-paneli-priborov-vaz-2104-1419051757/</v>
      </c>
      <c r="F72">
        <v>0</v>
      </c>
      <c r="G72">
        <v>0</v>
      </c>
      <c r="H72">
        <v>0</v>
      </c>
      <c r="I72">
        <v>0</v>
      </c>
    </row>
    <row r="73" spans="1:9" x14ac:dyDescent="0.25">
      <c r="A73">
        <v>144897</v>
      </c>
      <c r="B73">
        <v>2890</v>
      </c>
      <c r="C73" t="str">
        <v>https://motorring.ru/product/13937-ghgut-provodov-motornogo-otseka-21050-3724010-dlya-vaz-2104</v>
      </c>
      <c r="D73" t="str">
        <v>не нашел</v>
      </c>
      <c r="E73">
        <v>0</v>
      </c>
      <c r="F73">
        <v>0</v>
      </c>
      <c r="G73">
        <v>0</v>
      </c>
      <c r="H73">
        <v>0</v>
      </c>
      <c r="I73">
        <v>0</v>
      </c>
    </row>
    <row r="74" spans="1:9" x14ac:dyDescent="0.25">
      <c r="A74">
        <v>144804</v>
      </c>
      <c r="B74">
        <v>5690</v>
      </c>
      <c r="C74" t="str">
        <v>https://motorring.ru/product/12548-ghgut-paneli-priborov-2105-3724030-vaz-2105</v>
      </c>
      <c r="D74">
        <v>5641</v>
      </c>
      <c r="E74" t="str">
        <v>https://www.ozon.ru/product/zhgut-paneli-priborov-vaz-2105-s-inzhektorom-1419068340/</v>
      </c>
      <c r="F74">
        <v>0</v>
      </c>
      <c r="G74">
        <v>0</v>
      </c>
      <c r="H74">
        <v>0</v>
      </c>
      <c r="I74">
        <v>0</v>
      </c>
    </row>
    <row r="75" spans="1:9" x14ac:dyDescent="0.25">
      <c r="A75">
        <v>144841</v>
      </c>
      <c r="B75">
        <v>3590</v>
      </c>
      <c r="C75" t="str">
        <v>https://motorring.ru/product/12557-ghgut-provodov-zadniy-2105-3724210-dlya-vaz-2105</v>
      </c>
      <c r="D75">
        <v>3224</v>
      </c>
      <c r="E75" t="str">
        <v>https://www.ozon.ru/product/zhgut-provodov-zadniy-vaz-2105-1419070182/</v>
      </c>
      <c r="F75">
        <v>0</v>
      </c>
      <c r="G75">
        <v>0</v>
      </c>
      <c r="H75">
        <v>0</v>
      </c>
      <c r="I75">
        <v>0</v>
      </c>
    </row>
    <row r="76" spans="1:9" x14ac:dyDescent="0.25">
      <c r="A76">
        <v>144944</v>
      </c>
      <c r="B76">
        <v>2890</v>
      </c>
      <c r="C76" t="str">
        <v>https://motorring.ru/product/12550</v>
      </c>
      <c r="D76">
        <v>4579</v>
      </c>
      <c r="E76" t="str">
        <v>https://www.ozon.ru/product/zhgut-provodov-1426120234/</v>
      </c>
      <c r="F76">
        <v>0</v>
      </c>
      <c r="G76">
        <v>0</v>
      </c>
      <c r="H76">
        <v>0</v>
      </c>
      <c r="I76">
        <v>0</v>
      </c>
    </row>
    <row r="77" spans="1:9" x14ac:dyDescent="0.25">
      <c r="A77">
        <v>144945</v>
      </c>
      <c r="B77">
        <v>3590</v>
      </c>
      <c r="C77" t="str">
        <v>https://motorring.ru/product/12551-ghgut-provodov-pod-kapot-2105-sbore-dlya-vaz-2104-2105-2107</v>
      </c>
      <c r="D77">
        <v>2889</v>
      </c>
      <c r="E77" t="str">
        <v>https://www.ozon.ru/product/zhgut-provodov-po-kapot-dlya-karbyuratornyh-vaz-2107-2105-2104-v-sbore-1717706640/</v>
      </c>
      <c r="F77">
        <v>0</v>
      </c>
      <c r="G77">
        <v>0</v>
      </c>
      <c r="H77">
        <v>0</v>
      </c>
      <c r="I77">
        <v>0</v>
      </c>
    </row>
    <row r="78" spans="1:9" x14ac:dyDescent="0.25">
      <c r="A78">
        <v>144946</v>
      </c>
      <c r="B78">
        <v>2890</v>
      </c>
      <c r="C78" t="str">
        <v>https://motorring.ru/product/12550</v>
      </c>
      <c r="D78">
        <v>4911</v>
      </c>
      <c r="E78" t="str">
        <v>https://www.ozon.ru/product/zhgut-provodov-2107-3724016-pod-kapot-v-sbore-dlya-karbyuratornyh-vaz-2104-2105-2107-1773038661/</v>
      </c>
      <c r="F78">
        <v>0</v>
      </c>
      <c r="G78">
        <v>0</v>
      </c>
      <c r="H78">
        <v>0</v>
      </c>
      <c r="I78">
        <v>0</v>
      </c>
    </row>
    <row r="79" spans="1:9" x14ac:dyDescent="0.25">
      <c r="A79">
        <v>144843</v>
      </c>
      <c r="B79">
        <v>3590</v>
      </c>
      <c r="C79" t="str">
        <v>https://motorring.ru/product/13958-ghgut-provodov-zadniy-2107-3724210-20-dlya-vaz-2105-2107</v>
      </c>
      <c r="D79">
        <v>3621</v>
      </c>
      <c r="E79" t="str">
        <v>https://www.ozon.ru/product/zhgut-provodov-zadniy-vaz-2105-2107-s-inzhektorom-1419072898/</v>
      </c>
      <c r="F79">
        <v>0</v>
      </c>
      <c r="G79">
        <v>0</v>
      </c>
      <c r="H79">
        <v>0</v>
      </c>
      <c r="I79">
        <v>0</v>
      </c>
    </row>
    <row r="80" spans="1:9" x14ac:dyDescent="0.25">
      <c r="A80">
        <v>144903</v>
      </c>
      <c r="B80">
        <v>4990</v>
      </c>
      <c r="C80" t="str">
        <v>https://motorring.ru/product/13944-ghgut-provodov-paneli-priborov-2108-3724030-vaz-2108-21099</v>
      </c>
      <c r="D80">
        <v>5070</v>
      </c>
      <c r="E80" t="str">
        <v>https://www.ozon.ru/product/zhgut-provodov-paneli-priborov-pod-nizkuyu-panel-vaz-2108-1425051636/</v>
      </c>
      <c r="F80">
        <v>0</v>
      </c>
      <c r="G80">
        <v>0</v>
      </c>
      <c r="H80">
        <v>0</v>
      </c>
      <c r="I80">
        <v>0</v>
      </c>
    </row>
    <row r="81" spans="1:9" x14ac:dyDescent="0.25">
      <c r="A81">
        <v>144827</v>
      </c>
      <c r="B81">
        <v>2890</v>
      </c>
      <c r="C81" t="str">
        <v>https://motorring.ru/product/12206-ghgut-provodov-steklopodyemnikov-bokovyh-dverey</v>
      </c>
      <c r="D81">
        <v>3621</v>
      </c>
      <c r="E81" t="str">
        <v>https://www.ozon.ru/product/zhgut-provodov-bokovyh-steklopodemnikov-i-tsentralnogo-zamka-iz-4-h-chastey-komplekt-2114-vaz-1449838558/</v>
      </c>
      <c r="F81">
        <v>0</v>
      </c>
      <c r="G81">
        <v>0</v>
      </c>
      <c r="H81">
        <v>0</v>
      </c>
      <c r="I81">
        <v>0</v>
      </c>
    </row>
    <row r="82" spans="1:9" x14ac:dyDescent="0.25">
      <c r="A82">
        <v>144830</v>
      </c>
      <c r="B82">
        <v>3590</v>
      </c>
      <c r="C82" t="str">
        <v>https://motorring.ru/product/13973-ghgut-provodov-dveri-voditelya-2123-3724551-14-dlya</v>
      </c>
      <c r="D82">
        <v>2898</v>
      </c>
      <c r="E82" t="str">
        <v>https://www.ozon.ru/product/zhgut-provodov-levoy-dveri-shevrole-niva-vaz-2123-3724551-1465421852/</v>
      </c>
      <c r="F82">
        <v>0</v>
      </c>
      <c r="G82">
        <v>0</v>
      </c>
      <c r="H82">
        <v>0</v>
      </c>
      <c r="I82">
        <v>0</v>
      </c>
    </row>
    <row r="83" spans="1:9" x14ac:dyDescent="0.25">
      <c r="A83">
        <v>144930</v>
      </c>
      <c r="B83">
        <v>3590</v>
      </c>
      <c r="C83" t="str">
        <v>https://motorring.ru/product/12639-ghgut-provodov-peredney-levoy-dveri-bez-povtoritelya</v>
      </c>
      <c r="D83">
        <v>3621</v>
      </c>
      <c r="E83" t="str">
        <v>https://www.ozon.ru/product/zhgut-provodov-peredney-levoy-dveri-bez-povtoritelya-priora-vaz-21703-3724551-90-1467973417/</v>
      </c>
      <c r="F83">
        <v>0</v>
      </c>
      <c r="G83">
        <v>0</v>
      </c>
      <c r="H83">
        <v>0</v>
      </c>
      <c r="I83">
        <v>0</v>
      </c>
    </row>
    <row r="84" spans="1:9" x14ac:dyDescent="0.25">
      <c r="A84">
        <v>144942</v>
      </c>
      <c r="B84">
        <v>4290</v>
      </c>
      <c r="C84" t="str">
        <v>https://motorring.ru/product/12542-jgut-provodov-pod-kapot-21011-3724008-vaz-2101</v>
      </c>
      <c r="D84">
        <v>4274</v>
      </c>
      <c r="E84" t="str">
        <v>https://www.ozon.ru/product/zhgut-provodov-pod-kapot-perednyaya-chast-vaz-2101-1419032102/</v>
      </c>
      <c r="F84">
        <v>0</v>
      </c>
      <c r="G84">
        <v>0</v>
      </c>
      <c r="H84">
        <v>0</v>
      </c>
      <c r="I84">
        <v>0</v>
      </c>
    </row>
    <row r="85" spans="1:9" x14ac:dyDescent="0.25">
      <c r="A85">
        <v>144806</v>
      </c>
      <c r="B85">
        <v>6390</v>
      </c>
      <c r="C85" t="str">
        <v>https://motorring.ru/product/13942-ghgut-paneli-priborov-2107-3724030-dlya-karbyuratornyh-vaz</v>
      </c>
      <c r="D85" t="str">
        <v>не нашел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25">
      <c r="A86">
        <v>144905</v>
      </c>
      <c r="B86">
        <v>5690</v>
      </c>
      <c r="C86" t="str">
        <v>https://motorring.ru/product/13946-ghgut-provodov-paneli-priborov-21083-3724030-dlya-vaz</v>
      </c>
      <c r="D86">
        <v>5650</v>
      </c>
      <c r="E86" t="str">
        <v>https://www.ozon.ru/product/zhgut-provodov-paneli-priborov-karbyurator-s-vysokoy-panelyu-21083-1425041205/</v>
      </c>
      <c r="F86">
        <v>0</v>
      </c>
      <c r="G86">
        <v>0</v>
      </c>
      <c r="H86">
        <v>0</v>
      </c>
      <c r="I86">
        <v>0</v>
      </c>
    </row>
    <row r="87" spans="1:9" x14ac:dyDescent="0.25">
      <c r="A87">
        <v>144956</v>
      </c>
      <c r="B87">
        <v>4290</v>
      </c>
      <c r="C87" t="str">
        <v>https://motorring.ru/product/13961-ghgut-provodov-salona-zadnih-fonarey-21099-3724210-dlya-vaz</v>
      </c>
      <c r="D87">
        <v>4346</v>
      </c>
      <c r="E87" t="str">
        <v>https://www.ozon.ru/product/zhgut-provodov-zadniy-salona-i-zadnih-fonarey-na-vaz-21099-1426105271/</v>
      </c>
      <c r="F87">
        <v>0</v>
      </c>
      <c r="G87">
        <v>0</v>
      </c>
      <c r="H87">
        <v>0</v>
      </c>
      <c r="I87">
        <v>0</v>
      </c>
    </row>
    <row r="88" spans="1:9" x14ac:dyDescent="0.25">
      <c r="A88">
        <v>144984</v>
      </c>
      <c r="B88">
        <v>5690</v>
      </c>
      <c r="C88" t="str">
        <v>https://motorring.ru/product/13964-ghgut-provodov-far-generatora-2110-3724010-20-dlya-vaz</v>
      </c>
      <c r="D88">
        <v>4846</v>
      </c>
      <c r="E88" t="str">
        <v>https://www.ozon.ru/product/zhgut-provodov-far-i-generatora-2110-vaz-2110-3724010-20-1434241534/</v>
      </c>
      <c r="F88">
        <v>0</v>
      </c>
      <c r="G88">
        <v>0</v>
      </c>
      <c r="H88">
        <v>0</v>
      </c>
      <c r="I88">
        <v>0</v>
      </c>
    </row>
    <row r="89" spans="1:9" x14ac:dyDescent="0.25">
      <c r="A89">
        <v>144847</v>
      </c>
      <c r="B89">
        <v>4290</v>
      </c>
      <c r="C89" t="str">
        <v>https://motorring.ru/product/39077-ghgut-provodov-zadniy-21144-3724210-10-dlya-vaz-2108-2109</v>
      </c>
      <c r="D89">
        <v>4089</v>
      </c>
      <c r="E89" t="str">
        <v>https://www.ozon.ru/product/zhgut-provodov-zadniy-2114-vaz-2114-3724210-1449852107/</v>
      </c>
      <c r="F89">
        <v>0</v>
      </c>
      <c r="G89">
        <v>0</v>
      </c>
      <c r="H89">
        <v>0</v>
      </c>
      <c r="I89">
        <v>0</v>
      </c>
    </row>
    <row r="90" spans="1:9" x14ac:dyDescent="0.25">
      <c r="A90">
        <v>144850</v>
      </c>
      <c r="B90">
        <v>3590</v>
      </c>
      <c r="C90" t="str">
        <v>https://motorring.ru/product/12209-ghgut-provodov-zadniy-2115-3724210-41-dlya-vaz-2115</v>
      </c>
      <c r="D90" t="str">
        <v>не нашел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25">
      <c r="A91">
        <v>144849</v>
      </c>
      <c r="B91">
        <v>4290</v>
      </c>
      <c r="C91" t="str">
        <v>https://motorring.ru/product/12210-ghgut-provodov-zadniy-2115-3724210-31-vaz-2115</v>
      </c>
      <c r="D91">
        <v>4564</v>
      </c>
      <c r="E91" t="str">
        <v>https://www.ozon.ru/product/zhgut-provodov-zadniy-2114-vaz-2115-3724210-31-1449855775/</v>
      </c>
      <c r="F91">
        <v>0</v>
      </c>
      <c r="G91">
        <v>0</v>
      </c>
      <c r="H91">
        <v>0</v>
      </c>
      <c r="I91">
        <v>0</v>
      </c>
    </row>
    <row r="92" spans="1:9" x14ac:dyDescent="0.25">
      <c r="A92">
        <v>144848</v>
      </c>
      <c r="B92">
        <v>4290</v>
      </c>
      <c r="C92" t="str">
        <v>https://motorring.ru/product/12212-ghgut-provodov-zadniy-2115-3724210-dlya-vaz-2115</v>
      </c>
      <c r="D92" t="str">
        <v>не нашел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25">
      <c r="A93">
        <v>202082</v>
      </c>
      <c r="B93">
        <v>5690</v>
      </c>
      <c r="C93" t="str">
        <v>https://motorring.ru/product/25895-ghgut-provodov-paneli-priborov-2115-3724030-50-vaz</v>
      </c>
      <c r="D93">
        <v>5288</v>
      </c>
      <c r="E93" t="str">
        <v>https://www.ozon.ru/product/zhgut-provodov-paneli-priborov-2114-vaz-2115-3724030-50-1435124650/</v>
      </c>
      <c r="F93">
        <v>0</v>
      </c>
      <c r="G93">
        <v>0</v>
      </c>
      <c r="H93">
        <v>0</v>
      </c>
      <c r="I93">
        <v>0</v>
      </c>
    </row>
    <row r="94" spans="1:9" x14ac:dyDescent="0.25">
      <c r="A94">
        <v>144938</v>
      </c>
      <c r="B94">
        <v>4990</v>
      </c>
      <c r="C94" t="str">
        <v>https://motorring.ru/product/26489-farogeneratornyy-ghgut-provodov-21154-3724010-30-dlya</v>
      </c>
      <c r="D94">
        <v>5070</v>
      </c>
      <c r="E94" t="str">
        <v>https://www.ozon.ru/product/zhgut-provodov-farogeneratornyy-s-elektronnoy-pedalyu-gaza-2114-2115-vaz-21154-3724010-30-1449856936/</v>
      </c>
      <c r="F94">
        <v>0</v>
      </c>
      <c r="G94">
        <v>0</v>
      </c>
      <c r="H94">
        <v>0</v>
      </c>
      <c r="I94">
        <v>0</v>
      </c>
    </row>
    <row r="95" spans="1:9" x14ac:dyDescent="0.25">
      <c r="A95">
        <v>144898</v>
      </c>
      <c r="B95">
        <v>4990</v>
      </c>
      <c r="C95" t="str">
        <v>https://motorring.ru/product/13971-ghgut-provodov-motornogo-otseka-21213-3724010-dlya-lada-4h4</v>
      </c>
      <c r="D95">
        <v>3163</v>
      </c>
      <c r="E95" t="str">
        <v>https://www.ozon.ru/product/zhgut-provodov-far-i-generatora-dlya-niva-21213-provod-generatora-niva-oem-nomer-21213-3724010-215837283/</v>
      </c>
      <c r="F95">
        <v>0</v>
      </c>
      <c r="G95">
        <v>0</v>
      </c>
      <c r="H95">
        <v>0</v>
      </c>
      <c r="I95">
        <v>0</v>
      </c>
    </row>
    <row r="96" spans="1:9" x14ac:dyDescent="0.25">
      <c r="A96">
        <v>144851</v>
      </c>
      <c r="B96">
        <v>4290</v>
      </c>
      <c r="C96" t="str">
        <v>https://motorring.ru/product/12601-ghgut-provodov-zadniy-21213-3724210-dlya-korotkoy-lada-4h4</v>
      </c>
      <c r="D96">
        <v>4327</v>
      </c>
      <c r="E96" t="str">
        <v>https://www.ozon.ru/product/zhgut-provodov-zadniy-niva-vaz-21213-3724210-1449876413/</v>
      </c>
      <c r="F96">
        <v>0</v>
      </c>
      <c r="G96">
        <v>0</v>
      </c>
      <c r="H96">
        <v>0</v>
      </c>
      <c r="I96">
        <v>0</v>
      </c>
    </row>
    <row r="97" spans="1:9" x14ac:dyDescent="0.25">
      <c r="A97">
        <v>144935</v>
      </c>
      <c r="B97">
        <v>4290</v>
      </c>
      <c r="C97" t="str">
        <v>https://motorring.ru/product/12642-ghgut-provodov-peredney-pravoy-dveri-povtoritelem</v>
      </c>
      <c r="D97">
        <v>3894</v>
      </c>
      <c r="E97" t="str">
        <v>https://www.ozon.ru/product/zhgut-provodov-peredney-pravoy-dveri-s-povtoritelem-priora-vaz-2172-3724550-30-1467976923/</v>
      </c>
      <c r="F97">
        <v>0</v>
      </c>
      <c r="G97">
        <v>0</v>
      </c>
      <c r="H97">
        <v>0</v>
      </c>
      <c r="I97">
        <v>0</v>
      </c>
    </row>
    <row r="98" spans="1:9" x14ac:dyDescent="0.25">
      <c r="A98">
        <v>144931</v>
      </c>
      <c r="B98">
        <v>4290</v>
      </c>
      <c r="C98" t="str">
        <v>https://motorring.ru/product/12640-ghgut-provodov-peredney-levoy-dveri-povtoritelem</v>
      </c>
      <c r="D98">
        <v>2983</v>
      </c>
      <c r="E98" t="str">
        <v>https://www.ozon.ru/product/zhgut-provodov-peredney-levoy-dveri-s-povtoritelem-priora-vaz-2172-3724551-30-1467974668/</v>
      </c>
      <c r="F98">
        <v>0</v>
      </c>
      <c r="G98">
        <v>0</v>
      </c>
      <c r="H98">
        <v>0</v>
      </c>
      <c r="I98">
        <v>0</v>
      </c>
    </row>
    <row r="99" spans="1:9" x14ac:dyDescent="0.25">
      <c r="A99">
        <v>153100</v>
      </c>
      <c r="B99" t="str">
        <v>не нашел</v>
      </c>
      <c r="C99">
        <v>0</v>
      </c>
      <c r="D99" t="str">
        <v>10133 дорого</v>
      </c>
      <c r="E99" t="str">
        <v>https://www.ozon.ru/product/zhgut-ot-displeya-do-magnitoly-2192-7905030-na-vaz-kalina-2-priora-2-362833678/</v>
      </c>
      <c r="F99">
        <v>0</v>
      </c>
      <c r="G99">
        <v>0</v>
      </c>
      <c r="H99">
        <v>0</v>
      </c>
      <c r="I99">
        <v>0</v>
      </c>
    </row>
    <row r="100" spans="1:9" x14ac:dyDescent="0.25">
      <c r="A100">
        <v>144818</v>
      </c>
      <c r="B100">
        <v>6390</v>
      </c>
      <c r="C100" t="str">
        <v>https://motorring.ru/product/12546-ghgut-paneli-priborov-21043-3724030-vaz-2104-panelyyu-2107</v>
      </c>
      <c r="D100">
        <v>5769</v>
      </c>
      <c r="E100" t="str">
        <v>https://www.ozon.ru/product/zhgut-paneli-priborov-vaz-2104-s-panelyu-2107-1419050075/</v>
      </c>
      <c r="F100">
        <v>0</v>
      </c>
      <c r="G100">
        <v>0</v>
      </c>
      <c r="H100">
        <v>0</v>
      </c>
      <c r="I100">
        <v>0</v>
      </c>
    </row>
    <row r="101" spans="1:9" x14ac:dyDescent="0.25">
      <c r="A101">
        <v>144957</v>
      </c>
      <c r="B101">
        <v>4290</v>
      </c>
      <c r="C101" t="str">
        <v>https://motorring.ru/product/13957-ghgut-provodov-salona-zadnih-fonarey-2104-3724210-dlya-vaz</v>
      </c>
      <c r="D101">
        <v>4688</v>
      </c>
      <c r="E101" t="str">
        <v>https://www.ozon.ru/product/zhgut-provodov-salona-i-zadnih-fonarey-vaz-2104-1419054557/</v>
      </c>
      <c r="F101">
        <v>0</v>
      </c>
      <c r="G101">
        <v>0</v>
      </c>
      <c r="H101">
        <v>0</v>
      </c>
      <c r="I101">
        <v>0</v>
      </c>
    </row>
    <row r="102" spans="1:9" x14ac:dyDescent="0.25">
      <c r="A102">
        <v>144816</v>
      </c>
      <c r="B102">
        <v>6390</v>
      </c>
      <c r="C102" t="str">
        <v>https://motorring.ru/product/12549</v>
      </c>
      <c r="D102">
        <v>5553</v>
      </c>
      <c r="E102" t="str">
        <v>https://www.ozon.ru/product/zhgut-paneli-priborov-vaz-2104-1419057821/</v>
      </c>
      <c r="F102">
        <v>0</v>
      </c>
      <c r="G102">
        <v>0</v>
      </c>
      <c r="H102">
        <v>0</v>
      </c>
      <c r="I102">
        <v>0</v>
      </c>
    </row>
    <row r="103" spans="1:9" x14ac:dyDescent="0.25">
      <c r="A103">
        <v>144805</v>
      </c>
      <c r="B103">
        <v>6390</v>
      </c>
      <c r="C103" t="str">
        <v>https://motorring.ru/product/12553-ghgut-paneli-priborov-21053-3724030-dlya-vaz-2105</v>
      </c>
      <c r="D103">
        <v>5553</v>
      </c>
      <c r="E103" t="str">
        <v>https://www.ozon.ru/product/zhgut-paneli-priborov-vaz-2105-s-inzhektorom-1419068340/</v>
      </c>
      <c r="F103">
        <v>0</v>
      </c>
      <c r="G103">
        <v>0</v>
      </c>
      <c r="H103">
        <v>0</v>
      </c>
      <c r="I103">
        <v>0</v>
      </c>
    </row>
    <row r="104" spans="1:9" x14ac:dyDescent="0.25">
      <c r="A104">
        <v>144807</v>
      </c>
      <c r="B104">
        <v>6390</v>
      </c>
      <c r="C104" t="str">
        <v>https://motorring.ru/product/13943-ghgut-paneli-priborov-21073-3724030-30-dlya-vaz-2107</v>
      </c>
      <c r="D104">
        <v>7421</v>
      </c>
      <c r="E104" t="str">
        <v>https://www.ozon.ru/product/zhgut-paneli-priborov-vaz-21073-3724030-30-inzhektor-1775045448/</v>
      </c>
      <c r="F104">
        <v>0</v>
      </c>
      <c r="G104">
        <v>0</v>
      </c>
      <c r="H104">
        <v>0</v>
      </c>
      <c r="I104">
        <v>0</v>
      </c>
    </row>
    <row r="105" spans="1:9" x14ac:dyDescent="0.25">
      <c r="A105">
        <v>144904</v>
      </c>
      <c r="B105">
        <v>5690</v>
      </c>
      <c r="C105" t="str">
        <v>https://motorring.ru/product/13945-ghgut-provodov-paneli-priborov-21082-3724030-dlya-vaz</v>
      </c>
      <c r="D105">
        <v>4966</v>
      </c>
      <c r="E105" t="str">
        <v>https://www.ozon.ru/product/zhgut-provodov-paneli-priborov-inzhektor-s-vysokoy-panelyu-21082-1425030508/</v>
      </c>
      <c r="F105">
        <v>0</v>
      </c>
      <c r="G105">
        <v>0</v>
      </c>
      <c r="H105">
        <v>0</v>
      </c>
      <c r="I105">
        <v>0</v>
      </c>
    </row>
    <row r="106" spans="1:9" x14ac:dyDescent="0.25">
      <c r="A106">
        <v>194471</v>
      </c>
      <c r="B106">
        <v>5690</v>
      </c>
      <c r="C106" t="str">
        <v>https://motorring.ru/product/13951-ghgut-provodov-paneli-priborov-21145-3724030-10-dlya-vaz</v>
      </c>
      <c r="D106">
        <v>5128</v>
      </c>
      <c r="E106" t="str">
        <v>https://www.ozon.ru/product/zhgut-provodov-paneli-priborov-2114-vaz-21145-3724030-10-1435123825/</v>
      </c>
      <c r="F106">
        <v>0</v>
      </c>
      <c r="G106">
        <v>0</v>
      </c>
      <c r="H106">
        <v>0</v>
      </c>
      <c r="I106">
        <v>0</v>
      </c>
    </row>
    <row r="107" spans="1:9" x14ac:dyDescent="0.25">
      <c r="A107">
        <v>144907</v>
      </c>
      <c r="B107">
        <v>5690</v>
      </c>
      <c r="C107" t="str">
        <v>https://motorring.ru/product/13950</v>
      </c>
      <c r="D107">
        <v>5481</v>
      </c>
      <c r="E107" t="str">
        <v>https://www.ozon.ru/product/zhgut-provodov-paneli-priborov-2114-2115-s-elektronnoy-pedalyu-gaza-vaz-21154-3724030-10-1435123012/</v>
      </c>
      <c r="F107">
        <v>0</v>
      </c>
      <c r="G107">
        <v>0</v>
      </c>
      <c r="H107">
        <v>0</v>
      </c>
      <c r="I107">
        <v>0</v>
      </c>
    </row>
    <row r="108" spans="1:9" x14ac:dyDescent="0.25">
      <c r="A108">
        <v>144985</v>
      </c>
      <c r="B108">
        <v>5690</v>
      </c>
      <c r="C108" t="str">
        <v>https://motorring.ru/product/13965-ghgut-provodov-far-generatora-2112-3724010-10-vaz-2110-2112</v>
      </c>
      <c r="D108">
        <v>4825</v>
      </c>
      <c r="E108" t="str">
        <v>https://www.ozon.ru/product/zhgut-provodov-far-i-generatora-2110-vaz-2112-3724010-10-1434240999/</v>
      </c>
      <c r="F108">
        <v>0</v>
      </c>
      <c r="G108">
        <v>0</v>
      </c>
      <c r="H108">
        <v>0</v>
      </c>
      <c r="I108">
        <v>0</v>
      </c>
    </row>
    <row r="109" spans="1:9" x14ac:dyDescent="0.25">
      <c r="A109">
        <v>144852</v>
      </c>
      <c r="B109">
        <v>4990</v>
      </c>
      <c r="C109" t="str">
        <v>https://motorring.ru/product/12612-ghgut-provodov-zadniy-21214-3724210-dlya-korotkoy-lada-4h4</v>
      </c>
      <c r="D109">
        <v>4327</v>
      </c>
      <c r="E109" t="str">
        <v>https://www.ozon.ru/product/zhgut-provodov-zadniy-niva-vaz-21214-3724210-1462616015/</v>
      </c>
      <c r="F109">
        <v>0</v>
      </c>
      <c r="G109">
        <v>0</v>
      </c>
      <c r="H109">
        <v>0</v>
      </c>
      <c r="I109">
        <v>0</v>
      </c>
    </row>
    <row r="110" spans="1:9" x14ac:dyDescent="0.25">
      <c r="A110">
        <v>144844</v>
      </c>
      <c r="B110">
        <v>4290</v>
      </c>
      <c r="C110" t="str">
        <v>https://motorring.ru/product/12571-ghgut-provodov-zadniy-2110-3724210-03-dlya-vaz-2110</v>
      </c>
      <c r="D110">
        <v>4255</v>
      </c>
      <c r="E110" t="str">
        <v>https://www.ozon.ru/product/zhgut-provodov-zadniy-2110-vaz-2110-3724210-03-1434209645/</v>
      </c>
      <c r="F110">
        <v>0</v>
      </c>
      <c r="G110">
        <v>0</v>
      </c>
      <c r="H110">
        <v>0</v>
      </c>
      <c r="I110">
        <v>0</v>
      </c>
    </row>
    <row r="111" spans="1:9" x14ac:dyDescent="0.25">
      <c r="A111">
        <v>144845</v>
      </c>
      <c r="B111">
        <v>4290</v>
      </c>
      <c r="C111" t="str">
        <v>https://motorring.ru/product/12569-ghgut-provodov-zadniy-2111-3724210-03-dlya-vaz-2111</v>
      </c>
      <c r="D111">
        <v>4255</v>
      </c>
      <c r="E111" t="str">
        <v>https://www.ozon.ru/product/zhgut-provodov-zadniy-2110-vaz-2111-3724210-03-1434207357/</v>
      </c>
      <c r="F111">
        <v>0</v>
      </c>
      <c r="G111">
        <v>0</v>
      </c>
      <c r="H111">
        <v>0</v>
      </c>
      <c r="I111">
        <v>0</v>
      </c>
    </row>
    <row r="112" spans="1:9" x14ac:dyDescent="0.25">
      <c r="A112">
        <v>144846</v>
      </c>
      <c r="B112">
        <v>4290</v>
      </c>
      <c r="C112" t="str">
        <v>https://motorring.ru/product/12570-ghgut-provodov-zadniy-2112-3724210-03-dlya-vaz-2112</v>
      </c>
      <c r="D112">
        <v>4255</v>
      </c>
      <c r="E112" t="str">
        <v>https://www.ozon.ru/product/zhgut-provodov-zadniy-2110-vaz-2112-3724210-03-1434208804/</v>
      </c>
      <c r="F112">
        <v>0</v>
      </c>
      <c r="G112">
        <v>0</v>
      </c>
      <c r="H112">
        <v>0</v>
      </c>
      <c r="I112">
        <v>0</v>
      </c>
    </row>
    <row r="113" spans="1:9" x14ac:dyDescent="0.25">
      <c r="A113">
        <v>144854</v>
      </c>
      <c r="B113">
        <v>5190</v>
      </c>
      <c r="C113" t="str">
        <v>https://motorring.ru/product/36904-ghgut-provodov-zadniy-2131-3724210-lada-4x4-5d</v>
      </c>
      <c r="D113">
        <v>3597</v>
      </c>
      <c r="E113" t="str">
        <v>https://www.ozon.ru/product/zhgut-provodov-zadniy-niva-urban-vaz-2131-3724210-a-1-1462618901/</v>
      </c>
      <c r="F113">
        <v>0</v>
      </c>
      <c r="G113">
        <v>0</v>
      </c>
      <c r="H113">
        <v>0</v>
      </c>
      <c r="I113">
        <v>0</v>
      </c>
    </row>
    <row r="114" spans="1:9" x14ac:dyDescent="0.25">
      <c r="A114">
        <v>144927</v>
      </c>
      <c r="B114" t="str">
        <v>4590 снят</v>
      </c>
      <c r="C114" t="str">
        <v>https://motorring.ru/product/12682-ghgut-provodov-paneli-priborov-31631-3724010-10-dlya-uaz</v>
      </c>
      <c r="D114" t="str">
        <v>не нашел</v>
      </c>
      <c r="E114">
        <v>0</v>
      </c>
      <c r="F114">
        <v>0</v>
      </c>
      <c r="G114">
        <v>0</v>
      </c>
      <c r="H114">
        <v>0</v>
      </c>
      <c r="I114">
        <v>0</v>
      </c>
    </row>
    <row r="115" spans="1:9" x14ac:dyDescent="0.25">
      <c r="A115">
        <v>164568</v>
      </c>
      <c r="B115">
        <v>7890</v>
      </c>
      <c r="C115" t="str">
        <v>https://motorring.ru/product/11289-blok-predohraniteley-montaghnyy-blok-394-3722m-shevrole</v>
      </c>
      <c r="D115">
        <v>7569</v>
      </c>
      <c r="E115" t="str">
        <v>https://www.ozon.ru/product/lada-predohraniteli-dlya-avtomobilya-1-sht-art-21230372201022-1346891937/</v>
      </c>
      <c r="F115">
        <v>0</v>
      </c>
      <c r="G115">
        <v>0</v>
      </c>
      <c r="H115">
        <v>0</v>
      </c>
      <c r="I115">
        <v>0</v>
      </c>
    </row>
    <row r="116" spans="1:9" x14ac:dyDescent="0.25">
      <c r="A116">
        <v>136869</v>
      </c>
      <c r="B116">
        <v>5190</v>
      </c>
      <c r="C116" t="str">
        <v>https://motorring.ru/product/33544-blok-predohraniteley-montaghnyy-blok-vaz-2105</v>
      </c>
      <c r="D116" t="str">
        <v>не нашел</v>
      </c>
      <c r="E116">
        <v>0</v>
      </c>
      <c r="F116">
        <v>0</v>
      </c>
      <c r="G116">
        <v>0</v>
      </c>
      <c r="H116">
        <v>0</v>
      </c>
      <c r="I116">
        <v>0</v>
      </c>
    </row>
    <row r="117" spans="1:9" x14ac:dyDescent="0.25">
      <c r="A117">
        <v>164570</v>
      </c>
      <c r="B117">
        <v>5890</v>
      </c>
      <c r="C117" t="str">
        <v>https://motorring.ru/product/37805-blok-rele-predohraniteley-avar-sbore-vaz-2110</v>
      </c>
      <c r="D117">
        <v>11513</v>
      </c>
      <c r="E117" t="str">
        <v>https://www.ozon.ru/product/blok-rele-i-predohraniteley-393-3722m-podhodit-na-vaz-2123-2110-1224718402/</v>
      </c>
      <c r="F117">
        <v>0</v>
      </c>
      <c r="G117">
        <v>0</v>
      </c>
      <c r="H117">
        <v>0</v>
      </c>
      <c r="I117">
        <v>0</v>
      </c>
    </row>
    <row r="118" spans="1:9" x14ac:dyDescent="0.25">
      <c r="A118">
        <v>144901</v>
      </c>
      <c r="B118">
        <v>6290</v>
      </c>
      <c r="C118" t="str">
        <v>https://motorring.ru/product/13938-ghgut-provodov-motornogo-otseka-sbore-2108-3724010</v>
      </c>
      <c r="D118">
        <v>6924</v>
      </c>
      <c r="E118" t="str">
        <v>https://www.ozon.ru/product/zhgut-provodov-pod-kapot-v-sbore-iz-4-h-chastey-vaz-2108-2109-2199-karbyurator-1426535575/</v>
      </c>
      <c r="F118">
        <v>0</v>
      </c>
      <c r="G118">
        <v>0</v>
      </c>
      <c r="H118">
        <v>0</v>
      </c>
      <c r="I118">
        <v>0</v>
      </c>
    </row>
    <row r="119" spans="1:9" x14ac:dyDescent="0.25">
      <c r="A119">
        <v>144900</v>
      </c>
      <c r="B119" t="str">
        <v>пересмотреть</v>
      </c>
      <c r="C119">
        <v>0</v>
      </c>
      <c r="D119" t="str">
        <v>не нашел</v>
      </c>
      <c r="E119">
        <v>0</v>
      </c>
      <c r="F119">
        <v>0</v>
      </c>
      <c r="G119">
        <v>0</v>
      </c>
      <c r="H119">
        <v>0</v>
      </c>
      <c r="I119">
        <v>0</v>
      </c>
    </row>
    <row r="120" spans="1:9" x14ac:dyDescent="0.25">
      <c r="A120">
        <v>164579</v>
      </c>
      <c r="B120">
        <v>5690</v>
      </c>
      <c r="C120" t="str">
        <v>https://motorring.ru/product/12658-montaghnyy-nabor-dlya-podklyucheniya-lobovogo-stekla</v>
      </c>
      <c r="D120">
        <v>4082</v>
      </c>
      <c r="E120" t="str">
        <v>https://www.ozon.ru/product/nabor-montazhnyy-ustanovki-obogreva-lobovogo-stekla-lada-kalina-granta-datsun-1748959801/</v>
      </c>
      <c r="F120">
        <v>0</v>
      </c>
      <c r="G120">
        <v>0</v>
      </c>
      <c r="H120">
        <v>0</v>
      </c>
      <c r="I120">
        <v>0</v>
      </c>
    </row>
    <row r="121" spans="1:9" x14ac:dyDescent="0.25">
      <c r="A121">
        <v>201274</v>
      </c>
      <c r="B121">
        <v>8890</v>
      </c>
      <c r="C121" t="str">
        <v>https://motorring.ru/product/13940-provodka-pod-kapot-perednyaya-chasty-2106-3724008-80-dlya</v>
      </c>
      <c r="D121">
        <v>8799</v>
      </c>
      <c r="E121" t="str">
        <v>https://www.ozon.ru/product/zhgut-provodov-pod-kapot-perednyaya-chast-vaz-2106-1419084072/</v>
      </c>
      <c r="F121">
        <v>0</v>
      </c>
      <c r="G121">
        <v>0</v>
      </c>
      <c r="H121">
        <v>0</v>
      </c>
      <c r="I121">
        <v>0</v>
      </c>
    </row>
    <row r="122" spans="1:9" x14ac:dyDescent="0.25">
      <c r="A122">
        <v>136867</v>
      </c>
      <c r="B122">
        <v>5190</v>
      </c>
      <c r="C122" t="str">
        <v>https://motorring.ru/product/33544-blok-predohraniteley-montaghnyy-blok-vaz-2105</v>
      </c>
      <c r="D122">
        <v>5586</v>
      </c>
      <c r="E122" t="str">
        <v>https://www.ozon.ru/product/blok-predohraniteley-2104-05-pskov-402-n-o-536361565/</v>
      </c>
      <c r="F122">
        <v>0</v>
      </c>
      <c r="G122">
        <v>0</v>
      </c>
      <c r="H122">
        <v>0</v>
      </c>
      <c r="I122">
        <v>0</v>
      </c>
    </row>
    <row r="123" spans="1:9" x14ac:dyDescent="0.25">
      <c r="A123">
        <v>136868</v>
      </c>
      <c r="B123">
        <v>7190</v>
      </c>
      <c r="C123" t="str">
        <v>https://motorring.ru/product/11504-blok-predohraniteley-montaghnyy-blok-vaz-2107-inghektor</v>
      </c>
      <c r="D123">
        <v>5864</v>
      </c>
      <c r="E123" t="str">
        <v>https://www.ozon.ru/product/predohraniteli-dlya-avtomobilya-1-sht-art-521-3722-812896080/</v>
      </c>
      <c r="F123">
        <v>0</v>
      </c>
      <c r="G123">
        <v>0</v>
      </c>
      <c r="H123">
        <v>0</v>
      </c>
      <c r="I123">
        <v>0</v>
      </c>
    </row>
    <row r="124" spans="1:9" x14ac:dyDescent="0.25">
      <c r="A124">
        <v>144954</v>
      </c>
      <c r="B124">
        <v>8790</v>
      </c>
      <c r="C124" t="str">
        <v>https://motorring.ru/product/13974-ghgut-provodov-salona-zadniy-21922-3724210-02-dlya-lada</v>
      </c>
      <c r="D124" t="str">
        <v>не нашел</v>
      </c>
      <c r="E124">
        <v>0</v>
      </c>
      <c r="F124">
        <v>0</v>
      </c>
      <c r="G124">
        <v>0</v>
      </c>
      <c r="H124">
        <v>0</v>
      </c>
      <c r="I124">
        <v>0</v>
      </c>
    </row>
    <row r="125" spans="1:9" x14ac:dyDescent="0.25">
      <c r="A125">
        <v>144860</v>
      </c>
      <c r="B125">
        <v>7190</v>
      </c>
      <c r="C125" t="str">
        <v>https://motorring.ru/product/12653-ghgut-provodov-zadniy-2190-3724210-dlya-lada-granta-sedan</v>
      </c>
      <c r="D125">
        <v>6296</v>
      </c>
      <c r="E125" t="str">
        <v>https://www.ozon.ru/product/zhgut-provodov-zadniy-granta-vaz-2190-3724210-1462622284/</v>
      </c>
      <c r="F125">
        <v>0</v>
      </c>
      <c r="G125">
        <v>0</v>
      </c>
      <c r="H125">
        <v>0</v>
      </c>
      <c r="I125">
        <v>0</v>
      </c>
    </row>
    <row r="126" spans="1:9" x14ac:dyDescent="0.25">
      <c r="A126">
        <v>144953</v>
      </c>
      <c r="B126">
        <v>7190</v>
      </c>
      <c r="C126" t="str">
        <v>https://motorring.ru/product/12584-ghgut-provodov-salona-1117-3724210-dlya-lada-kalina</v>
      </c>
      <c r="D126">
        <v>7573</v>
      </c>
      <c r="E126" t="str">
        <v>https://www.ozon.ru/product/zhgut-provodov-salona-i-zadnih-fonarey-lada-kalina-1117-3724210-30-1451822772/</v>
      </c>
      <c r="F126">
        <v>0</v>
      </c>
      <c r="G126">
        <v>0</v>
      </c>
      <c r="H126">
        <v>0</v>
      </c>
      <c r="I126">
        <v>0</v>
      </c>
    </row>
    <row r="127" spans="1:9" x14ac:dyDescent="0.25">
      <c r="A127">
        <v>144838</v>
      </c>
      <c r="B127">
        <v>6390</v>
      </c>
      <c r="C127" t="str">
        <v>https://motorring.ru/product/12587-ghgut-provodov-zadniy-1118-3724210-dlya-lada-kalina-sedan</v>
      </c>
      <c r="D127">
        <v>6852</v>
      </c>
      <c r="E127" t="str">
        <v>https://www.ozon.ru/product/zhgut-provodov-zadniy-lada-kalina-vaz-1118-3724210-1451842104/</v>
      </c>
      <c r="F127">
        <v>0</v>
      </c>
      <c r="G127">
        <v>0</v>
      </c>
      <c r="H127">
        <v>0</v>
      </c>
      <c r="I127">
        <v>0</v>
      </c>
    </row>
    <row r="128" spans="1:9" x14ac:dyDescent="0.25">
      <c r="A128">
        <v>144906</v>
      </c>
      <c r="B128">
        <v>7190</v>
      </c>
      <c r="C128" t="str">
        <v>https://motorring.ru/product/13947-ghgut-provodov-paneli-priborov-21110-3724030-01-vaz</v>
      </c>
      <c r="D128">
        <v>6852</v>
      </c>
      <c r="E128" t="str">
        <v>https://www.ozon.ru/product/zhgut-provodov-paneli-priborov-v-1500-vaz-2111-01-1426111318/</v>
      </c>
      <c r="F128">
        <v>0</v>
      </c>
      <c r="G128">
        <v>0</v>
      </c>
      <c r="H128">
        <v>0</v>
      </c>
      <c r="I128">
        <v>0</v>
      </c>
    </row>
    <row r="129" spans="1:9" x14ac:dyDescent="0.25">
      <c r="A129">
        <v>144908</v>
      </c>
      <c r="B129">
        <v>8590</v>
      </c>
      <c r="C129" t="str">
        <v>https://motorring.ru/product/12598-ghgut-provodov-paneli-priborov-21213-3724030-lada-4h4-niva</v>
      </c>
      <c r="D129">
        <v>8042</v>
      </c>
      <c r="E129" t="str">
        <v>https://www.ozon.ru/product/zhgut-provodov-paneli-priborov-karbyurator-niva-vaz-21213-3724030-1449875757/</v>
      </c>
      <c r="F129">
        <v>0</v>
      </c>
      <c r="G129">
        <v>0</v>
      </c>
      <c r="H129">
        <v>0</v>
      </c>
      <c r="I129">
        <v>0</v>
      </c>
    </row>
    <row r="130" spans="1:9" x14ac:dyDescent="0.25">
      <c r="A130">
        <v>144943</v>
      </c>
      <c r="B130">
        <v>8590</v>
      </c>
      <c r="C130" t="str">
        <v>https://motorring.ru/product/12602-ghgut-provodov-pod-kapot-perednyaya-chasty-2121-3724008</v>
      </c>
      <c r="D130">
        <v>7431</v>
      </c>
      <c r="E130" t="str">
        <v>https://www.ozon.ru/product/zhgut-provodov-pod-kapot-perednyaya-chast-niva-vaz-2121-3724008-1451996025/</v>
      </c>
      <c r="F130">
        <v>0</v>
      </c>
      <c r="G130">
        <v>0</v>
      </c>
      <c r="H130">
        <v>0</v>
      </c>
      <c r="I130">
        <v>0</v>
      </c>
    </row>
    <row r="131" spans="1:9" x14ac:dyDescent="0.25">
      <c r="A131">
        <v>144855</v>
      </c>
      <c r="B131">
        <v>7190</v>
      </c>
      <c r="C131" t="str">
        <v>https://motorring.ru/product/12633-ghgut-provodov-zadniy-2170-3724210-dlya-lada-priora-sedan</v>
      </c>
      <c r="D131">
        <v>7212</v>
      </c>
      <c r="E131" t="str">
        <v>https://www.ozon.ru/product/zhgut-provodov-zadniy-priora-vaz-2170-3724210-1465428758/</v>
      </c>
      <c r="F131">
        <v>0</v>
      </c>
      <c r="G131">
        <v>0</v>
      </c>
      <c r="H131">
        <v>0</v>
      </c>
      <c r="I131">
        <v>0</v>
      </c>
    </row>
    <row r="132" spans="1:9" x14ac:dyDescent="0.25">
      <c r="A132">
        <v>144859</v>
      </c>
      <c r="B132">
        <v>7890</v>
      </c>
      <c r="C132" t="str">
        <v>https://motorring.ru/product/12637-ghgut-provodov-zadniy-21713-3721210-00-dlya-lada-priora</v>
      </c>
      <c r="D132">
        <v>7212</v>
      </c>
      <c r="E132" t="str">
        <v>https://www.ozon.ru/product/zhgut-provodov-zadniy-priora-vaz-21713-210-00-1465432085/</v>
      </c>
      <c r="F132">
        <v>0</v>
      </c>
      <c r="G132">
        <v>0</v>
      </c>
      <c r="H132">
        <v>0</v>
      </c>
      <c r="I132">
        <v>0</v>
      </c>
    </row>
    <row r="133" spans="1:9" x14ac:dyDescent="0.25">
      <c r="A133">
        <v>164580</v>
      </c>
      <c r="B133">
        <v>7890</v>
      </c>
      <c r="C133" t="str">
        <v>https://motorring.ru/product/12650-montaghnyy-nabor-dlya-dlya-podklyucheniya-lobovogo-stekla</v>
      </c>
      <c r="D133">
        <v>6491</v>
      </c>
      <c r="E133" t="str">
        <v>https://www.ozon.ru/product/montazhnyy-nabor-provodov-dlya-podklyucheniya-lobovogo-stekla-s-podogrevom-vaz-2170-priora-1462611209/</v>
      </c>
      <c r="F133">
        <v>0</v>
      </c>
      <c r="G133">
        <v>0</v>
      </c>
      <c r="H133">
        <v>0</v>
      </c>
      <c r="I133">
        <v>0</v>
      </c>
    </row>
    <row r="134" spans="1:9" x14ac:dyDescent="0.25">
      <c r="A134">
        <v>164569</v>
      </c>
      <c r="B134">
        <v>5790</v>
      </c>
      <c r="C134" t="str">
        <v>https://motorring.ru/product/33549-montaghnyy-blok-rele-predohraniteley-vaz-21083-avar-sbore</v>
      </c>
      <c r="D134">
        <v>5612</v>
      </c>
      <c r="E134" t="str">
        <v>https://www.ozon.ru/product/montazhnyy-blok-vaz-2108-2109-21099-173-3722-01m-804341025/</v>
      </c>
      <c r="F134">
        <v>0</v>
      </c>
      <c r="G134">
        <v>0</v>
      </c>
      <c r="H134">
        <v>0</v>
      </c>
      <c r="I134">
        <v>0</v>
      </c>
    </row>
    <row r="135" spans="1:9" x14ac:dyDescent="0.25">
      <c r="A135">
        <v>164571</v>
      </c>
      <c r="B135">
        <v>8590</v>
      </c>
      <c r="C135" t="str">
        <v>https://motorring.ru/product/37832-blok-predohraniteley-montaghnyy-novogo-obrazca-vaz-2108-21099</v>
      </c>
      <c r="D135">
        <v>8357</v>
      </c>
      <c r="E135" t="str">
        <v>https://www.ozon.ru/product/blok-predohraniteley-2108-n-o-s-nov-predohranit-avar-g-pskov-art-361-3722m-2115-3722010-1164195511/</v>
      </c>
      <c r="F135">
        <v>0</v>
      </c>
      <c r="G135">
        <v>0</v>
      </c>
      <c r="H135">
        <v>0</v>
      </c>
      <c r="I135">
        <v>0</v>
      </c>
    </row>
    <row r="136" spans="1:9" x14ac:dyDescent="0.25">
      <c r="A136">
        <v>144996</v>
      </c>
      <c r="B136">
        <v>8590</v>
      </c>
      <c r="C136" t="str">
        <v>https://motorring.ru/product/12674-ghgut-provodov-far-generatora-21901-3724010-00-dlya-lada</v>
      </c>
      <c r="D136">
        <v>8655</v>
      </c>
      <c r="E136" t="str">
        <v>https://www.ozon.ru/product/zhgut-provodov-far-i-generatora-21901-3724010-00-na-lada-granta-1467973026/</v>
      </c>
      <c r="F136">
        <v>0</v>
      </c>
      <c r="G136">
        <v>0</v>
      </c>
      <c r="H136">
        <v>0</v>
      </c>
      <c r="I136">
        <v>0</v>
      </c>
    </row>
    <row r="137" spans="1:9" x14ac:dyDescent="0.25">
      <c r="A137">
        <v>144839</v>
      </c>
      <c r="B137">
        <v>7190</v>
      </c>
      <c r="C137" t="str">
        <v>https://motorring.ru/product/12588-ghgut-provodov-zadniy-1119-3724210-dlya-lada-kalina</v>
      </c>
      <c r="D137">
        <v>7573</v>
      </c>
      <c r="E137" t="str">
        <v>https://www.ozon.ru/product/zhgut-provodov-zadniy-lada-kalina-vaz-1119-3724210-1451845793/</v>
      </c>
      <c r="F137">
        <v>0</v>
      </c>
      <c r="G137">
        <v>0</v>
      </c>
      <c r="H137">
        <v>0</v>
      </c>
      <c r="I137">
        <v>0</v>
      </c>
    </row>
    <row r="138" spans="1:9" x14ac:dyDescent="0.25">
      <c r="A138">
        <v>144853</v>
      </c>
      <c r="B138">
        <v>8590</v>
      </c>
      <c r="C138" t="str">
        <v>https://motorring.ru/product/12616-ghgut-provodov-zadniy-2123-3724210-dlya-shevrole-niva</v>
      </c>
      <c r="D138">
        <v>7645</v>
      </c>
      <c r="E138" t="str">
        <v>https://www.ozon.ru/product/zhgut-provodov-zadniy-shevrole-niva-vaz-2123-3724210-1462659840/</v>
      </c>
      <c r="F138">
        <v>0</v>
      </c>
      <c r="G138">
        <v>0</v>
      </c>
      <c r="H138">
        <v>0</v>
      </c>
      <c r="I138">
        <v>0</v>
      </c>
    </row>
    <row r="139" spans="1:9" x14ac:dyDescent="0.25">
      <c r="A139">
        <v>144857</v>
      </c>
      <c r="B139">
        <v>7890</v>
      </c>
      <c r="C139" t="str">
        <v>https://motorring.ru/product/12635-ghgut-provodov-zadniy-21703-3724210-23-dlya-lada-priora</v>
      </c>
      <c r="D139">
        <v>7573</v>
      </c>
      <c r="E139" t="str">
        <v>https://www.ozon.ru/product/zhgut-provodov-zadniy-priora-vaz-21703-210-23-1465430887/</v>
      </c>
      <c r="F139">
        <v>0</v>
      </c>
      <c r="G139">
        <v>0</v>
      </c>
      <c r="H139">
        <v>0</v>
      </c>
      <c r="I139">
        <v>0</v>
      </c>
    </row>
    <row r="140" spans="1:9" x14ac:dyDescent="0.25">
      <c r="A140">
        <v>145009</v>
      </c>
      <c r="B140">
        <v>9590</v>
      </c>
      <c r="C140" t="str">
        <v>https://motorring.ru/product/12545</v>
      </c>
      <c r="D140">
        <v>10025</v>
      </c>
      <c r="E140" t="str">
        <v>https://www.ozon.ru/product/zhgut-sistemy-zazhiganiya-ot-kontrollera-vaz-2104-1419047371/</v>
      </c>
      <c r="F140">
        <v>0</v>
      </c>
      <c r="G140">
        <v>0</v>
      </c>
      <c r="H140">
        <v>0</v>
      </c>
      <c r="I140">
        <v>0</v>
      </c>
    </row>
    <row r="141" spans="1:9" x14ac:dyDescent="0.25">
      <c r="A141">
        <v>144871</v>
      </c>
      <c r="B141">
        <v>9590</v>
      </c>
      <c r="C141" t="str">
        <v>https://motorring.ru/product/6762-ghgut-sistemy-zaghiganiya-kontrollera-dvigatelyu-2107</v>
      </c>
      <c r="D141" t="str">
        <v>31666 дорого</v>
      </c>
      <c r="E141" t="str">
        <v>https://www.ozon.ru/product/zhgut-ebu-kontrollera-provodov-sistemy-zazhiganiya-na-vaz-21073-klassika-379024544/</v>
      </c>
      <c r="F141">
        <v>0</v>
      </c>
      <c r="G141">
        <v>0</v>
      </c>
      <c r="H141">
        <v>0</v>
      </c>
      <c r="I141">
        <v>0</v>
      </c>
    </row>
    <row r="142" spans="1:9" x14ac:dyDescent="0.25">
      <c r="A142">
        <v>144892</v>
      </c>
      <c r="B142">
        <v>9590</v>
      </c>
      <c r="C142" t="str">
        <v>https://motorring.ru/product/4414</v>
      </c>
      <c r="D142">
        <v>9369</v>
      </c>
      <c r="E142" t="str">
        <v>https://www.ozon.ru/product/zhgut-provodov-sistemy-zazhiganiya-e-gaz-ot-kontrollera-vaz-21074-1425013281/</v>
      </c>
      <c r="F142">
        <v>0</v>
      </c>
      <c r="G142">
        <v>0</v>
      </c>
      <c r="H142">
        <v>0</v>
      </c>
      <c r="I142">
        <v>0</v>
      </c>
    </row>
    <row r="143" spans="1:9" x14ac:dyDescent="0.25">
      <c r="A143">
        <v>144872</v>
      </c>
      <c r="B143">
        <v>9590</v>
      </c>
      <c r="C143" t="str">
        <v>https://motorring.ru/product/19675</v>
      </c>
      <c r="D143" t="str">
        <v>29133 дорого</v>
      </c>
      <c r="E143" t="str">
        <v>https://www.ozon.ru/product/zhgut-ebu-kontrollera-provodov-sistemy-zazhiganiya-na-vaz-21074-klassika-377710868/</v>
      </c>
      <c r="F143">
        <v>0</v>
      </c>
      <c r="G143">
        <v>0</v>
      </c>
      <c r="H143">
        <v>0</v>
      </c>
      <c r="I143">
        <v>0</v>
      </c>
    </row>
    <row r="144" spans="1:9" x14ac:dyDescent="0.25">
      <c r="A144">
        <v>144874</v>
      </c>
      <c r="B144">
        <v>11690</v>
      </c>
      <c r="C144" t="str">
        <v>https://motorring.ru/product/6770-ghgut-provodov-sistemy-zaghiganiya-21102-3724026-51-dlya</v>
      </c>
      <c r="D144">
        <v>11448</v>
      </c>
      <c r="E144" t="str">
        <v>https://www.ozon.ru/product/zhgut-provodov-sistemy-zazhiganiya-2110-vaz-21102-3724026-51-1434234532/</v>
      </c>
      <c r="F144">
        <v>0</v>
      </c>
      <c r="G144">
        <v>0</v>
      </c>
      <c r="H144">
        <v>0</v>
      </c>
      <c r="I144">
        <v>0</v>
      </c>
    </row>
    <row r="145" spans="1:9" x14ac:dyDescent="0.25">
      <c r="A145">
        <v>144910</v>
      </c>
      <c r="B145">
        <v>9590</v>
      </c>
      <c r="C145" t="str">
        <v>https://motorring.ru/product/12618-ghgut-provodov-paneli-priborov-2123-3724030-20-dlya</v>
      </c>
      <c r="D145">
        <v>9375</v>
      </c>
      <c r="E145" t="str">
        <v>https://www.ozon.ru/product/zhgut-provodov-paneli-priborov-shevrole-niva-vaz-2123-3724030-20-1465404172/</v>
      </c>
      <c r="F145">
        <v>0</v>
      </c>
      <c r="G145">
        <v>0</v>
      </c>
      <c r="H145">
        <v>0</v>
      </c>
      <c r="I145">
        <v>0</v>
      </c>
    </row>
    <row r="146" spans="1:9" x14ac:dyDescent="0.25">
      <c r="A146">
        <v>144911</v>
      </c>
      <c r="B146">
        <v>9590</v>
      </c>
      <c r="C146" t="str">
        <v>https://motorring.ru/product/12624-ghgut-provodov-paneli-priborov-2123-3724030-90-dlya</v>
      </c>
      <c r="D146">
        <v>10025</v>
      </c>
      <c r="E146" t="str">
        <v>https://www.ozon.ru/product/zhgut-provodov-paneli-priborov-shevrole-niva-vaz-2123-3724030-90-1465419702/</v>
      </c>
      <c r="F146">
        <v>0</v>
      </c>
      <c r="G146">
        <v>0</v>
      </c>
      <c r="H146">
        <v>0</v>
      </c>
      <c r="I146">
        <v>0</v>
      </c>
    </row>
    <row r="147" spans="1:9" x14ac:dyDescent="0.25">
      <c r="A147">
        <v>144856</v>
      </c>
      <c r="B147">
        <v>8890</v>
      </c>
      <c r="C147" t="str">
        <v>https://motorring.ru/product/12634-ghgut-provodov-zadniy-2170-3724210-50-dlya-lada-priora</v>
      </c>
      <c r="D147">
        <v>7212</v>
      </c>
      <c r="E147" t="str">
        <v>https://www.ozon.ru/product/zhgut-provodov-zadniy-priora-vaz-2170-210-50-1465430161/</v>
      </c>
      <c r="F147">
        <v>0</v>
      </c>
      <c r="G147">
        <v>0</v>
      </c>
      <c r="H147">
        <v>0</v>
      </c>
      <c r="I147">
        <v>0</v>
      </c>
    </row>
    <row r="148" spans="1:9" x14ac:dyDescent="0.25">
      <c r="A148">
        <v>144858</v>
      </c>
      <c r="B148">
        <v>8590</v>
      </c>
      <c r="C148" t="str">
        <v>https://motorring.ru/product/12636-ghgut-provodov-zadniy-2171-3724210-20-dlya-lada-priora</v>
      </c>
      <c r="D148">
        <v>7861</v>
      </c>
      <c r="E148" t="str">
        <v>https://www.ozon.ru/product/zhgut-provodov-zadniy-priora-vaz-2171-210-20-1465431487/</v>
      </c>
      <c r="F148">
        <v>0</v>
      </c>
      <c r="G148">
        <v>0</v>
      </c>
      <c r="H148">
        <v>0</v>
      </c>
      <c r="I148">
        <v>0</v>
      </c>
    </row>
    <row r="149" spans="1:9" x14ac:dyDescent="0.25">
      <c r="A149">
        <v>144998</v>
      </c>
      <c r="B149">
        <v>10990</v>
      </c>
      <c r="C149" t="str">
        <v>https://motorring.ru/product/12675-ghgut-provodov-far-generatora-21920-3724010-01-dlya-lada</v>
      </c>
      <c r="D149">
        <v>8655</v>
      </c>
      <c r="E149" t="str">
        <v>https://www.ozon.ru/product/zhgut-provodov-far-i-generatora-21920-010-01-na-lada-granta-1467973944/</v>
      </c>
      <c r="F149">
        <v>0</v>
      </c>
      <c r="G149">
        <v>0</v>
      </c>
      <c r="H149">
        <v>0</v>
      </c>
      <c r="I149">
        <v>0</v>
      </c>
    </row>
    <row r="150" spans="1:9" x14ac:dyDescent="0.25">
      <c r="A150">
        <v>145000</v>
      </c>
      <c r="B150">
        <v>10990</v>
      </c>
      <c r="C150" t="str">
        <v>https://motorring.ru/product/12678-ghgut-provodov-far-generatora-21921-3724010-00-dlya-lada</v>
      </c>
      <c r="D150">
        <v>8655</v>
      </c>
      <c r="E150" t="str">
        <v>https://www.ozon.ru/product/zhgut-provodov-far-i-generatora-21921-010-00-na-lada-granta-1467975894/</v>
      </c>
      <c r="F150">
        <v>0</v>
      </c>
      <c r="G150">
        <v>0</v>
      </c>
      <c r="H150">
        <v>0</v>
      </c>
      <c r="I150">
        <v>0</v>
      </c>
    </row>
    <row r="151" spans="1:9" x14ac:dyDescent="0.25">
      <c r="A151">
        <v>144981</v>
      </c>
      <c r="B151">
        <v>8890</v>
      </c>
      <c r="C151" t="str">
        <v>https://motorring.ru/product/13962-ghgut-provodov-far-generatora-1118-3724010-dlya-lada-kalina</v>
      </c>
      <c r="D151">
        <v>7724</v>
      </c>
      <c r="E151" t="str">
        <v>https://www.ozon.ru/product/zhgut-provodov-far-i-generatora-kalina-vaz-1118-3724010-1449853702/</v>
      </c>
      <c r="F151">
        <v>0</v>
      </c>
      <c r="G151">
        <v>0</v>
      </c>
      <c r="H151">
        <v>0</v>
      </c>
      <c r="I151">
        <v>0</v>
      </c>
    </row>
    <row r="152" spans="1:9" x14ac:dyDescent="0.25">
      <c r="A152">
        <v>223870</v>
      </c>
      <c r="B152">
        <v>5990</v>
      </c>
      <c r="C152" t="str">
        <v>https://motorring.ru/product/13978</v>
      </c>
      <c r="D152" t="str">
        <v>не нашел</v>
      </c>
      <c r="E152">
        <v>0</v>
      </c>
      <c r="F152">
        <v>0</v>
      </c>
      <c r="G152">
        <v>0</v>
      </c>
      <c r="H152">
        <v>0</v>
      </c>
      <c r="I152">
        <v>0</v>
      </c>
    </row>
    <row r="153" spans="1:9" x14ac:dyDescent="0.25">
      <c r="A153">
        <v>144983</v>
      </c>
      <c r="B153">
        <v>13790</v>
      </c>
      <c r="C153" t="str">
        <v>https://motorring.ru/product/14322-ghgut-provodov-far-generatora-1119-3724010-40-lada-kalina</v>
      </c>
      <c r="D153" t="str">
        <v>41039 дорого</v>
      </c>
      <c r="E153" t="str">
        <v>https://www.ozon.ru/product/zhgut-provodov-1119-3724010-40-peredniy-podkapotnyy-lada-kalina-lyuks-362204443/</v>
      </c>
      <c r="F153">
        <v>0</v>
      </c>
      <c r="G153">
        <v>0</v>
      </c>
      <c r="H153">
        <v>0</v>
      </c>
      <c r="I153">
        <v>0</v>
      </c>
    </row>
    <row r="154" spans="1:9" x14ac:dyDescent="0.25">
      <c r="A154">
        <v>144982</v>
      </c>
      <c r="B154">
        <v>8890</v>
      </c>
      <c r="C154" t="str">
        <v>https://motorring.ru/product/13963-ghgut-provodov-far-generatora-1119-3724010-lada-kalina</v>
      </c>
      <c r="D154">
        <v>7724</v>
      </c>
      <c r="E154" t="str">
        <v>https://www.ozon.ru/product/zhgut-provodov-far-i-generatora-kalina-vaz-1119-3724010-1449855809/</v>
      </c>
      <c r="F154">
        <v>0</v>
      </c>
      <c r="G154">
        <v>0</v>
      </c>
      <c r="H154">
        <v>0</v>
      </c>
      <c r="I154">
        <v>0</v>
      </c>
    </row>
    <row r="155" spans="1:9" x14ac:dyDescent="0.25">
      <c r="A155">
        <v>144873</v>
      </c>
      <c r="B155">
        <v>10990</v>
      </c>
      <c r="C155" t="str">
        <v>https://motorring.ru/product/6768-ghgut-provodov-sistemy-zaghiganiya-21102-3724026-05-dlya</v>
      </c>
      <c r="D155">
        <v>6956</v>
      </c>
      <c r="E155" t="str">
        <v>https://www.ozon.ru/product/zhgut-provodov-sistemy-zazhiganiya-21102-3724026-05-1773514652/</v>
      </c>
      <c r="F155">
        <v>0</v>
      </c>
      <c r="G155">
        <v>0</v>
      </c>
      <c r="H155">
        <v>0</v>
      </c>
      <c r="I155">
        <v>0</v>
      </c>
    </row>
    <row r="156" spans="1:9" x14ac:dyDescent="0.25">
      <c r="A156">
        <v>144875</v>
      </c>
      <c r="B156">
        <v>10990</v>
      </c>
      <c r="C156" t="str">
        <v>https://motorring.ru/product/31820-ghgut-provodov-kontrollera-ebu-21102-3724026-70-dlya-vaz</v>
      </c>
      <c r="D156" t="str">
        <v>не нашел</v>
      </c>
      <c r="E156">
        <v>0</v>
      </c>
      <c r="F156">
        <v>0</v>
      </c>
      <c r="G156">
        <v>0</v>
      </c>
      <c r="H156">
        <v>0</v>
      </c>
      <c r="I156">
        <v>0</v>
      </c>
    </row>
    <row r="157" spans="1:9" x14ac:dyDescent="0.25">
      <c r="A157">
        <v>144876</v>
      </c>
      <c r="B157">
        <v>11690</v>
      </c>
      <c r="C157" t="str">
        <v>https://motorring.ru/product/6772-ghgut-provodov-sistemy-zaghiganiya-21103-3724026-11</v>
      </c>
      <c r="D157">
        <v>10539</v>
      </c>
      <c r="E157" t="str">
        <v>https://www.ozon.ru/product/lada-zhgut-provodov-1774437288/</v>
      </c>
      <c r="F157">
        <v>0</v>
      </c>
      <c r="G157">
        <v>0</v>
      </c>
      <c r="H157">
        <v>0</v>
      </c>
      <c r="I157">
        <v>0</v>
      </c>
    </row>
    <row r="158" spans="1:9" x14ac:dyDescent="0.25">
      <c r="A158">
        <v>144808</v>
      </c>
      <c r="B158">
        <v>10290</v>
      </c>
      <c r="C158" t="str">
        <v>https://motorring.ru/product/12563-ghgut-paneli-priborov-2112-3724030-dlya-vaz-2110-2112</v>
      </c>
      <c r="D158">
        <v>10169</v>
      </c>
      <c r="E158" t="str">
        <v>https://www.ozon.ru/product/zhgut-provodov-paneli-priborov-vaz-2112-1426107459/</v>
      </c>
      <c r="F158">
        <v>0</v>
      </c>
      <c r="G158">
        <v>0</v>
      </c>
      <c r="H158">
        <v>0</v>
      </c>
      <c r="I158">
        <v>0</v>
      </c>
    </row>
    <row r="159" spans="1:9" x14ac:dyDescent="0.25">
      <c r="A159">
        <v>144809</v>
      </c>
      <c r="B159">
        <v>10290</v>
      </c>
      <c r="C159" t="str">
        <v>https://motorring.ru/product/13948-ghgut-paneli-priborov-2112-3724030-20-vaz-2110-2111-2112</v>
      </c>
      <c r="D159">
        <v>10097</v>
      </c>
      <c r="E159" t="str">
        <v>https://www.ozon.ru/product/zhgut-provodov-paneli-priborov-vaz-2112-1426540202/</v>
      </c>
      <c r="F159">
        <v>0</v>
      </c>
      <c r="G159">
        <v>0</v>
      </c>
      <c r="H159">
        <v>0</v>
      </c>
      <c r="I159">
        <v>0</v>
      </c>
    </row>
    <row r="160" spans="1:9" x14ac:dyDescent="0.25">
      <c r="A160">
        <v>144986</v>
      </c>
      <c r="B160">
        <v>8590</v>
      </c>
      <c r="C160" t="str">
        <v>https://motorring.ru/product/26493-ghgut-provodov-far-generatora-21214-3724010-90-lada-niva</v>
      </c>
      <c r="D160">
        <v>8294</v>
      </c>
      <c r="E160" t="str">
        <v>https://www.ozon.ru/product/zhgut-provodov-priborov-far-i-generatora-niva-vaz-21214-m-3724010-90-1451998168/</v>
      </c>
      <c r="F160">
        <v>0</v>
      </c>
      <c r="G160">
        <v>0</v>
      </c>
      <c r="H160">
        <v>0</v>
      </c>
      <c r="I160">
        <v>0</v>
      </c>
    </row>
    <row r="161" spans="1:9" x14ac:dyDescent="0.25">
      <c r="A161">
        <v>144987</v>
      </c>
      <c r="B161">
        <v>10990</v>
      </c>
      <c r="C161" t="str">
        <v>https://motorring.ru/product/12622-ghgut-provodov-far-generatora-2123-3724010-44-dlya-shevrole</v>
      </c>
      <c r="D161" t="str">
        <v>не нашел</v>
      </c>
      <c r="E161">
        <v>0</v>
      </c>
      <c r="F161">
        <v>0</v>
      </c>
      <c r="G161">
        <v>0</v>
      </c>
      <c r="H161">
        <v>0</v>
      </c>
      <c r="I161">
        <v>0</v>
      </c>
    </row>
    <row r="162" spans="1:9" x14ac:dyDescent="0.25">
      <c r="A162">
        <v>144988</v>
      </c>
      <c r="B162">
        <v>10990</v>
      </c>
      <c r="C162" t="str">
        <v>https://motorring.ru/product/12626-ghgut-provodov-far-generatora-2123-3724010-51-dlya-shevrole</v>
      </c>
      <c r="D162">
        <v>10061</v>
      </c>
      <c r="E162" t="str">
        <v>https://www.ozon.ru/product/zhgut-provodov-far-i-generatora-shevrole-niva-vaz-2123-3724010-51-1465420769/</v>
      </c>
      <c r="F162">
        <v>0</v>
      </c>
      <c r="G162">
        <v>0</v>
      </c>
      <c r="H162">
        <v>0</v>
      </c>
      <c r="I162">
        <v>0</v>
      </c>
    </row>
    <row r="163" spans="1:9" x14ac:dyDescent="0.25">
      <c r="A163">
        <v>144990</v>
      </c>
      <c r="B163">
        <v>8890</v>
      </c>
      <c r="C163" t="str">
        <v>https://motorring.ru/product/13968-ghgut-provodov-far-generatora-2170-3724010-dlya-lada-priora</v>
      </c>
      <c r="D163">
        <v>8655</v>
      </c>
      <c r="E163" t="str">
        <v>https://www.ozon.ru/product/zhgut-provodov-far-i-generatora-priora-vaz-2170-3724010-1467978876/</v>
      </c>
      <c r="F163">
        <v>0</v>
      </c>
      <c r="G163">
        <v>0</v>
      </c>
      <c r="H163">
        <v>0</v>
      </c>
      <c r="I163">
        <v>0</v>
      </c>
    </row>
    <row r="164" spans="1:9" x14ac:dyDescent="0.25">
      <c r="A164">
        <v>144993</v>
      </c>
      <c r="B164">
        <v>8890</v>
      </c>
      <c r="C164" t="str">
        <v>https://motorring.ru/product/36908-ghgut-provodov-far-generatora-2172-3724010-priora</v>
      </c>
      <c r="D164">
        <v>8655</v>
      </c>
      <c r="E164" t="str">
        <v>https://www.ozon.ru/product/zhgut-provodov-far-i-generatora-priora-vaz-2172-3724010-1467979241/</v>
      </c>
      <c r="F164">
        <v>0</v>
      </c>
      <c r="G164">
        <v>0</v>
      </c>
      <c r="H164">
        <v>0</v>
      </c>
      <c r="I164">
        <v>0</v>
      </c>
    </row>
    <row r="165" spans="1:9" x14ac:dyDescent="0.25">
      <c r="A165">
        <v>144994</v>
      </c>
      <c r="B165">
        <v>8890</v>
      </c>
      <c r="C165" t="str">
        <v>https://motorring.ru/product/13969-ghgut-provodov-far-generatora-2190-3724010-dlya-lada-granta</v>
      </c>
      <c r="D165">
        <v>8655</v>
      </c>
      <c r="E165" t="str">
        <v>https://www.ozon.ru/product/zhgut-provodov-far-i-generatora-granta-vaz-2190-3724010-1462606930/</v>
      </c>
      <c r="F165">
        <v>0</v>
      </c>
      <c r="G165">
        <v>0</v>
      </c>
      <c r="H165">
        <v>0</v>
      </c>
      <c r="I165">
        <v>0</v>
      </c>
    </row>
    <row r="166" spans="1:9" x14ac:dyDescent="0.25">
      <c r="A166">
        <v>144877</v>
      </c>
      <c r="B166">
        <v>11690</v>
      </c>
      <c r="C166" t="str">
        <v>https://motorring.ru/product/6773-ghgut-provodov-sistemy-zaghiganiya-21104-3724026-10-vaz</v>
      </c>
      <c r="D166">
        <v>11720</v>
      </c>
      <c r="E166" t="str">
        <v>https://www.ozon.ru/product/zhgut-provodov-sistemy-zazhiganiya-2110-vaz-21104-3724026-10-1434235921/</v>
      </c>
      <c r="F166">
        <v>0</v>
      </c>
      <c r="G166">
        <v>0</v>
      </c>
      <c r="H166">
        <v>0</v>
      </c>
      <c r="I166">
        <v>0</v>
      </c>
    </row>
    <row r="167" spans="1:9" x14ac:dyDescent="0.25">
      <c r="A167">
        <v>144909</v>
      </c>
      <c r="B167">
        <v>10290</v>
      </c>
      <c r="C167" t="str">
        <v>https://motorring.ru/product/24496-ghgut-provodov-paneli-priborov-21214-3724030-70-lada-niva</v>
      </c>
      <c r="D167">
        <v>10097</v>
      </c>
      <c r="E167" t="str">
        <v>https://www.ozon.ru/product/zhgut-provodov-paneli-priborov-niva-vaz-21214-m-3724030-70-1452000269/</v>
      </c>
      <c r="F167">
        <v>0</v>
      </c>
      <c r="G167">
        <v>0</v>
      </c>
      <c r="H167">
        <v>0</v>
      </c>
      <c r="I167">
        <v>0</v>
      </c>
    </row>
    <row r="168" spans="1:9" x14ac:dyDescent="0.25">
      <c r="A168">
        <v>144991</v>
      </c>
      <c r="B168">
        <v>12390</v>
      </c>
      <c r="C168" t="str">
        <v>https://motorring.ru/product/12646-ghgut-provodov-far-generatora-2170-3724010-30-dlya-lada</v>
      </c>
      <c r="D168">
        <v>10097</v>
      </c>
      <c r="E168" t="str">
        <v>https://www.ozon.ru/product/zhgut-provodov-far-i-generatora-s-konditsionerom-hala-priora-vaz-2170-3724010-30-1462585610/</v>
      </c>
      <c r="F168">
        <v>0</v>
      </c>
      <c r="G168">
        <v>0</v>
      </c>
      <c r="H168">
        <v>0</v>
      </c>
      <c r="I168">
        <v>0</v>
      </c>
    </row>
    <row r="169" spans="1:9" x14ac:dyDescent="0.25">
      <c r="A169">
        <v>144912</v>
      </c>
      <c r="B169">
        <v>10990</v>
      </c>
      <c r="C169" t="str">
        <v>https://motorring.ru/product/12625-ghgut-provodov-paneli-priborov-2123-3724030-94-dlya</v>
      </c>
      <c r="D169">
        <v>10818</v>
      </c>
      <c r="E169" t="str">
        <v>https://www.ozon.ru/product/zhgut-provodov-paneli-priborov-shevrole-niva-vaz-2123-3724030-94-1465419928/</v>
      </c>
      <c r="F169">
        <v>0</v>
      </c>
      <c r="G169">
        <v>0</v>
      </c>
      <c r="H169">
        <v>0</v>
      </c>
      <c r="I169">
        <v>0</v>
      </c>
    </row>
    <row r="170" spans="1:9" x14ac:dyDescent="0.25">
      <c r="A170">
        <v>144890</v>
      </c>
      <c r="B170">
        <v>10990</v>
      </c>
      <c r="C170" t="str">
        <v>https://motorring.ru/product/6787</v>
      </c>
      <c r="D170" t="str">
        <v>не нашел</v>
      </c>
      <c r="E170">
        <v>0</v>
      </c>
      <c r="F170">
        <v>0</v>
      </c>
      <c r="G170">
        <v>0</v>
      </c>
      <c r="H170">
        <v>0</v>
      </c>
      <c r="I170">
        <v>0</v>
      </c>
    </row>
    <row r="171" spans="1:9" x14ac:dyDescent="0.25">
      <c r="A171">
        <v>144891</v>
      </c>
      <c r="B171">
        <v>10990</v>
      </c>
      <c r="C171" t="str">
        <v>https://motorring.ru/product/6921-ghgut-provodov-kontrollera-21700-3724026-60-dlya-lada</v>
      </c>
      <c r="D171" t="str">
        <v>39267 дорого</v>
      </c>
      <c r="E171" t="str">
        <v>https://www.ozon.ru/product/zhgut-21700-3724026-60-ebu-kontrollera-na-vaz-priora-362927359/</v>
      </c>
      <c r="F171">
        <v>0</v>
      </c>
      <c r="G171">
        <v>0</v>
      </c>
      <c r="H171">
        <v>0</v>
      </c>
      <c r="I171">
        <v>0</v>
      </c>
    </row>
    <row r="172" spans="1:9" x14ac:dyDescent="0.25">
      <c r="A172">
        <v>144964</v>
      </c>
      <c r="B172">
        <v>10990</v>
      </c>
      <c r="C172" t="str">
        <v>https://motorring.ru/product/6767-ghgut-provodov-sistemy-zaghiganiya-21093-3724026-60-dlya</v>
      </c>
      <c r="D172">
        <v>10386</v>
      </c>
      <c r="E172" t="str">
        <v>https://www.ozon.ru/product/zhgut-sistemy-zazhiganiya-vaz-21093-1426540264/</v>
      </c>
      <c r="F172">
        <v>0</v>
      </c>
      <c r="G172">
        <v>0</v>
      </c>
      <c r="H172">
        <v>0</v>
      </c>
      <c r="I172">
        <v>0</v>
      </c>
    </row>
    <row r="173" spans="1:9" x14ac:dyDescent="0.25">
      <c r="A173">
        <v>144893</v>
      </c>
      <c r="B173">
        <v>11690</v>
      </c>
      <c r="C173" t="str">
        <v>https://motorring.ru/product/6774-ghgut-provodov-kontrollera-e-gaz-21144-3724026-00-vaz</v>
      </c>
      <c r="D173">
        <v>11539</v>
      </c>
      <c r="E173" t="str">
        <v>https://www.ozon.ru/product/zhgut-provodov-sistemy-zazhiganiya-elektronnaya-pedal-2114-vaz-21144-3724026-1435128867/</v>
      </c>
      <c r="F173">
        <v>0</v>
      </c>
      <c r="G173">
        <v>0</v>
      </c>
      <c r="H173">
        <v>0</v>
      </c>
      <c r="I173">
        <v>0</v>
      </c>
    </row>
    <row r="174" spans="1:9" x14ac:dyDescent="0.25">
      <c r="A174">
        <v>144878</v>
      </c>
      <c r="B174">
        <v>11690</v>
      </c>
      <c r="C174" t="str">
        <v>https://motorring.ru/product/6775-ghgut-provodov-kontrollera-21150-3724026-11-dlya-vaz</v>
      </c>
      <c r="D174" t="str">
        <v>31666 дорого</v>
      </c>
      <c r="E174" t="str">
        <v>https://www.ozon.ru/product/zhgut-ebu-kontrollera-sistemy-zazhiganiya-l1-5-v8-na-vaz-21150-379026057/</v>
      </c>
      <c r="F174">
        <v>0</v>
      </c>
      <c r="G174">
        <v>0</v>
      </c>
      <c r="H174">
        <v>0</v>
      </c>
      <c r="I174">
        <v>0</v>
      </c>
    </row>
    <row r="175" spans="1:9" x14ac:dyDescent="0.25">
      <c r="A175">
        <v>144803</v>
      </c>
      <c r="B175">
        <v>10990</v>
      </c>
      <c r="C175" t="str">
        <v>https://motorring.ru/product/6776-ghgut-provodov-kontrollera-21150-3724026-40-dlya-vaz</v>
      </c>
      <c r="D175">
        <v>12260</v>
      </c>
      <c r="E175" t="str">
        <v>https://www.ozon.ru/product/zhgut-provodov-sistemy-zazhiganiya-2114-vaz-21154-3724026-20-1435131474/</v>
      </c>
      <c r="F175">
        <v>0</v>
      </c>
      <c r="G175">
        <v>0</v>
      </c>
      <c r="H175">
        <v>0</v>
      </c>
      <c r="I175">
        <v>0</v>
      </c>
    </row>
    <row r="176" spans="1:9" x14ac:dyDescent="0.25">
      <c r="A176">
        <v>144879</v>
      </c>
      <c r="B176">
        <v>10990</v>
      </c>
      <c r="C176" t="str">
        <v>https://motorring.ru/product/6776-ghgut-provodov-kontrollera-21150-3724026-40-dlya-vaz</v>
      </c>
      <c r="D176">
        <v>11539</v>
      </c>
      <c r="E176" t="str">
        <v>https://www.ozon.ru/product/zhgut-provodov-sistemy-zazhiganiya-2114-vaz-2115-3724026-40-1435130272/</v>
      </c>
      <c r="F176">
        <v>0</v>
      </c>
      <c r="G176">
        <v>0</v>
      </c>
      <c r="H176">
        <v>0</v>
      </c>
      <c r="I176">
        <v>0</v>
      </c>
    </row>
    <row r="177" spans="1:9" x14ac:dyDescent="0.25">
      <c r="A177">
        <v>144880</v>
      </c>
      <c r="B177">
        <v>10990</v>
      </c>
      <c r="C177" t="str">
        <v>https://motorring.ru/product/6777-ghgut-provodov-kontrollera-21150-3724026-50-vaz-2113</v>
      </c>
      <c r="D177">
        <v>10385</v>
      </c>
      <c r="E177" t="str">
        <v>https://www.ozon.ru/product/zhgut-provodov-sistemy-zazhiganiya-2114-vaz-2115-3724026-50-1435130949/</v>
      </c>
      <c r="F177">
        <v>0</v>
      </c>
      <c r="G177">
        <v>0</v>
      </c>
      <c r="H177">
        <v>0</v>
      </c>
      <c r="I177">
        <v>0</v>
      </c>
    </row>
    <row r="178" spans="1:9" x14ac:dyDescent="0.25">
      <c r="A178">
        <v>144881</v>
      </c>
      <c r="B178">
        <v>10990</v>
      </c>
      <c r="C178" t="str">
        <v>https://motorring.ru/product/6778-ghgut-provodov-sistemy-zaghiganiya-2115-3724026-70-dlya-vaz</v>
      </c>
      <c r="D178">
        <v>8496</v>
      </c>
      <c r="E178" t="str">
        <v>https://www.ozon.ru/product/zhgut-provodov-sistemy-zazhiganiya-2114-vaz-2115-3724026-70-1449835831/</v>
      </c>
      <c r="F178">
        <v>0</v>
      </c>
      <c r="G178">
        <v>0</v>
      </c>
      <c r="H178">
        <v>0</v>
      </c>
      <c r="I178">
        <v>0</v>
      </c>
    </row>
    <row r="179" spans="1:9" x14ac:dyDescent="0.25">
      <c r="A179">
        <v>144882</v>
      </c>
      <c r="B179">
        <v>12390</v>
      </c>
      <c r="C179" t="str">
        <v>https://motorring.ru/product/6780-ghgut-provodov-sistemy-zaghiganiya-21154-3724026-30-bez</v>
      </c>
      <c r="D179">
        <v>11539</v>
      </c>
      <c r="E179" t="str">
        <v>https://www.ozon.ru/product/zhgut-provodov-sistemy-zazhiganiya-2114-vaz-21154-3724026-30-1435131773/</v>
      </c>
      <c r="F179">
        <v>0</v>
      </c>
      <c r="G179">
        <v>0</v>
      </c>
      <c r="H179">
        <v>0</v>
      </c>
      <c r="I179">
        <v>0</v>
      </c>
    </row>
    <row r="180" spans="1:9" x14ac:dyDescent="0.25">
      <c r="A180">
        <v>144883</v>
      </c>
      <c r="B180">
        <v>10990</v>
      </c>
      <c r="C180" t="str">
        <v>https://motorring.ru/product/6776-ghgut-provodov-kontrollera-21150-3724026-40-dlya-vaz</v>
      </c>
      <c r="D180">
        <v>11230</v>
      </c>
      <c r="E180" t="str">
        <v>https://www.ozon.ru/product/zhgut-provodov-sistemy-zazhiganiya-16-ti-klapannaya-2114-vaz-21154-3724026-40-1449833710/</v>
      </c>
      <c r="F180">
        <v>0</v>
      </c>
      <c r="G180">
        <v>0</v>
      </c>
      <c r="H180">
        <v>0</v>
      </c>
      <c r="I180">
        <v>0</v>
      </c>
    </row>
    <row r="181" spans="1:9" x14ac:dyDescent="0.25">
      <c r="A181">
        <v>144972</v>
      </c>
      <c r="B181">
        <v>12390</v>
      </c>
      <c r="C181" t="str">
        <v>https://motorring.ru/product/12647-ghgut-provodov-sistemy-zaghiganiya-2170-3724026-lada-priora</v>
      </c>
      <c r="D181">
        <v>10458</v>
      </c>
      <c r="E181" t="str">
        <v>https://www.ozon.ru/product/zhgut-provodov-sistemy-zazhiganiya-priora-vaz-2170-3724026-1462590281/</v>
      </c>
      <c r="F181">
        <v>0</v>
      </c>
      <c r="G181">
        <v>0</v>
      </c>
      <c r="H181">
        <v>0</v>
      </c>
      <c r="I181">
        <v>0</v>
      </c>
    </row>
    <row r="182" spans="1:9" x14ac:dyDescent="0.25">
      <c r="A182">
        <v>144973</v>
      </c>
      <c r="B182">
        <v>13790</v>
      </c>
      <c r="C182" t="str">
        <v>https://motorring.ru/product/12651-ghgut-provodov-sistemy-zaghiganiya-2190-3724026-40-dlya</v>
      </c>
      <c r="D182">
        <v>10818</v>
      </c>
      <c r="E182" t="str">
        <v>https://www.ozon.ru/product/zhgut-provodov-sistemy-zazhiganiya-granta-vaz-2190-3724026-40-1462617232/</v>
      </c>
      <c r="F182">
        <v>0</v>
      </c>
      <c r="G182">
        <v>0</v>
      </c>
      <c r="H182">
        <v>0</v>
      </c>
      <c r="I182">
        <v>0</v>
      </c>
    </row>
    <row r="183" spans="1:9" x14ac:dyDescent="0.25">
      <c r="A183">
        <v>144899</v>
      </c>
      <c r="B183">
        <v>9390</v>
      </c>
      <c r="C183" t="str">
        <v>https://motorring.ru/product/13939-ghgut-provodov-motornogo-otseka-21900-3724010-13-dlya-lada</v>
      </c>
      <c r="D183" t="str">
        <v>не нашел</v>
      </c>
      <c r="E183">
        <v>0</v>
      </c>
      <c r="F183">
        <v>0</v>
      </c>
      <c r="G183">
        <v>0</v>
      </c>
      <c r="H183">
        <v>0</v>
      </c>
      <c r="I183">
        <v>0</v>
      </c>
    </row>
    <row r="184" spans="1:9" x14ac:dyDescent="0.25">
      <c r="A184">
        <v>144997</v>
      </c>
      <c r="B184">
        <v>10990</v>
      </c>
      <c r="C184" t="str">
        <v>https://motorring.ru/product/12677-ghgut-provodov-far-generatora-21904-3724010-00-dlya-lada</v>
      </c>
      <c r="D184">
        <v>10602</v>
      </c>
      <c r="E184" t="str">
        <v>https://www.ozon.ru/product/zhgut-provodov-far-i-generatora-21904-010-00-na-lada-granta-1467975340/</v>
      </c>
      <c r="F184">
        <v>0</v>
      </c>
      <c r="G184">
        <v>0</v>
      </c>
      <c r="H184">
        <v>0</v>
      </c>
      <c r="I184">
        <v>0</v>
      </c>
    </row>
    <row r="185" spans="1:9" x14ac:dyDescent="0.25">
      <c r="A185">
        <v>144999</v>
      </c>
      <c r="B185">
        <v>10990</v>
      </c>
      <c r="C185" t="str">
        <v>https://motorring.ru/product/12676-ghgut-provodov-far-generatora-21920-3724010-12-dlya-lada</v>
      </c>
      <c r="D185">
        <v>10602</v>
      </c>
      <c r="E185" t="str">
        <v>https://www.ozon.ru/product/zhgut-provodov-far-i-generatora-21920-010-12-na-lada-granta-1467974563/</v>
      </c>
      <c r="F185">
        <v>0</v>
      </c>
      <c r="G185">
        <v>0</v>
      </c>
      <c r="H185">
        <v>0</v>
      </c>
      <c r="I185">
        <v>0</v>
      </c>
    </row>
    <row r="186" spans="1:9" x14ac:dyDescent="0.25">
      <c r="A186">
        <v>145003</v>
      </c>
      <c r="B186">
        <v>13790</v>
      </c>
      <c r="C186" t="str">
        <v>https://motorring.ru/product/12683-ghgut-provodov-far-generatora-31631-3724020-dlya-uaz</v>
      </c>
      <c r="D186">
        <v>10818</v>
      </c>
      <c r="E186" t="str">
        <v>https://www.ozon.ru/product/zhgut-provodov-far-i-generatora-31631-3724020-na-uaz-patriot-s-abs-i-konditsionerom-1467989298/</v>
      </c>
      <c r="F186">
        <v>0</v>
      </c>
      <c r="G186">
        <v>0</v>
      </c>
      <c r="H186">
        <v>0</v>
      </c>
      <c r="I186">
        <v>0</v>
      </c>
    </row>
    <row r="187" spans="1:9" x14ac:dyDescent="0.25">
      <c r="A187">
        <v>144974</v>
      </c>
      <c r="B187">
        <v>17890</v>
      </c>
      <c r="C187" t="str">
        <v>https://motorring.ru/product/12654-ghgut-provodov-sistemy-zaghiganiya-21903-3724026-45-dlya</v>
      </c>
      <c r="D187">
        <v>13606</v>
      </c>
      <c r="E187" t="str">
        <v>https://www.ozon.ru/product/zhgut-provodov-sistemy-zazhiganiya-granta-vaz-21903-3724026-45-1465374446/</v>
      </c>
      <c r="F187">
        <v>0</v>
      </c>
      <c r="G187">
        <v>0</v>
      </c>
      <c r="H187">
        <v>0</v>
      </c>
      <c r="I187">
        <v>0</v>
      </c>
    </row>
    <row r="188" spans="1:9" x14ac:dyDescent="0.25">
      <c r="A188">
        <v>144995</v>
      </c>
      <c r="B188">
        <v>10990</v>
      </c>
      <c r="C188" t="str">
        <v>https://motorring.ru/product/12671-ghgut-provodov-far-generatora-2190-3724010-03-dlya-lada</v>
      </c>
      <c r="D188">
        <v>10856</v>
      </c>
      <c r="E188" t="str">
        <v>https://www.ozon.ru/product/zhgut-provodov-far-i-generatora-2190-3724010-03-na-lada-granta-1465398207/</v>
      </c>
      <c r="F188">
        <v>0</v>
      </c>
      <c r="G188">
        <v>0</v>
      </c>
      <c r="H188">
        <v>0</v>
      </c>
      <c r="I188">
        <v>0</v>
      </c>
    </row>
    <row r="189" spans="1:9" x14ac:dyDescent="0.25">
      <c r="A189">
        <v>144928</v>
      </c>
      <c r="B189">
        <v>13790</v>
      </c>
      <c r="C189" t="str">
        <v>https://motorring.ru/product/12589-ghgut-provodov-paneli-priborov-sbore-montaghnym-blokom</v>
      </c>
      <c r="D189">
        <v>12962</v>
      </c>
      <c r="E189" t="str">
        <v>https://www.ozon.ru/product/zhgut-provodov-paneli-priborov-v-sbore-s-montazhnym-blokom-vaz-1118-3724030-lada-kalina-1451849407/</v>
      </c>
      <c r="F189">
        <v>0</v>
      </c>
      <c r="G189">
        <v>0</v>
      </c>
      <c r="H189">
        <v>0</v>
      </c>
      <c r="I189">
        <v>0</v>
      </c>
    </row>
    <row r="190" spans="1:9" x14ac:dyDescent="0.25">
      <c r="A190">
        <v>144868</v>
      </c>
      <c r="B190">
        <v>17890</v>
      </c>
      <c r="C190" t="str">
        <v>https://motorring.ru/product/36903-ghgut-provodov-sistemy-zaghiganiya-1118-3724026-31-kalina</v>
      </c>
      <c r="D190" t="str">
        <v>не нашел</v>
      </c>
      <c r="E190">
        <v>0</v>
      </c>
      <c r="F190">
        <v>0</v>
      </c>
      <c r="G190">
        <v>0</v>
      </c>
      <c r="H190">
        <v>0</v>
      </c>
      <c r="I190">
        <v>0</v>
      </c>
    </row>
    <row r="191" spans="1:9" x14ac:dyDescent="0.25">
      <c r="A191">
        <v>144967</v>
      </c>
      <c r="B191" t="str">
        <v>13790 снят</v>
      </c>
      <c r="C191" t="str">
        <v>https://motorring.ru/product/6782-ghgut-provodov-sistemy-zaghiganiya-lada-4h4</v>
      </c>
      <c r="D191" t="str">
        <v>не нашел</v>
      </c>
      <c r="E191">
        <v>0</v>
      </c>
      <c r="F191">
        <v>0</v>
      </c>
      <c r="G191">
        <v>0</v>
      </c>
      <c r="H191">
        <v>0</v>
      </c>
      <c r="I191">
        <v>0</v>
      </c>
    </row>
    <row r="192" spans="1:9" x14ac:dyDescent="0.25">
      <c r="A192">
        <v>144884</v>
      </c>
      <c r="B192">
        <v>16490</v>
      </c>
      <c r="C192" t="str">
        <v>https://motorring.ru/product/12610-ghgut-provodov-sistemy-zaghiganiya-21214-3724026-60-dlya</v>
      </c>
      <c r="D192">
        <v>18093</v>
      </c>
      <c r="E192" t="str">
        <v>https://www.ozon.ru/product/zhgut-provodov-sistemy-zazhiganiya-niva-vaz-21214-3724026-61-1462598489/</v>
      </c>
      <c r="F192">
        <v>0</v>
      </c>
      <c r="G192">
        <v>0</v>
      </c>
      <c r="H192">
        <v>0</v>
      </c>
      <c r="I192">
        <v>0</v>
      </c>
    </row>
    <row r="193" spans="1:9" x14ac:dyDescent="0.25">
      <c r="A193">
        <v>144885</v>
      </c>
      <c r="B193">
        <v>16490</v>
      </c>
      <c r="C193" t="str">
        <v>https://motorring.ru/product/6783-ghgut-provodov-sistemy-zaghiganiya-21214-3724026-80-lada</v>
      </c>
      <c r="D193">
        <v>14468</v>
      </c>
      <c r="E193" t="str">
        <v>https://www.ozon.ru/product/zhgut-provodov-sistemy-zazhiganiya-niva-vaz-21214-3724026-80-1462599902/</v>
      </c>
      <c r="F193">
        <v>0</v>
      </c>
      <c r="G193">
        <v>0</v>
      </c>
      <c r="H193">
        <v>0</v>
      </c>
      <c r="I193">
        <v>0</v>
      </c>
    </row>
    <row r="194" spans="1:9" x14ac:dyDescent="0.25">
      <c r="A194">
        <v>144968</v>
      </c>
      <c r="B194">
        <v>16490</v>
      </c>
      <c r="C194" t="str">
        <v>https://motorring.ru/product/12611-ghgut-provodov-sistemy-zaghiganiya-21214-3724026-86-dlya</v>
      </c>
      <c r="D194">
        <v>11594</v>
      </c>
      <c r="E194" t="str">
        <v>https://www.ozon.ru/product/zhgut-provodov-sistemy-zazhiganiya-niva-vaz-21214-3724026-86-1462602273/</v>
      </c>
      <c r="F194">
        <v>0</v>
      </c>
      <c r="G194">
        <v>0</v>
      </c>
      <c r="H194">
        <v>0</v>
      </c>
      <c r="I194">
        <v>0</v>
      </c>
    </row>
    <row r="195" spans="1:9" x14ac:dyDescent="0.25">
      <c r="A195">
        <v>144886</v>
      </c>
      <c r="B195">
        <v>16490</v>
      </c>
      <c r="C195" t="str">
        <v>https://motorring.ru/product/6785-ghgut-provodov-sistemy-zaghiganiya-21214-3724026-97-dlya</v>
      </c>
      <c r="D195">
        <v>11594</v>
      </c>
      <c r="E195" t="str">
        <v>https://www.ozon.ru/product/zhgut-provodov-sistemy-zazhiganiya-niva-vaz-21214-3724026-97-1462604437/</v>
      </c>
      <c r="F195">
        <v>0</v>
      </c>
      <c r="G195">
        <v>0</v>
      </c>
      <c r="H195">
        <v>0</v>
      </c>
      <c r="I195">
        <v>0</v>
      </c>
    </row>
    <row r="196" spans="1:9" x14ac:dyDescent="0.25">
      <c r="A196">
        <v>144887</v>
      </c>
      <c r="B196">
        <v>16490</v>
      </c>
      <c r="C196" t="str">
        <v>https://motorring.ru/product/6923-ghgut-provodov-sistemy-zaghiganiya-2123-3724026-62-dlya</v>
      </c>
      <c r="D196">
        <v>15866</v>
      </c>
      <c r="E196" t="str">
        <v>https://www.ozon.ru/product/zhgut-provodov-sistemy-zazhiganiya-shevrole-niva-vaz-2123-3724026-62-1465407859/</v>
      </c>
      <c r="F196">
        <v>0</v>
      </c>
      <c r="G196">
        <v>0</v>
      </c>
      <c r="H196">
        <v>0</v>
      </c>
      <c r="I196">
        <v>0</v>
      </c>
    </row>
    <row r="197" spans="1:9" x14ac:dyDescent="0.25">
      <c r="A197">
        <v>144992</v>
      </c>
      <c r="B197">
        <v>17890</v>
      </c>
      <c r="C197" t="str">
        <v>https://motorring.ru/product/12645-ghgut-provodov-far-generatora-2170-3724010-62-dlya-lada</v>
      </c>
      <c r="D197">
        <v>13751</v>
      </c>
      <c r="E197" t="str">
        <v>https://www.ozon.ru/product/zhgut-provodov-far-i-generatora-s-abs-i-konditsionerom-priora-vaz-2170-3724010-62-1467979715/</v>
      </c>
      <c r="F197">
        <v>0</v>
      </c>
      <c r="G197">
        <v>0</v>
      </c>
      <c r="H197">
        <v>0</v>
      </c>
      <c r="I197">
        <v>0</v>
      </c>
    </row>
    <row r="198" spans="1:9" x14ac:dyDescent="0.25">
      <c r="A198">
        <v>144869</v>
      </c>
      <c r="B198">
        <v>17890</v>
      </c>
      <c r="C198" t="str">
        <v>https://motorring.ru/product/12592-ghgut-provodov-sistemy-zaghiganiya-1118-3724026-40-dlya</v>
      </c>
      <c r="D198" t="str">
        <v>не нашел</v>
      </c>
      <c r="E198">
        <v>0</v>
      </c>
      <c r="F198">
        <v>0</v>
      </c>
      <c r="G198">
        <v>0</v>
      </c>
      <c r="H198">
        <v>0</v>
      </c>
      <c r="I198">
        <v>0</v>
      </c>
    </row>
    <row r="199" spans="1:9" x14ac:dyDescent="0.25">
      <c r="A199">
        <v>144962</v>
      </c>
      <c r="B199">
        <v>17890</v>
      </c>
      <c r="C199" t="str">
        <v>https://motorring.ru/product/12592-ghgut-provodov-sistemy-zaghiganiya-1118-3724026-40-dlya</v>
      </c>
      <c r="D199" t="str">
        <v>не нашел</v>
      </c>
      <c r="E199">
        <v>0</v>
      </c>
      <c r="F199">
        <v>0</v>
      </c>
      <c r="G199">
        <v>0</v>
      </c>
      <c r="H199">
        <v>0</v>
      </c>
      <c r="I199">
        <v>0</v>
      </c>
    </row>
    <row r="200" spans="1:9" x14ac:dyDescent="0.25">
      <c r="A200">
        <v>144889</v>
      </c>
      <c r="B200">
        <v>14990</v>
      </c>
      <c r="C200" t="str">
        <v>https://motorring.ru/product/22407-originalynyy-ghgut-provodov-sistemy-zaghiganiya</v>
      </c>
      <c r="D200" t="str">
        <v>41039 дорого</v>
      </c>
      <c r="E200" t="str">
        <v>https://www.ozon.ru/product/zhgut-21230-3724026-82-ebu-kontrollera-as-e4-na-vaz-shevrole-niva-362930358/</v>
      </c>
      <c r="F200">
        <v>0</v>
      </c>
      <c r="G200">
        <v>0</v>
      </c>
      <c r="H200">
        <v>0</v>
      </c>
      <c r="I200">
        <v>0</v>
      </c>
    </row>
    <row r="201" spans="1:9" x14ac:dyDescent="0.25">
      <c r="A201">
        <v>144961</v>
      </c>
      <c r="B201">
        <v>17890</v>
      </c>
      <c r="C201" t="str">
        <v>https://motorring.ru/product/12593-ghgut-provodov-sistemy-zaghiganiya-1118-3724026-20-dlya</v>
      </c>
      <c r="D201">
        <v>15514</v>
      </c>
      <c r="E201" t="str">
        <v>https://www.ozon.ru/product/zhgut-provodov-sistemy-zazhiganiya-kalina-vaz-1118-3724026-20-1449862043/</v>
      </c>
      <c r="F201">
        <v>0</v>
      </c>
      <c r="G201">
        <v>0</v>
      </c>
      <c r="H201">
        <v>0</v>
      </c>
      <c r="I201">
        <v>0</v>
      </c>
    </row>
    <row r="202" spans="1:9" x14ac:dyDescent="0.25">
      <c r="A202">
        <v>144870</v>
      </c>
      <c r="B202">
        <v>17890</v>
      </c>
      <c r="C202" t="str">
        <v>https://motorring.ru/product/6786-ghgut-provodov-sistemy-zaghiganiya-11184-3724026-10-dlya</v>
      </c>
      <c r="D202">
        <v>16228</v>
      </c>
      <c r="E202" t="str">
        <v>https://www.ozon.ru/product/zhgut-provodov-sistemy-zazhiganiya-kalina-vaz-11184-3724026-10-1449863158/</v>
      </c>
      <c r="F202">
        <v>0</v>
      </c>
      <c r="G202">
        <v>0</v>
      </c>
      <c r="H202">
        <v>0</v>
      </c>
      <c r="I202">
        <v>0</v>
      </c>
    </row>
    <row r="203" spans="1:9" x14ac:dyDescent="0.25">
      <c r="A203">
        <v>144965</v>
      </c>
      <c r="B203">
        <v>16490</v>
      </c>
      <c r="C203" t="str">
        <v>https://motorring.ru/product/12605-ghgut-provodov-sistemy-zaghiganiya-21214-3724026-21-dlya</v>
      </c>
      <c r="D203">
        <v>15866</v>
      </c>
      <c r="E203" t="str">
        <v>https://www.ozon.ru/product/zhgut-provodov-sistemy-zazhiganiya-niva-vaz-21214-3724026-21-1462587879/</v>
      </c>
      <c r="F203">
        <v>0</v>
      </c>
      <c r="G203">
        <v>0</v>
      </c>
      <c r="H203">
        <v>0</v>
      </c>
      <c r="I203">
        <v>0</v>
      </c>
    </row>
    <row r="204" spans="1:9" x14ac:dyDescent="0.25">
      <c r="A204">
        <v>144966</v>
      </c>
      <c r="B204">
        <v>17890</v>
      </c>
      <c r="C204" t="str">
        <v>https://motorring.ru/product/12609-ghgut-provodov-sistemy-zaghiganiya-21214-3724026-44-lada</v>
      </c>
      <c r="D204">
        <v>18391</v>
      </c>
      <c r="E204" t="str">
        <v>https://www.ozon.ru/product/zhgut-provodov-sistemy-zazhiganiya-e-gaz-niva-vaz-21214-3724026-44-1462594154/</v>
      </c>
      <c r="F204">
        <v>0</v>
      </c>
      <c r="G204">
        <v>0</v>
      </c>
      <c r="H204">
        <v>0</v>
      </c>
      <c r="I204">
        <v>0</v>
      </c>
    </row>
    <row r="205" spans="1:9" x14ac:dyDescent="0.25">
      <c r="A205">
        <v>144969</v>
      </c>
      <c r="B205">
        <v>16490</v>
      </c>
      <c r="C205" t="str">
        <v>https://motorring.ru/product/12619-ghgut-provodov-sistemy-zaghiganiya-2123-3724026-30-dlya</v>
      </c>
      <c r="D205">
        <v>15708</v>
      </c>
      <c r="E205" t="str">
        <v>https://www.ozon.ru/product/zhgut-provodov-sistemy-zazhiganiya-shevrole-niva-vaz-2123-3724026-30-1465405346/</v>
      </c>
      <c r="F205">
        <v>0</v>
      </c>
      <c r="G205">
        <v>0</v>
      </c>
      <c r="H205">
        <v>0</v>
      </c>
      <c r="I205">
        <v>0</v>
      </c>
    </row>
    <row r="206" spans="1:9" x14ac:dyDescent="0.25">
      <c r="A206">
        <v>144970</v>
      </c>
      <c r="B206">
        <v>16490</v>
      </c>
      <c r="C206" t="str">
        <v>https://motorring.ru/product/12620-ghgut-provodov-sistemy-zaghiganiya-2123-3724026-60-dlya</v>
      </c>
      <c r="D206">
        <v>15506</v>
      </c>
      <c r="E206" t="str">
        <v>https://www.ozon.ru/product/zhgut-provodov-sistemy-zazhiganiya-shevrole-niva-vaz-2123-3724026-60-1465405687/</v>
      </c>
      <c r="F206">
        <v>0</v>
      </c>
      <c r="G206">
        <v>0</v>
      </c>
      <c r="H206">
        <v>0</v>
      </c>
      <c r="I206">
        <v>0</v>
      </c>
    </row>
    <row r="207" spans="1:9" x14ac:dyDescent="0.25">
      <c r="A207">
        <v>144888</v>
      </c>
      <c r="B207">
        <v>16490</v>
      </c>
      <c r="C207" t="str">
        <v>https://motorring.ru/product/6922-ghgut-provodov-zaghiganiya-2123-3724026-80-shevrolet-niva</v>
      </c>
      <c r="D207">
        <v>13956</v>
      </c>
      <c r="E207" t="str">
        <v>https://www.ozon.ru/product/zhgut-provodov-sistemy-zazhiganiya-shevrole-niva-vaz-2123-3724026-80-1465407179/</v>
      </c>
      <c r="F207">
        <v>0</v>
      </c>
      <c r="G207">
        <v>0</v>
      </c>
      <c r="H207">
        <v>0</v>
      </c>
      <c r="I207">
        <v>0</v>
      </c>
    </row>
    <row r="208" spans="1:9" x14ac:dyDescent="0.25">
      <c r="A208">
        <v>144971</v>
      </c>
      <c r="B208">
        <v>16490</v>
      </c>
      <c r="C208" t="str">
        <v>https://motorring.ru/product/12621-ghgut-provodov-sistemy-zaghiganiya-2123-3724026-90-dlya</v>
      </c>
      <c r="D208">
        <v>15506</v>
      </c>
      <c r="E208" t="str">
        <v>https://www.ozon.ru/product/zhgut-provodov-sistemy-zazhiganiya-shevrole-niva-vaz-2123-3724026-90-1465406430/</v>
      </c>
      <c r="F208">
        <v>0</v>
      </c>
      <c r="G208">
        <v>0</v>
      </c>
      <c r="H208">
        <v>0</v>
      </c>
      <c r="I208">
        <v>0</v>
      </c>
    </row>
    <row r="209" spans="1:9" x14ac:dyDescent="0.25">
      <c r="A209">
        <v>144963</v>
      </c>
      <c r="B209">
        <v>19290</v>
      </c>
      <c r="C209" t="str">
        <v>https://motorring.ru/product/12595-ghgut-provodov-sistemy-zaghiganiya-1118-3724026-46-dlya</v>
      </c>
      <c r="D209">
        <v>16228</v>
      </c>
      <c r="E209" t="str">
        <v>https://www.ozon.ru/product/zhgut-provodov-sistemy-zazhiganiya-kalina-vaz-11184-3724026-46-1449872561/</v>
      </c>
      <c r="F209">
        <v>0</v>
      </c>
      <c r="G209">
        <v>0</v>
      </c>
      <c r="H209">
        <v>0</v>
      </c>
      <c r="I209">
        <v>0</v>
      </c>
    </row>
    <row r="210" spans="1:9" x14ac:dyDescent="0.25">
      <c r="A210">
        <v>144975</v>
      </c>
      <c r="B210" t="str">
        <v>10990 снят</v>
      </c>
      <c r="C210" t="str">
        <v>https://motorring.ru/product/33722-ghgut-provodov-sistemy-zaghiganiya-21214-3724026-a2-4x4</v>
      </c>
      <c r="D210" t="str">
        <v>не нашел</v>
      </c>
      <c r="E210">
        <v>0</v>
      </c>
      <c r="F210">
        <v>0</v>
      </c>
      <c r="G210">
        <v>0</v>
      </c>
      <c r="H210">
        <v>0</v>
      </c>
      <c r="I210">
        <v>0</v>
      </c>
    </row>
    <row r="211" spans="1:9" x14ac:dyDescent="0.25">
      <c r="A211">
        <v>144929</v>
      </c>
      <c r="B211">
        <v>20590</v>
      </c>
      <c r="C211" t="str">
        <v>https://motorring.ru/product/12590-ghgut-provodov-paneli-priborov-sbore-blokom-predohraniteley</v>
      </c>
      <c r="D211">
        <v>18968</v>
      </c>
      <c r="E211" t="str">
        <v>https://www.ozon.ru/product/zhgut-provodov-paneli-priborov-vaz-11183-3724030-lada-kalina-1451852462/</v>
      </c>
      <c r="F211">
        <v>0</v>
      </c>
      <c r="G211">
        <v>0</v>
      </c>
      <c r="H211">
        <v>0</v>
      </c>
      <c r="I211">
        <v>0</v>
      </c>
    </row>
    <row r="212" spans="1:9" x14ac:dyDescent="0.25">
      <c r="A212">
        <v>144989</v>
      </c>
      <c r="B212">
        <v>17890</v>
      </c>
      <c r="C212" t="str">
        <v>https://motorring.ru/product/12615-ghgut-provodov-far-generatora-2123-3724010-58-dlya-shevrole</v>
      </c>
      <c r="D212">
        <v>20267</v>
      </c>
      <c r="E212" t="str">
        <v>https://www.ozon.ru/product/zhgut-provodov-far-i-generatora-s-abs-shevrole-niva-vaz-2123-3724010-58-1462643617/</v>
      </c>
      <c r="F212">
        <v>0</v>
      </c>
      <c r="G212">
        <v>0</v>
      </c>
      <c r="H212">
        <v>0</v>
      </c>
      <c r="I212">
        <v>0</v>
      </c>
    </row>
    <row r="213" spans="1:9" x14ac:dyDescent="0.25">
      <c r="A213">
        <v>145001</v>
      </c>
      <c r="B213">
        <v>20590</v>
      </c>
      <c r="C213" t="str">
        <v>https://motorring.ru/product/12672-ghgut-provodov-far-generatora-21922-3724010-20-lada-granta</v>
      </c>
      <c r="D213">
        <v>16949</v>
      </c>
      <c r="E213" t="str">
        <v>https://www.ozon.ru/product/zhgut-provodov-far-i-generatora-akpp-granta-vaz-21922-3724010-20-1465399017/</v>
      </c>
      <c r="F213">
        <v>0</v>
      </c>
      <c r="G213">
        <v>0</v>
      </c>
      <c r="H213">
        <v>0</v>
      </c>
      <c r="I213">
        <v>0</v>
      </c>
    </row>
    <row r="214" spans="1:9" x14ac:dyDescent="0.25">
      <c r="A214">
        <v>145002</v>
      </c>
      <c r="B214">
        <v>20590</v>
      </c>
      <c r="C214" t="str">
        <v>https://motorring.ru/product/12673-ghgut-provodov-far-generatora-21924-3724010-20-dlya-lada</v>
      </c>
      <c r="D214">
        <v>16949</v>
      </c>
      <c r="E214" t="str">
        <v>https://www.ozon.ru/product/zhgut-provodov-far-i-generatora-akpp-granta-vaz-21924-3724010-20-1465399526/</v>
      </c>
      <c r="F214">
        <v>0</v>
      </c>
      <c r="G214">
        <v>0</v>
      </c>
      <c r="H214">
        <v>0</v>
      </c>
      <c r="I214">
        <v>0</v>
      </c>
    </row>
    <row r="215" spans="1:9" x14ac:dyDescent="0.25">
      <c r="A215">
        <v>144902</v>
      </c>
      <c r="B215">
        <v>27490</v>
      </c>
      <c r="C215" t="str">
        <v>https://motorring.ru/product/12591-ghgut-provodov-paneli-priborov-11186-3724030-20-dlya-lada</v>
      </c>
      <c r="D215">
        <v>18968</v>
      </c>
      <c r="E215" t="str">
        <v>https://www.ozon.ru/product/zhgut-provodov-paneli-priborov-kalina-vaz-11186-3724030-20-1449850216/</v>
      </c>
      <c r="F215">
        <v>0</v>
      </c>
      <c r="G215">
        <v>0</v>
      </c>
      <c r="H215">
        <v>0</v>
      </c>
      <c r="I215">
        <v>0</v>
      </c>
    </row>
    <row r="216" spans="1:9" x14ac:dyDescent="0.25">
      <c r="A216">
        <v>144916</v>
      </c>
      <c r="B216">
        <v>27490</v>
      </c>
      <c r="C216" t="str">
        <v>https://motorring.ru/product/12670-ghgut-provodov-paneli-priborov-21902-3724030-54-dlya-lada</v>
      </c>
      <c r="D216">
        <v>24522</v>
      </c>
      <c r="E216" t="str">
        <v>https://www.ozon.ru/product/zhgut-provodov-paneli-priborov-21902-3724030-54-na-lada-granta-1465397618/</v>
      </c>
      <c r="F216">
        <v>0</v>
      </c>
      <c r="G216">
        <v>0</v>
      </c>
      <c r="H216">
        <v>0</v>
      </c>
      <c r="I216">
        <v>0</v>
      </c>
    </row>
    <row r="217" spans="1:9" x14ac:dyDescent="0.25">
      <c r="A217">
        <v>144914</v>
      </c>
      <c r="B217">
        <v>20590</v>
      </c>
      <c r="C217" t="str">
        <v>https://motorring.ru/product/12652-ghgut-provodov-paneli-priborov-2190-3724030-dlya-lada</v>
      </c>
      <c r="D217">
        <v>19473</v>
      </c>
      <c r="E217" t="str">
        <v>https://www.ozon.ru/product/zhgut-provodov-paneli-priborov-granta-vaz-2190-3724030-1462619055/</v>
      </c>
      <c r="F217">
        <v>0</v>
      </c>
      <c r="G217">
        <v>0</v>
      </c>
      <c r="H217">
        <v>0</v>
      </c>
      <c r="I217">
        <v>0</v>
      </c>
    </row>
    <row r="218" spans="1:9" x14ac:dyDescent="0.25">
      <c r="A218">
        <v>144915</v>
      </c>
      <c r="B218">
        <v>27490</v>
      </c>
      <c r="C218" t="str">
        <v>https://motorring.ru/product/12663-ghgut-provodov-paneli-priborov-2190-3724030-51-dlya-lada</v>
      </c>
      <c r="D218">
        <v>24522</v>
      </c>
      <c r="E218" t="str">
        <v>https://www.ozon.ru/product/zhgut-provodov-paneli-priborov-2190-3724030-51-na-lada-granta-1465389644/</v>
      </c>
      <c r="F218">
        <v>0</v>
      </c>
      <c r="G218">
        <v>0</v>
      </c>
      <c r="H218">
        <v>0</v>
      </c>
      <c r="I218">
        <v>0</v>
      </c>
    </row>
    <row r="219" spans="1:9" x14ac:dyDescent="0.25">
      <c r="A219">
        <v>144919</v>
      </c>
      <c r="B219">
        <v>27490</v>
      </c>
      <c r="C219" t="str">
        <v>https://motorring.ru/product/12664-ghgut-provodov-paneli-priborov-21912-3724030-53-dlya-lada</v>
      </c>
      <c r="D219">
        <v>24522</v>
      </c>
      <c r="E219" t="str">
        <v>https://www.ozon.ru/product/zhgut-provodov-paneli-priborov-21912-3724030-53-na-lada-granta-1465390781/</v>
      </c>
      <c r="F219">
        <v>0</v>
      </c>
      <c r="G219">
        <v>0</v>
      </c>
      <c r="H219">
        <v>0</v>
      </c>
      <c r="I219">
        <v>0</v>
      </c>
    </row>
    <row r="220" spans="1:9" x14ac:dyDescent="0.25">
      <c r="A220">
        <v>144917</v>
      </c>
      <c r="B220">
        <v>27490</v>
      </c>
      <c r="C220" t="str">
        <v>https://motorring.ru/product/12660</v>
      </c>
      <c r="D220">
        <v>24522</v>
      </c>
      <c r="E220" t="str">
        <v>https://www.ozon.ru/product/zhgut-provodov-paneli-priborov-2191-3724030-61-na-lada-granta-1465386460/</v>
      </c>
      <c r="F220">
        <v>0</v>
      </c>
      <c r="G220">
        <v>0</v>
      </c>
      <c r="H220">
        <v>0</v>
      </c>
      <c r="I220">
        <v>0</v>
      </c>
    </row>
    <row r="221" spans="1:9" x14ac:dyDescent="0.25">
      <c r="A221">
        <v>144918</v>
      </c>
      <c r="B221">
        <v>27490</v>
      </c>
      <c r="C221" t="str">
        <v>https://motorring.ru/product/12662-ghgut-provodov-paneli-priborov-blokom-predohraniteley</v>
      </c>
      <c r="D221">
        <v>24522</v>
      </c>
      <c r="E221" t="str">
        <v>https://www.ozon.ru/product/zhgut-provodov-paneli-priborov-2191-3724030-63-na-lada-granta-1465388096/</v>
      </c>
      <c r="F221">
        <v>0</v>
      </c>
      <c r="G221">
        <v>0</v>
      </c>
      <c r="H221">
        <v>0</v>
      </c>
      <c r="I221">
        <v>0</v>
      </c>
    </row>
    <row r="222" spans="1:9" x14ac:dyDescent="0.25">
      <c r="A222">
        <v>144920</v>
      </c>
      <c r="B222">
        <v>27490</v>
      </c>
      <c r="C222" t="str">
        <v>https://motorring.ru/product/12661-ghgut-provodov-paneli-priborov-blokom-predohraniteley</v>
      </c>
      <c r="D222">
        <v>24522</v>
      </c>
      <c r="E222" t="str">
        <v>https://www.ozon.ru/product/zhgut-provodov-paneli-priborov-21917-3724030-00-na-lada-granta-1465387506/</v>
      </c>
      <c r="F222">
        <v>0</v>
      </c>
      <c r="G222">
        <v>0</v>
      </c>
      <c r="H222">
        <v>0</v>
      </c>
      <c r="I222">
        <v>0</v>
      </c>
    </row>
    <row r="223" spans="1:9" x14ac:dyDescent="0.25">
      <c r="A223">
        <v>144921</v>
      </c>
      <c r="B223">
        <v>27490</v>
      </c>
      <c r="C223" t="str">
        <v>https://motorring.ru/product/12665-ghgut-provodov-paneli-priborov-21917-3724030-03-dlya-lada</v>
      </c>
      <c r="D223">
        <v>24522</v>
      </c>
      <c r="E223" t="str">
        <v>https://www.ozon.ru/product/zhgut-provodov-paneli-priborov-21917-3724030-03-na-lada-granta-1465393945/</v>
      </c>
      <c r="F223">
        <v>0</v>
      </c>
      <c r="G223">
        <v>0</v>
      </c>
      <c r="H223">
        <v>0</v>
      </c>
      <c r="I223">
        <v>0</v>
      </c>
    </row>
    <row r="224" spans="1:9" x14ac:dyDescent="0.25">
      <c r="A224">
        <v>144922</v>
      </c>
      <c r="B224">
        <v>27490</v>
      </c>
      <c r="C224" t="str">
        <v>https://motorring.ru/product/12667-ghgut-provodov-paneli-priborov-21920-3724030-60-dlya-lada</v>
      </c>
      <c r="D224">
        <v>24522</v>
      </c>
      <c r="E224" t="str">
        <v>https://www.ozon.ru/product/zhgut-provodov-paneli-priborov-21920-3724030-60-na-lada-granta-1465395473/</v>
      </c>
      <c r="F224">
        <v>0</v>
      </c>
      <c r="G224">
        <v>0</v>
      </c>
      <c r="H224">
        <v>0</v>
      </c>
      <c r="I224">
        <v>0</v>
      </c>
    </row>
    <row r="225" spans="1:9" x14ac:dyDescent="0.25">
      <c r="A225">
        <v>144923</v>
      </c>
      <c r="B225">
        <v>27490</v>
      </c>
      <c r="C225" t="str">
        <v>https://motorring.ru/product/12666-ghgut-provodov-paneli-priborov-21920-3724030-63-dlya-lada</v>
      </c>
      <c r="D225">
        <v>24522</v>
      </c>
      <c r="E225" t="str">
        <v>https://www.ozon.ru/product/zhgut-provodov-paneli-priborov-21920-3724030-63-na-lada-granta-1465394733/</v>
      </c>
      <c r="F225">
        <v>0</v>
      </c>
      <c r="G225">
        <v>0</v>
      </c>
      <c r="H225">
        <v>0</v>
      </c>
      <c r="I225">
        <v>0</v>
      </c>
    </row>
    <row r="226" spans="1:9" x14ac:dyDescent="0.25">
      <c r="A226">
        <v>144924</v>
      </c>
      <c r="B226">
        <v>27490</v>
      </c>
      <c r="C226" t="str">
        <v>https://motorring.ru/product/12668-ghgut-provodov-paneli-priborov-21920-3724030-70-dlya-lada</v>
      </c>
      <c r="D226">
        <v>24522</v>
      </c>
      <c r="E226" t="str">
        <v>https://www.ozon.ru/product/zhgut-provodov-paneli-priborov-21920-3724030-70-na-lada-granta-1465396303/</v>
      </c>
      <c r="F226">
        <v>0</v>
      </c>
      <c r="G226">
        <v>0</v>
      </c>
      <c r="H226">
        <v>0</v>
      </c>
      <c r="I226">
        <v>0</v>
      </c>
    </row>
    <row r="227" spans="1:9" x14ac:dyDescent="0.25">
      <c r="A227">
        <v>144925</v>
      </c>
      <c r="B227">
        <v>27490</v>
      </c>
      <c r="C227" t="str">
        <v>https://motorring.ru/product/12659-ghgut-provodov-paneli-priborov-21922-3724030-50-dlya-lada</v>
      </c>
      <c r="D227">
        <v>24522</v>
      </c>
      <c r="E227" t="str">
        <v>https://www.ozon.ru/product/zhgut-provodov-paneli-priborov-21922-3724030-50-na-lada-granta-1465385485/</v>
      </c>
      <c r="F227">
        <v>0</v>
      </c>
      <c r="G227">
        <v>0</v>
      </c>
      <c r="H227">
        <v>0</v>
      </c>
      <c r="I227">
        <v>0</v>
      </c>
    </row>
    <row r="228" spans="1:9" x14ac:dyDescent="0.25">
      <c r="A228">
        <v>144926</v>
      </c>
      <c r="B228">
        <v>27490</v>
      </c>
      <c r="C228" t="str">
        <v>https://motorring.ru/product/12669-ghgut-provodov-paneli-priborov-21922-3724030-73-dlya-lada</v>
      </c>
      <c r="D228">
        <v>24522</v>
      </c>
      <c r="E228" t="str">
        <v>https://www.ozon.ru/product/zhgut-provodov-paneli-priborov-21922-3724030-73-na-lada-granta-1465397312/</v>
      </c>
      <c r="F228">
        <v>0</v>
      </c>
      <c r="G228">
        <v>0</v>
      </c>
      <c r="H228">
        <v>0</v>
      </c>
      <c r="I228">
        <v>0</v>
      </c>
    </row>
    <row r="229" spans="1:9" x14ac:dyDescent="0.25">
      <c r="A229">
        <v>144913</v>
      </c>
      <c r="B229" t="str">
        <v>22990 снят</v>
      </c>
      <c r="C229" t="str">
        <v>https://motorring.ru/product/12638-ghgut-provodov-paneli-priborov-blokom-predohraniteley</v>
      </c>
      <c r="D229" t="str">
        <v>не нашел</v>
      </c>
      <c r="E229">
        <v>0</v>
      </c>
      <c r="F229">
        <v>0</v>
      </c>
      <c r="G229">
        <v>0</v>
      </c>
      <c r="H229">
        <v>0</v>
      </c>
      <c r="I229">
        <v>0</v>
      </c>
    </row>
    <row r="230" spans="1:9" x14ac:dyDescent="0.25">
      <c r="A230">
        <v>144810</v>
      </c>
      <c r="B230">
        <v>27490</v>
      </c>
      <c r="C230" t="str">
        <v>https://motorring.ru/product/12632-ghgut-paneli-priborov-21703-3724030-dlya-lada-priora-e-gaz</v>
      </c>
      <c r="D230">
        <v>22719</v>
      </c>
      <c r="E230" t="str">
        <v>https://www.ozon.ru/product/zhgut-provodov-paneli-priborov-s-blokom-e-gaz-priora-vaz-21703-3724030-1465428405/</v>
      </c>
      <c r="F230">
        <v>0</v>
      </c>
      <c r="G230">
        <v>0</v>
      </c>
      <c r="H230">
        <v>0</v>
      </c>
      <c r="I230">
        <v>0</v>
      </c>
    </row>
    <row r="231" spans="1:9" x14ac:dyDescent="0.25">
      <c r="A231">
        <v>144811</v>
      </c>
      <c r="B231">
        <v>27490</v>
      </c>
      <c r="C231" t="str">
        <v>https://motorring.ru/product/12628-ghgut-paneli-priborov-sbore-montaghnym-blokom-2172-3724030</v>
      </c>
      <c r="D231">
        <v>28805</v>
      </c>
      <c r="E231" t="str">
        <v>https://www.ozon.ru/product/zhgut-provodov-paneli-priborov-v-sbore-s-montazhnym-blokom-priora-vaz-2170-3724030-1465426090/</v>
      </c>
      <c r="F231">
        <v>0</v>
      </c>
      <c r="G231">
        <v>0</v>
      </c>
      <c r="H231">
        <v>0</v>
      </c>
      <c r="I231">
        <v>0</v>
      </c>
    </row>
    <row r="232" spans="1:9" x14ac:dyDescent="0.25">
      <c r="A232">
        <v>144812</v>
      </c>
      <c r="B232">
        <v>27490</v>
      </c>
      <c r="C232" t="str">
        <v>https://motorring.ru/product/12629-ghgut-paneli-priborov-sbore-montaghnym-blokom-2170</v>
      </c>
      <c r="D232">
        <v>22798</v>
      </c>
      <c r="E232" t="str">
        <v>https://www.ozon.ru/product/zhgut-provodov-paneli-priborov-v-sbore-s-montazhnym-blokom-priora-vaz-2170-3724030-21-1465426610/</v>
      </c>
      <c r="F232">
        <v>0</v>
      </c>
      <c r="G232">
        <v>0</v>
      </c>
      <c r="H232">
        <v>0</v>
      </c>
      <c r="I232">
        <v>0</v>
      </c>
    </row>
    <row r="233" spans="1:9" x14ac:dyDescent="0.25">
      <c r="A233">
        <v>144813</v>
      </c>
      <c r="B233">
        <v>27490</v>
      </c>
      <c r="C233" t="str">
        <v>https://motorring.ru/product/12630-ghgut-paneli-priborov-sbore-montaghnym-blokom-2170-priora</v>
      </c>
      <c r="D233">
        <v>22798</v>
      </c>
      <c r="E233" t="str">
        <v>https://www.ozon.ru/product/zhgut-provodov-paneli-priborov-v-sbore-s-montazhnym-blokom-priora-vaz-2170-3724030-30-1465426859/</v>
      </c>
      <c r="F233">
        <v>0</v>
      </c>
      <c r="G233">
        <v>0</v>
      </c>
      <c r="H233">
        <v>0</v>
      </c>
      <c r="I233">
        <v>0</v>
      </c>
    </row>
    <row r="234" spans="1:9" x14ac:dyDescent="0.25">
      <c r="A234">
        <v>144815</v>
      </c>
      <c r="B234">
        <v>27490</v>
      </c>
      <c r="C234" t="str">
        <v>https://motorring.ru/product/12628-ghgut-paneli-priborov-sbore-montaghnym-blokom-2172-3724030</v>
      </c>
      <c r="D234">
        <v>28805</v>
      </c>
      <c r="E234" t="str">
        <v>https://www.ozon.ru/product/zhgut-provodov-paneli-priborov-v-sbore-s-montazhnym-blokom-priora-vaz-2172-3724030-1465426382/</v>
      </c>
      <c r="F234">
        <v>0</v>
      </c>
      <c r="G234">
        <v>0</v>
      </c>
      <c r="H234">
        <v>0</v>
      </c>
      <c r="I234">
        <v>0</v>
      </c>
    </row>
    <row r="235" spans="1:9" x14ac:dyDescent="0.25">
      <c r="A235">
        <v>144814</v>
      </c>
      <c r="B235">
        <v>27490</v>
      </c>
      <c r="C235" t="str">
        <v>https://motorring.ru/product/12631-ghgut-paneli-priborov-sbore-montaghnym-blokom-priora</v>
      </c>
      <c r="D235">
        <v>27502</v>
      </c>
      <c r="E235" t="str">
        <v>https://www.ozon.ru/product/zhgut-provodov-paneli-priborov-v-sbore-s-montazhnym-blokom-priora-vaz-2170-3724030-70-1465427178/</v>
      </c>
      <c r="F235">
        <v>0</v>
      </c>
      <c r="G235">
        <v>0</v>
      </c>
      <c r="H235">
        <v>0</v>
      </c>
      <c r="I235">
        <v>0</v>
      </c>
    </row>
    <row r="236" spans="1:9" x14ac:dyDescent="0.25">
      <c r="A236">
        <v>202551</v>
      </c>
      <c r="B236" t="str">
        <v>не нашел</v>
      </c>
      <c r="C236">
        <v>0</v>
      </c>
      <c r="D236">
        <v>285</v>
      </c>
      <c r="E236" t="str">
        <v>https://www.ozon.ru/product/cargen-provoda-soedinitelnye-949209922/</v>
      </c>
      <c r="F236">
        <v>0</v>
      </c>
      <c r="G236">
        <v>0</v>
      </c>
      <c r="H236">
        <v>0</v>
      </c>
      <c r="I236">
        <v>0</v>
      </c>
    </row>
    <row r="237" spans="1:9" x14ac:dyDescent="0.25">
      <c r="A237">
        <v>202550</v>
      </c>
      <c r="B237">
        <v>106</v>
      </c>
      <c r="C237" t="str">
        <v>https://motorring.ru/product/31402-razyemy-provodami-cargen-12078090-datchiku-pologheniya</v>
      </c>
      <c r="D237">
        <v>235</v>
      </c>
      <c r="E237" t="str">
        <v>https://www.ozon.ru/product/razem-kolodka-dlya-datchika-polozheniya-drosselnoy-zaslonki-2112-1148200-1512036491/</v>
      </c>
      <c r="F237">
        <v>0</v>
      </c>
      <c r="G237">
        <v>0</v>
      </c>
      <c r="H237">
        <v>0</v>
      </c>
      <c r="I237">
        <v>0</v>
      </c>
    </row>
    <row r="238" spans="1:9" x14ac:dyDescent="0.25">
      <c r="A238">
        <v>160419</v>
      </c>
      <c r="B238">
        <v>549</v>
      </c>
      <c r="C238" t="str">
        <v>https://motorring.ru/product/19644-razyem-kolodka-zelenyy-bez-provodov-dlya-kombinacii</v>
      </c>
      <c r="D238">
        <v>585</v>
      </c>
      <c r="E238" t="str">
        <v>https://www.ozon.ru/product/razem-kolodka-zelenyy-dlya-kombinatsii-priborov-norma-bez-provodov-dlya-priora-kalina-958795495/</v>
      </c>
      <c r="F238">
        <v>0</v>
      </c>
      <c r="G238">
        <v>0</v>
      </c>
      <c r="H238">
        <v>0</v>
      </c>
      <c r="I238">
        <v>0</v>
      </c>
    </row>
    <row r="239" spans="1:9" x14ac:dyDescent="0.25">
      <c r="A239">
        <v>144952</v>
      </c>
      <c r="B239" t="str">
        <v>1290 снят</v>
      </c>
      <c r="C239" t="str">
        <v>https://motorring.ru/product/31140-ghgut-provodov-salona-zadnih-fonarey-2112-3724558-10-cargen</v>
      </c>
      <c r="D239">
        <v>2410</v>
      </c>
      <c r="E239" t="str">
        <v>https://www.ozon.ru/product/zhgut-provodov-bagazhnika-vaz-2112-1426608874/</v>
      </c>
      <c r="F239">
        <v>0</v>
      </c>
      <c r="G239">
        <v>0</v>
      </c>
      <c r="H239">
        <v>0</v>
      </c>
      <c r="I239">
        <v>0</v>
      </c>
    </row>
    <row r="240" spans="1:9" x14ac:dyDescent="0.25">
      <c r="A240">
        <v>202563</v>
      </c>
      <c r="B240" t="str">
        <v>не нашел</v>
      </c>
      <c r="C240">
        <v>0</v>
      </c>
      <c r="D240" t="str">
        <v>не нашел</v>
      </c>
      <c r="E240">
        <v>0</v>
      </c>
      <c r="F240">
        <v>0</v>
      </c>
      <c r="G240">
        <v>0</v>
      </c>
      <c r="H240">
        <v>0</v>
      </c>
      <c r="I240">
        <v>0</v>
      </c>
    </row>
    <row r="241" spans="1:9" x14ac:dyDescent="0.25">
      <c r="A241">
        <v>251662</v>
      </c>
      <c r="B241" t="str">
        <v>не нашел</v>
      </c>
      <c r="C241">
        <v>0</v>
      </c>
      <c r="D241" t="str">
        <v>не нашел</v>
      </c>
      <c r="E241">
        <v>0</v>
      </c>
      <c r="F241">
        <v>0</v>
      </c>
      <c r="G241">
        <v>0</v>
      </c>
      <c r="H241">
        <v>0</v>
      </c>
      <c r="I241">
        <v>0</v>
      </c>
    </row>
    <row r="242" spans="1:9" x14ac:dyDescent="0.25">
      <c r="A242">
        <v>258045</v>
      </c>
      <c r="B242">
        <v>4290</v>
      </c>
      <c r="C242" t="str">
        <v>https://motorring.ru/product/13961-ghgut-provodov-salona-zadnih-fonarey-21099-3724210-dlya-vaz</v>
      </c>
      <c r="D242">
        <v>4342</v>
      </c>
      <c r="E242" t="str">
        <v>https://www.ozon.ru/product/zhgut-provodov-zadniy-salona-i-zadnih-fonarey-na-vaz-21099-1426105271/</v>
      </c>
      <c r="F242">
        <v>0</v>
      </c>
      <c r="G242">
        <v>0</v>
      </c>
      <c r="H242">
        <v>0</v>
      </c>
      <c r="I242">
        <v>0</v>
      </c>
    </row>
    <row r="243" spans="1:9" x14ac:dyDescent="0.25">
      <c r="A243">
        <v>265183</v>
      </c>
      <c r="B243" t="str">
        <v>не такой</v>
      </c>
      <c r="C243">
        <v>0</v>
      </c>
      <c r="D243" t="str">
        <v>не нашел</v>
      </c>
      <c r="E243">
        <v>0</v>
      </c>
      <c r="F243">
        <v>0</v>
      </c>
      <c r="G243">
        <v>0</v>
      </c>
      <c r="H243">
        <v>0</v>
      </c>
      <c r="I243">
        <v>0</v>
      </c>
    </row>
    <row r="244" spans="1:9" x14ac:dyDescent="0.25">
      <c r="A244">
        <v>265184</v>
      </c>
      <c r="B244" t="str">
        <v>не такой</v>
      </c>
      <c r="C244">
        <v>0</v>
      </c>
      <c r="D244" t="str">
        <v>не нашел</v>
      </c>
      <c r="E244">
        <v>0</v>
      </c>
      <c r="F244">
        <v>0</v>
      </c>
      <c r="G244">
        <v>0</v>
      </c>
      <c r="H244">
        <v>0</v>
      </c>
      <c r="I244">
        <v>0</v>
      </c>
    </row>
    <row r="245" spans="1:9" x14ac:dyDescent="0.25">
      <c r="A245">
        <v>415290</v>
      </c>
      <c r="B245" t="str">
        <v>не такой</v>
      </c>
      <c r="C245">
        <v>0</v>
      </c>
      <c r="D245">
        <v>1987</v>
      </c>
      <c r="E245" t="str">
        <v>https://www.ozon.ru/product/zhgut-provodov-podklyucheniya-kamery-zadnego-vida-8450008028-dlya-lada-vesta-vesta-granta-granta-1264170294/</v>
      </c>
      <c r="F245">
        <v>0</v>
      </c>
      <c r="G245">
        <v>0</v>
      </c>
      <c r="H245">
        <v>0</v>
      </c>
      <c r="I245">
        <v>0</v>
      </c>
    </row>
    <row r="246" spans="1:9" x14ac:dyDescent="0.25">
      <c r="A246">
        <v>312005</v>
      </c>
      <c r="B246">
        <v>1790</v>
      </c>
      <c r="C246" t="str">
        <v>https://motorring.ru/product/6566-kabely-udlinitely-gps-antenny-itelma-dlya-lada-priora</v>
      </c>
      <c r="D246" t="str">
        <v>не нашел</v>
      </c>
      <c r="E246">
        <v>0</v>
      </c>
      <c r="F246">
        <v>0</v>
      </c>
      <c r="G246">
        <v>0</v>
      </c>
      <c r="H246">
        <v>0</v>
      </c>
      <c r="I246">
        <v>0</v>
      </c>
    </row>
    <row r="247" spans="1:9" x14ac:dyDescent="0.25">
      <c r="A247">
        <v>426984</v>
      </c>
      <c r="B247">
        <v>27490</v>
      </c>
      <c r="C247" t="str">
        <v>https://motorring.ru/product/26499-ghgut-provodov-paneli-priborov-8450030715-lada-vesta</v>
      </c>
      <c r="D247">
        <v>21712</v>
      </c>
      <c r="E247" t="str">
        <v>https://www.ozon.ru/product/zhgut-provodov-paneli-priborov-lada-vesta-8450030715-1467980366/</v>
      </c>
      <c r="F247">
        <v>0</v>
      </c>
      <c r="G247">
        <v>0</v>
      </c>
      <c r="H247">
        <v>0</v>
      </c>
      <c r="I247">
        <v>0</v>
      </c>
    </row>
    <row r="248" spans="1:9" x14ac:dyDescent="0.25">
      <c r="A248">
        <v>426978</v>
      </c>
      <c r="B248">
        <v>27490</v>
      </c>
      <c r="C248" t="str">
        <v>https://motorring.ru/product/26497-ghgut-provodov-paneli-priborov-8450031379-lada-vesta</v>
      </c>
      <c r="D248">
        <v>21712</v>
      </c>
      <c r="E248" t="str">
        <v>https://www.ozon.ru/product/zhgut-provodov-paneli-priborov-lada-vesta-8450031379-1467979787/</v>
      </c>
      <c r="F248">
        <v>0</v>
      </c>
      <c r="G248">
        <v>0</v>
      </c>
      <c r="H248">
        <v>0</v>
      </c>
      <c r="I248">
        <v>0</v>
      </c>
    </row>
    <row r="249" spans="1:9" x14ac:dyDescent="0.25">
      <c r="A249">
        <v>426985</v>
      </c>
      <c r="B249">
        <v>27490</v>
      </c>
      <c r="C249" t="str">
        <v>https://motorring.ru/product/26498-ghgut-provodov-paneli-priborov-8450031623-lada-vesta</v>
      </c>
      <c r="D249">
        <v>21712</v>
      </c>
      <c r="E249" t="str">
        <v>https://www.ozon.ru/product/zhgut-provodov-paneli-priborov-lada-vesta-8450031623-1467980710/</v>
      </c>
      <c r="F249">
        <v>0</v>
      </c>
      <c r="G249">
        <v>0</v>
      </c>
      <c r="H249">
        <v>0</v>
      </c>
      <c r="I249">
        <v>0</v>
      </c>
    </row>
    <row r="250" spans="1:9" x14ac:dyDescent="0.25">
      <c r="A250">
        <v>426974</v>
      </c>
      <c r="B250">
        <v>34390</v>
      </c>
      <c r="C250" t="str">
        <v>https://motorring.ru/product/12681-ghgut-provodov-paneli-priborov-dlya-lada-largus</v>
      </c>
      <c r="D250">
        <v>28949</v>
      </c>
      <c r="E250" t="str">
        <v>https://www.ozon.ru/product/zhgut-paneli-priborov-lada-largus-1467978323/</v>
      </c>
      <c r="F250">
        <v>0</v>
      </c>
      <c r="G250">
        <v>0</v>
      </c>
      <c r="H250">
        <v>0</v>
      </c>
      <c r="I250">
        <v>0</v>
      </c>
    </row>
    <row r="251" spans="1:9" x14ac:dyDescent="0.25">
      <c r="A251">
        <v>426967</v>
      </c>
      <c r="B251">
        <v>1790</v>
      </c>
      <c r="C251" t="str">
        <v>https://motorring.ru/product/26496-ghgut-provodov-abs-dlya-lada-largus</v>
      </c>
      <c r="D251" t="str">
        <v>не нашел</v>
      </c>
      <c r="E251">
        <v>0</v>
      </c>
      <c r="F251">
        <v>0</v>
      </c>
      <c r="G251">
        <v>0</v>
      </c>
      <c r="H251">
        <v>0</v>
      </c>
      <c r="I251">
        <v>0</v>
      </c>
    </row>
    <row r="252" spans="1:9" x14ac:dyDescent="0.25">
      <c r="A252">
        <v>426432</v>
      </c>
      <c r="B252">
        <v>2490</v>
      </c>
      <c r="C252" t="str">
        <v>https://motorring.ru/product/26435-ghgut-provodov-faro-generatornyy-peredniy-motornyy</v>
      </c>
      <c r="D252">
        <v>2461</v>
      </c>
      <c r="E252" t="str">
        <v>https://www.ozon.ru/product/zhgut-provodov-generatora-na-lente-vaz-21083-1425050122/</v>
      </c>
      <c r="F252">
        <v>0</v>
      </c>
      <c r="G252">
        <v>0</v>
      </c>
      <c r="H252">
        <v>0</v>
      </c>
      <c r="I252">
        <v>0</v>
      </c>
    </row>
    <row r="253" spans="1:9" x14ac:dyDescent="0.25">
      <c r="A253">
        <v>426933</v>
      </c>
      <c r="B253" t="str">
        <v>не нашел</v>
      </c>
      <c r="C253">
        <v>0</v>
      </c>
      <c r="D253">
        <v>908</v>
      </c>
      <c r="E253" t="str">
        <v>https://www.ozon.ru/product/zhgut-provodov-dopolnitelnyy-zadney-pravoy-dveri-v-sbore-steklopodemniki-dlya-vaz-lada-priora-216539908/</v>
      </c>
      <c r="F253">
        <v>0</v>
      </c>
      <c r="G253">
        <v>0</v>
      </c>
      <c r="H253">
        <v>0</v>
      </c>
      <c r="I253">
        <v>0</v>
      </c>
    </row>
    <row r="254" spans="1:9" x14ac:dyDescent="0.25">
      <c r="A254">
        <v>426994</v>
      </c>
      <c r="B254">
        <v>8590</v>
      </c>
      <c r="C254" t="str">
        <v>https://motorring.ru/product/19460-ghgut-provodov-lada-vesta</v>
      </c>
      <c r="D254">
        <v>8106</v>
      </c>
      <c r="E254" t="str">
        <v>https://www.ozon.ru/product/zhgut-provodov-zadniy-8450030721-lada-vesta-1467987500/</v>
      </c>
      <c r="F254">
        <v>0</v>
      </c>
      <c r="G254">
        <v>0</v>
      </c>
      <c r="H254">
        <v>0</v>
      </c>
      <c r="I254">
        <v>0</v>
      </c>
    </row>
    <row r="255" spans="1:9" x14ac:dyDescent="0.25">
      <c r="A255">
        <v>426738</v>
      </c>
      <c r="B255">
        <v>8590</v>
      </c>
      <c r="C255" t="str">
        <v>https://motorring.ru/product/36905-ghgut-provodov-zadniy-2131-3724210-a1-lada-4x4-5d-abs</v>
      </c>
      <c r="D255">
        <v>3609</v>
      </c>
      <c r="E255" t="str">
        <v>https://www.ozon.ru/product/zhgut-provodov-zadniy-niva-urban-vaz-2131-3724210-a-1-1462618901/</v>
      </c>
      <c r="F255">
        <v>0</v>
      </c>
      <c r="G255">
        <v>0</v>
      </c>
      <c r="H255">
        <v>0</v>
      </c>
      <c r="I255">
        <v>0</v>
      </c>
    </row>
    <row r="256" spans="1:9" x14ac:dyDescent="0.25">
      <c r="A256">
        <v>426628</v>
      </c>
      <c r="B256">
        <v>11690</v>
      </c>
      <c r="C256" t="str">
        <v>https://motorring.ru/product/12578-ghgut-provodov-sistemy-zaghiganiya-21104-3724026-dlya-vaz</v>
      </c>
      <c r="D256">
        <v>13389</v>
      </c>
      <c r="E256" t="str">
        <v>https://www.ozon.ru/product/zhgut-provodov-sistemy-zazhiganiya-2110-vaz-21104-3724026-1434237875/</v>
      </c>
      <c r="F256">
        <v>0</v>
      </c>
      <c r="G256">
        <v>0</v>
      </c>
      <c r="H256">
        <v>0</v>
      </c>
      <c r="I256">
        <v>0</v>
      </c>
    </row>
    <row r="257" spans="1:9" x14ac:dyDescent="0.25">
      <c r="A257">
        <v>426706</v>
      </c>
      <c r="B257">
        <v>5690</v>
      </c>
      <c r="C257" t="str">
        <v>https://motorring.ru/product/26476-ghgut-provodov-paneli-priborov-2115-3724030-60-vaz</v>
      </c>
      <c r="D257">
        <v>4755</v>
      </c>
      <c r="E257" t="str">
        <v>https://www.ozon.ru/product/zhgut-provodov-paneli-priborov-2114-vaz-2115-3724030-60-1435125678/</v>
      </c>
      <c r="F257">
        <v>0</v>
      </c>
      <c r="G257">
        <v>0</v>
      </c>
      <c r="H257">
        <v>0</v>
      </c>
      <c r="I257">
        <v>0</v>
      </c>
    </row>
    <row r="258" spans="1:9" x14ac:dyDescent="0.25">
      <c r="A258">
        <v>426712</v>
      </c>
      <c r="B258">
        <v>5690</v>
      </c>
      <c r="C258" t="str">
        <v>https://motorring.ru/product/26478-ghgut-provodov-paneli-priborov-2115-3724030-70-vaz</v>
      </c>
      <c r="D258">
        <v>5485</v>
      </c>
      <c r="E258" t="str">
        <v>https://www.ozon.ru/product/zhgut-provodov-paneli-priborov-2114-vaz-2115-3724030-70-1435126652/</v>
      </c>
      <c r="F258">
        <v>0</v>
      </c>
      <c r="G258">
        <v>0</v>
      </c>
      <c r="H258">
        <v>0</v>
      </c>
      <c r="I258">
        <v>0</v>
      </c>
    </row>
    <row r="259" spans="1:9" x14ac:dyDescent="0.25">
      <c r="A259">
        <v>426713</v>
      </c>
      <c r="B259">
        <v>5690</v>
      </c>
      <c r="C259" t="str">
        <v>https://motorring.ru/product/26477-ghgut-provodov-paneli-priborov-2115-3724030-80-vaz</v>
      </c>
      <c r="D259">
        <v>5016</v>
      </c>
      <c r="E259" t="str">
        <v>https://www.ozon.ru/product/zhgut-provodov-paneli-priborov-2114-vaz-2115-3724030-80-1435127403/</v>
      </c>
      <c r="F259">
        <v>0</v>
      </c>
      <c r="G259">
        <v>0</v>
      </c>
      <c r="H259">
        <v>0</v>
      </c>
      <c r="I259">
        <v>0</v>
      </c>
    </row>
    <row r="260" spans="1:9" x14ac:dyDescent="0.25">
      <c r="A260">
        <v>426618</v>
      </c>
      <c r="B260">
        <v>6390</v>
      </c>
      <c r="C260" t="str">
        <v>https://motorring.ru/product/13949-ghgut-provodov-paneli-priborov-21110-3724030-03-dlya-vaz</v>
      </c>
      <c r="D260">
        <v>5698</v>
      </c>
      <c r="E260" t="str">
        <v>https://www.ozon.ru/product/zhgut-provodov-paneli-priborov-v-1600-vaz-2111-03-1426600375/</v>
      </c>
      <c r="F260">
        <v>0</v>
      </c>
      <c r="G260">
        <v>0</v>
      </c>
      <c r="H260">
        <v>0</v>
      </c>
      <c r="I260">
        <v>0</v>
      </c>
    </row>
    <row r="261" spans="1:9" x14ac:dyDescent="0.25">
      <c r="A261">
        <v>426656</v>
      </c>
      <c r="B261">
        <v>5690</v>
      </c>
      <c r="C261" t="str">
        <v>https://motorring.ru/product/26475-ghgut-provodov-paneli-priborov-21154-3724030-00-dlya-vaz</v>
      </c>
      <c r="D261">
        <v>5677</v>
      </c>
      <c r="E261" t="str">
        <v>https://www.ozon.ru/product/zhgut-provodov-paneli-priborov-2114-2115-s-elektronnoy-pedalyu-gaza-vaz-21154-3724030-00-1435122604/</v>
      </c>
      <c r="F261">
        <v>0</v>
      </c>
      <c r="G261">
        <v>0</v>
      </c>
      <c r="H261">
        <v>0</v>
      </c>
      <c r="I261">
        <v>0</v>
      </c>
    </row>
    <row r="262" spans="1:9" x14ac:dyDescent="0.25">
      <c r="A262">
        <v>426986</v>
      </c>
      <c r="B262">
        <v>20590</v>
      </c>
      <c r="C262" t="str">
        <v>https://motorring.ru/product/26501-ghgut-provodov-peredniy-8450030782-sbore-harn-fr-lada-vesta</v>
      </c>
      <c r="D262">
        <v>21712</v>
      </c>
      <c r="E262" t="str">
        <v>https://www.ozon.ru/product/zhgut-provodov-peredniy-v-sbore-harn-fr-lh-lada-vesta-8450008432-1467983738/</v>
      </c>
      <c r="F262">
        <v>0</v>
      </c>
      <c r="G262">
        <v>0</v>
      </c>
      <c r="H262">
        <v>0</v>
      </c>
      <c r="I262">
        <v>0</v>
      </c>
    </row>
    <row r="263" spans="1:9" x14ac:dyDescent="0.25">
      <c r="A263">
        <v>426988</v>
      </c>
      <c r="B263">
        <v>20590</v>
      </c>
      <c r="C263" t="str">
        <v>https://motorring.ru/product/26501-ghgut-provodov-peredniy-8450030782-sbore-harn-fr-lada-vesta</v>
      </c>
      <c r="D263">
        <v>21712</v>
      </c>
      <c r="E263" t="str">
        <v>https://www.ozon.ru/product/zhgut-provodov-peredniy-v-sbore-lada-vesta-8450030782-1467986134/</v>
      </c>
      <c r="F263">
        <v>0</v>
      </c>
      <c r="G263">
        <v>0</v>
      </c>
      <c r="H263">
        <v>0</v>
      </c>
      <c r="I263">
        <v>0</v>
      </c>
    </row>
    <row r="264" spans="1:9" x14ac:dyDescent="0.25">
      <c r="A264">
        <v>426424</v>
      </c>
      <c r="B264" t="str">
        <v>не нашел</v>
      </c>
      <c r="C264">
        <v>0</v>
      </c>
      <c r="D264">
        <v>6948</v>
      </c>
      <c r="E264" t="str">
        <v>https://www.ozon.ru/product/zhgut-provodov-pod-kapot-v-sbore-iz-4-h-chastey-vaz-2108-2109-2199-karbyurator-1426535575/</v>
      </c>
      <c r="F264">
        <v>0</v>
      </c>
      <c r="G264">
        <v>0</v>
      </c>
      <c r="H264">
        <v>0</v>
      </c>
      <c r="I264">
        <v>0</v>
      </c>
    </row>
    <row r="265" spans="1:9" x14ac:dyDescent="0.25">
      <c r="A265">
        <v>426766</v>
      </c>
      <c r="B265">
        <v>2890</v>
      </c>
      <c r="C265" t="str">
        <v>https://motorring.ru/product/35893-ghgut-provodov-dveri-passazhira-2123-3724550-chevrole-niva</v>
      </c>
      <c r="D265">
        <v>2605</v>
      </c>
      <c r="E265" t="str">
        <v>https://www.ozon.ru/product/zhgut-provodov-pravoy-dveri-shevrole-niva-vaz-2123-3724550-1465421450/</v>
      </c>
      <c r="F265">
        <v>0</v>
      </c>
      <c r="G265">
        <v>0</v>
      </c>
      <c r="H265">
        <v>0</v>
      </c>
      <c r="I265">
        <v>0</v>
      </c>
    </row>
    <row r="266" spans="1:9" x14ac:dyDescent="0.25">
      <c r="A266">
        <v>426729</v>
      </c>
      <c r="B266" t="str">
        <v>не нашел</v>
      </c>
      <c r="C266">
        <v>0</v>
      </c>
      <c r="D266">
        <v>14656</v>
      </c>
      <c r="E266" t="str">
        <v>https://www.ozon.ru/product/zhgut-provodov-sistemy-zazhiganiya-kalina-vaz-11184-3724026-45-1449865435/</v>
      </c>
      <c r="F266">
        <v>0</v>
      </c>
      <c r="G266">
        <v>0</v>
      </c>
      <c r="H266">
        <v>0</v>
      </c>
      <c r="I266">
        <v>0</v>
      </c>
    </row>
    <row r="267" spans="1:9" x14ac:dyDescent="0.25">
      <c r="A267">
        <v>426867</v>
      </c>
      <c r="B267">
        <v>20590</v>
      </c>
      <c r="C267" t="str">
        <v>https://motorring.ru/product/36907-ghgut-provodov-sistemy-zaghiganiya-2123-3724026-61</v>
      </c>
      <c r="D267">
        <v>15850</v>
      </c>
      <c r="E267" t="str">
        <v>https://www.ozon.ru/product/zhgut-provodov-sistemy-zazhiganiya-shevrole-niva-vaz-2123-3724026-61-1465422630/</v>
      </c>
      <c r="F267">
        <v>0</v>
      </c>
      <c r="G267">
        <v>0</v>
      </c>
      <c r="H267">
        <v>0</v>
      </c>
      <c r="I267">
        <v>0</v>
      </c>
    </row>
    <row r="268" spans="1:9" x14ac:dyDescent="0.25">
      <c r="A268">
        <v>426878</v>
      </c>
      <c r="B268">
        <v>20590</v>
      </c>
      <c r="C268" t="str">
        <v>https://motorring.ru/product/28160-ghgut-provodov-zaghiganiya-2123-3724026-81-shevrolet-niva</v>
      </c>
      <c r="D268">
        <v>16212</v>
      </c>
      <c r="E268" t="str">
        <v>https://www.ozon.ru/product/zhgut-provodov-sistemy-zazhiganiya-shevrole-niva-vaz-2123-3724026-81-1465423127/</v>
      </c>
      <c r="F268">
        <v>0</v>
      </c>
      <c r="G268">
        <v>0</v>
      </c>
      <c r="H268">
        <v>0</v>
      </c>
      <c r="I268">
        <v>0</v>
      </c>
    </row>
    <row r="269" spans="1:9" x14ac:dyDescent="0.25">
      <c r="A269">
        <v>426756</v>
      </c>
      <c r="B269">
        <v>16490</v>
      </c>
      <c r="C269" t="str">
        <v>https://motorring.ru/product/6924-ghgut-provodov-sistemy-zaghiganiya-starogo-obrazca</v>
      </c>
      <c r="D269">
        <v>12101</v>
      </c>
      <c r="E269" t="str">
        <v>https://www.ozon.ru/product/zhgut-provodov-sistemy-zazhiganiya-starogo-obraztsa-shevrole-niva-vaz-2123-3724026-20-1465409105/</v>
      </c>
      <c r="F269">
        <v>0</v>
      </c>
      <c r="G269">
        <v>0</v>
      </c>
      <c r="H269">
        <v>0</v>
      </c>
      <c r="I269">
        <v>0</v>
      </c>
    </row>
    <row r="270" spans="1:9" x14ac:dyDescent="0.25">
      <c r="A270">
        <v>426616</v>
      </c>
      <c r="B270">
        <v>10990</v>
      </c>
      <c r="C270" t="str">
        <v>https://motorring.ru/product/6767-ghgut-provodov-sistemy-zaghiganiya-21093-3724026-60-dlya</v>
      </c>
      <c r="D270">
        <v>10422</v>
      </c>
      <c r="E270" t="str">
        <v>https://www.ozon.ru/product/zhgut-provodov-sistemy-zazhiganiya-vaz-21093-1425972357/</v>
      </c>
      <c r="F270">
        <v>0</v>
      </c>
      <c r="G270">
        <v>0</v>
      </c>
      <c r="H270">
        <v>0</v>
      </c>
      <c r="I270">
        <v>0</v>
      </c>
    </row>
    <row r="271" spans="1:9" x14ac:dyDescent="0.25">
      <c r="A271">
        <v>426719</v>
      </c>
      <c r="B271">
        <v>4990</v>
      </c>
      <c r="C271" t="str">
        <v>https://motorring.ru/product/13967-farogeneratornyy-ghgut-provodov-21154-3724010-dlya</v>
      </c>
      <c r="D271">
        <v>5677</v>
      </c>
      <c r="E271" t="str">
        <v>https://www.ozon.ru/product/zhgut-provodov-farogeneratornyy-2114-vaz-2114-3724010-10-1449855598/</v>
      </c>
      <c r="F271">
        <v>0</v>
      </c>
      <c r="G271">
        <v>0</v>
      </c>
      <c r="H271">
        <v>0</v>
      </c>
      <c r="I271">
        <v>0</v>
      </c>
    </row>
    <row r="272" spans="1:9" x14ac:dyDescent="0.25">
      <c r="A272">
        <v>426723</v>
      </c>
      <c r="B272">
        <v>4990</v>
      </c>
      <c r="C272" t="str">
        <v>https://motorring.ru/product/36902-farogeneratornyy-ghgut-provodov-21154-3724010-vaz-2115</v>
      </c>
      <c r="D272">
        <v>5145</v>
      </c>
      <c r="E272" t="str">
        <v>https://www.ozon.ru/product/zhgut-provodov-far-i-generatora-2114-vaz-21154-3724010-1451817292/</v>
      </c>
      <c r="F272">
        <v>0</v>
      </c>
      <c r="G272">
        <v>0</v>
      </c>
      <c r="H272">
        <v>0</v>
      </c>
      <c r="I272">
        <v>0</v>
      </c>
    </row>
    <row r="273" spans="1:9" x14ac:dyDescent="0.25">
      <c r="A273">
        <v>426428</v>
      </c>
      <c r="B273">
        <v>2490</v>
      </c>
      <c r="C273" t="str">
        <v>https://motorring.ru/product/26467-ghgut-provodov-far-lente-2108-3724010-01-vaz-2108-21099</v>
      </c>
      <c r="D273">
        <v>2532</v>
      </c>
      <c r="E273" t="str">
        <v>https://www.ozon.ru/product/zhgut-provodov-far-na-lente-vaz-2108-1425045628/</v>
      </c>
      <c r="F273">
        <v>0</v>
      </c>
      <c r="G273">
        <v>0</v>
      </c>
      <c r="H273">
        <v>0</v>
      </c>
      <c r="I273">
        <v>0</v>
      </c>
    </row>
    <row r="274" spans="1:9" x14ac:dyDescent="0.25">
      <c r="A274">
        <v>426942</v>
      </c>
      <c r="B274">
        <v>12390</v>
      </c>
      <c r="C274" t="str">
        <v>https://motorring.ru/product/26494-ghgut-provodov-sistemy-zaghiganiya-21702-3724026-lada-priora</v>
      </c>
      <c r="D274">
        <v>10866</v>
      </c>
      <c r="E274" t="str">
        <v>https://www.ozon.ru/product/zhgut-provodov-sistemy-zazhiganiya-priora-vaz-21702-3724026-1462592758/</v>
      </c>
      <c r="F274">
        <v>0</v>
      </c>
      <c r="G274">
        <v>0</v>
      </c>
      <c r="H274">
        <v>0</v>
      </c>
      <c r="I274">
        <v>0</v>
      </c>
    </row>
    <row r="275" spans="1:9" x14ac:dyDescent="0.25">
      <c r="A275">
        <v>426426</v>
      </c>
      <c r="B275">
        <v>890</v>
      </c>
      <c r="C275" t="str">
        <v>https://motorring.ru/product/36899-ghgut-soedineniya-benzonasosa-ghgutom-ebu-21082-3724037</v>
      </c>
      <c r="D275">
        <v>506</v>
      </c>
      <c r="E275" t="str">
        <v>https://www.ozon.ru/product/zhgut-provodov-podklyucheniya-elektro-benzonasosa-vaz-lada-2108-2109-21099-2110-2111-2112-2113-2114-215837265/</v>
      </c>
      <c r="F275">
        <v>0</v>
      </c>
      <c r="G275">
        <v>0</v>
      </c>
      <c r="H275">
        <v>0</v>
      </c>
      <c r="I275">
        <v>0</v>
      </c>
    </row>
    <row r="276" spans="1:9" x14ac:dyDescent="0.25">
      <c r="A276">
        <v>426435</v>
      </c>
      <c r="B276">
        <v>549</v>
      </c>
      <c r="C276" t="str">
        <v>https://motorring.ru/product/26469-ghgut-steklopodyemnika-2108-3724226-knopki-dlya-vaz</v>
      </c>
      <c r="D276">
        <v>651</v>
      </c>
      <c r="E276" t="str">
        <v>https://www.ozon.ru/product/zhgut-steklopodemnika-universalnyy-na-2-knopki-vaz-2108-1425058067/</v>
      </c>
      <c r="F276">
        <v>0</v>
      </c>
      <c r="G276">
        <v>0</v>
      </c>
      <c r="H276">
        <v>0</v>
      </c>
      <c r="I276">
        <v>0</v>
      </c>
    </row>
    <row r="277" spans="1:9" x14ac:dyDescent="0.25">
      <c r="A277">
        <v>426735</v>
      </c>
      <c r="B277">
        <v>5690</v>
      </c>
      <c r="C277" t="str">
        <v>https://motorring.ru/product/12596-montaghnyy-nabor-dlya-podklyucheniya-lobovogo-stekla</v>
      </c>
      <c r="D277">
        <v>5769</v>
      </c>
      <c r="E277" t="str">
        <v>https://www.ozon.ru/product/zhgut-provodov-montazhnyy-nabor-dlya-podklyucheniya-lobovogo-stekla-s-podogrevom-kalina-vaz-1118-1449874555/</v>
      </c>
      <c r="F277">
        <v>0</v>
      </c>
      <c r="G277">
        <v>0</v>
      </c>
      <c r="H277">
        <v>0</v>
      </c>
      <c r="I277">
        <v>0</v>
      </c>
    </row>
    <row r="278" spans="1:9" x14ac:dyDescent="0.25">
      <c r="A278">
        <v>430022</v>
      </c>
      <c r="B278">
        <v>17890</v>
      </c>
      <c r="C278" t="str">
        <v>https://motorring.ru/product/6763-ghgut-provodov-sistemy-zaghiganiya-1118-3724026-30-dlya</v>
      </c>
      <c r="D278">
        <v>16485</v>
      </c>
      <c r="E278" t="str">
        <v>https://www.ozon.ru/product/zhgut-provodov-sistemy-zazhiganiya-kalina-vaz-11184-3724026-46-1449872561/</v>
      </c>
      <c r="F278">
        <v>0</v>
      </c>
      <c r="G278">
        <v>0</v>
      </c>
      <c r="H278">
        <v>0</v>
      </c>
      <c r="I278">
        <v>0</v>
      </c>
    </row>
    <row r="279" spans="1:9" x14ac:dyDescent="0.25">
      <c r="A279">
        <v>430040</v>
      </c>
      <c r="B279">
        <v>890</v>
      </c>
      <c r="C279" t="str">
        <v>https://motorring.ru/product/12597-ghgut-provodov-sistemy-zaghiganiya-kommutatornyy</v>
      </c>
      <c r="D279">
        <v>601</v>
      </c>
      <c r="E279" t="str">
        <v>https://www.ozon.ru/product/zhgut-provodov-sistemy-zazhiganiya-kommutatora-dlya-a-m-vaz-21213-niva-1564170748/</v>
      </c>
      <c r="F279">
        <v>0</v>
      </c>
      <c r="G279">
        <v>0</v>
      </c>
      <c r="H279">
        <v>0</v>
      </c>
      <c r="I279">
        <v>0</v>
      </c>
    </row>
    <row r="280" spans="1:9" x14ac:dyDescent="0.25">
      <c r="A280">
        <v>202555</v>
      </c>
      <c r="B280">
        <v>229</v>
      </c>
      <c r="C280" t="str">
        <v>https://motorring.ru/product/26538-kolodka-datchiku-temperatury</v>
      </c>
      <c r="D280">
        <v>312</v>
      </c>
      <c r="E280" t="str">
        <v>https://www.ozon.ru/product/razem-datchika-temperatury-okruzhayushchego-vozduha-nord-yada-2115-904853-1567623696/</v>
      </c>
      <c r="F280">
        <v>0</v>
      </c>
      <c r="G280">
        <v>0</v>
      </c>
      <c r="H280">
        <v>0</v>
      </c>
      <c r="I280">
        <v>0</v>
      </c>
    </row>
    <row r="281" spans="1:9" x14ac:dyDescent="0.25">
      <c r="A281">
        <v>455438</v>
      </c>
      <c r="B281">
        <v>0</v>
      </c>
      <c r="C281">
        <v>0</v>
      </c>
      <c r="D281">
        <v>66228</v>
      </c>
      <c r="E281" t="str">
        <v>https://www.ozon.ru/product/lada-zhgut-provodov-dlina-0-275-m-1434123810/</v>
      </c>
      <c r="F281">
        <v>0</v>
      </c>
      <c r="G281">
        <v>0</v>
      </c>
      <c r="H281">
        <v>0</v>
      </c>
      <c r="I281">
        <v>0</v>
      </c>
    </row>
    <row r="282" spans="1:9" x14ac:dyDescent="0.25">
      <c r="A282">
        <v>455439</v>
      </c>
      <c r="B282">
        <v>0</v>
      </c>
      <c r="C282">
        <v>0</v>
      </c>
      <c r="D282">
        <v>27733</v>
      </c>
      <c r="E282" t="str">
        <v>https://www.ozon.ru/product/lada-zhgut-provodov-dlina-0-275-m-1435047271/</v>
      </c>
      <c r="F282">
        <v>0</v>
      </c>
      <c r="G282">
        <v>0</v>
      </c>
      <c r="H282">
        <v>0</v>
      </c>
      <c r="I282">
        <v>0</v>
      </c>
    </row>
    <row r="283" spans="1:9" x14ac:dyDescent="0.25">
      <c r="A283">
        <v>455440</v>
      </c>
      <c r="B283">
        <v>0</v>
      </c>
      <c r="C283">
        <v>0</v>
      </c>
      <c r="D283">
        <v>16629</v>
      </c>
      <c r="E283" t="str">
        <v>https://www.ozon.ru/product/lada-zhgut-provodov-dlina-0-490-m-1435047851/</v>
      </c>
      <c r="F283">
        <v>0</v>
      </c>
      <c r="G283">
        <v>0</v>
      </c>
      <c r="H283">
        <v>0</v>
      </c>
      <c r="I283">
        <v>0</v>
      </c>
    </row>
    <row r="284" spans="1:9" x14ac:dyDescent="0.25">
      <c r="A284">
        <v>455443</v>
      </c>
      <c r="B284">
        <v>0</v>
      </c>
      <c r="C284">
        <v>0</v>
      </c>
      <c r="D284">
        <v>43786</v>
      </c>
      <c r="E284" t="str">
        <v>https://www.ozon.ru/product/lada-zhgut-provodov-dlina-0-680-m-1435054161/</v>
      </c>
      <c r="F284">
        <v>0</v>
      </c>
      <c r="G284">
        <v>0</v>
      </c>
      <c r="H284">
        <v>0</v>
      </c>
      <c r="I284">
        <v>0</v>
      </c>
    </row>
    <row r="285" spans="1:9" x14ac:dyDescent="0.25">
      <c r="A285">
        <v>455444</v>
      </c>
      <c r="B285">
        <v>0</v>
      </c>
      <c r="C285">
        <v>0</v>
      </c>
      <c r="D285">
        <v>29882</v>
      </c>
      <c r="E285" t="str">
        <v>https://www.ozon.ru/product/lada-zhgut-provodov-dlina-0-490-m-1435077707/</v>
      </c>
      <c r="F285">
        <v>0</v>
      </c>
      <c r="G285">
        <v>0</v>
      </c>
      <c r="H285">
        <v>0</v>
      </c>
      <c r="I285">
        <v>0</v>
      </c>
    </row>
    <row r="286" spans="1:9" x14ac:dyDescent="0.25">
      <c r="A286">
        <v>455446</v>
      </c>
      <c r="B286">
        <v>0</v>
      </c>
      <c r="C286">
        <v>0</v>
      </c>
      <c r="D286">
        <v>46683</v>
      </c>
      <c r="E286" t="str">
        <v>https://www.ozon.ru/product/lada-zhgut-provodov-dlina-0-370-m-1435086588/</v>
      </c>
      <c r="F286">
        <v>0</v>
      </c>
      <c r="G286">
        <v>0</v>
      </c>
      <c r="H286">
        <v>0</v>
      </c>
      <c r="I286">
        <v>0</v>
      </c>
    </row>
    <row r="287" spans="1:9" x14ac:dyDescent="0.25">
      <c r="A287">
        <v>426757</v>
      </c>
      <c r="B287">
        <v>7190</v>
      </c>
      <c r="C287" t="str">
        <v>https://motorring.ru/product/19483-montaghnyy-nabor-podklyucheniya-lobovogo-stekla-2123</v>
      </c>
      <c r="D287">
        <v>5096</v>
      </c>
      <c r="E287" t="str">
        <v>https://www.ozon.ru/product/montazhnyy-nabor-podklyucheniya-obogreva-lobovogo-stekla-shevrole-niva-travel-1137881967/</v>
      </c>
      <c r="F287">
        <v>0</v>
      </c>
      <c r="G287">
        <v>0</v>
      </c>
      <c r="H287">
        <v>0</v>
      </c>
      <c r="I287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09D20-8375-4746-8396-B0732664C7D2}">
  <sheetPr codeName="Лист6">
    <tabColor rgb="FF92D050"/>
  </sheetPr>
  <dimension ref="A1:AB1000"/>
  <sheetViews>
    <sheetView workbookViewId="0">
      <selection activeCell="J31" sqref="J30:J31"/>
    </sheetView>
  </sheetViews>
  <sheetFormatPr defaultRowHeight="15" x14ac:dyDescent="0.25"/>
  <cols>
    <col min="1" max="1" width="16.42578125" bestFit="1" customWidth="1"/>
    <col min="2" max="3" width="11.140625" bestFit="1" customWidth="1"/>
    <col min="4" max="4" width="81.140625" bestFit="1" customWidth="1"/>
    <col min="5" max="6" width="11.140625" bestFit="1" customWidth="1"/>
    <col min="7" max="7" width="11.140625" style="38" bestFit="1" customWidth="1"/>
    <col min="8" max="9" width="11.140625" bestFit="1" customWidth="1"/>
    <col min="10" max="18" width="12.140625" bestFit="1" customWidth="1"/>
    <col min="19" max="27" width="12.140625" style="8" customWidth="1"/>
    <col min="28" max="29" width="12.140625" bestFit="1" customWidth="1"/>
  </cols>
  <sheetData>
    <row r="1" spans="1:27" x14ac:dyDescent="0.25">
      <c r="A1" t="s">
        <v>817</v>
      </c>
      <c r="B1" t="s">
        <v>818</v>
      </c>
      <c r="C1" t="s">
        <v>819</v>
      </c>
      <c r="D1" t="s">
        <v>820</v>
      </c>
      <c r="E1" t="s">
        <v>1205</v>
      </c>
      <c r="F1" t="s">
        <v>1206</v>
      </c>
      <c r="G1" s="38" t="s">
        <v>821</v>
      </c>
      <c r="H1" t="s">
        <v>822</v>
      </c>
      <c r="I1" t="s">
        <v>823</v>
      </c>
      <c r="J1" t="s">
        <v>824</v>
      </c>
      <c r="K1" t="s">
        <v>825</v>
      </c>
      <c r="L1" t="s">
        <v>826</v>
      </c>
      <c r="M1" t="s">
        <v>827</v>
      </c>
      <c r="N1" t="s">
        <v>828</v>
      </c>
      <c r="O1" t="s">
        <v>829</v>
      </c>
      <c r="P1" t="s">
        <v>830</v>
      </c>
      <c r="Q1" t="s">
        <v>831</v>
      </c>
      <c r="R1" t="s">
        <v>832</v>
      </c>
      <c r="S1" t="s">
        <v>833</v>
      </c>
      <c r="T1" t="s">
        <v>876</v>
      </c>
      <c r="U1" t="s">
        <v>1207</v>
      </c>
      <c r="V1" t="s">
        <v>1208</v>
      </c>
      <c r="W1" t="s">
        <v>1209</v>
      </c>
      <c r="X1" t="s">
        <v>1210</v>
      </c>
      <c r="Y1" t="s">
        <v>1211</v>
      </c>
      <c r="Z1" t="s">
        <v>1212</v>
      </c>
      <c r="AA1" t="s">
        <v>1213</v>
      </c>
    </row>
    <row r="2" spans="1:27" x14ac:dyDescent="0.25">
      <c r="A2" s="38" t="s">
        <v>1199</v>
      </c>
      <c r="B2" s="8" t="s">
        <v>1200</v>
      </c>
      <c r="C2" s="8"/>
      <c r="D2" s="38" t="s">
        <v>834</v>
      </c>
      <c r="H2" s="8"/>
      <c r="I2" s="8"/>
      <c r="J2" s="8"/>
      <c r="K2" s="8"/>
      <c r="L2" s="8"/>
      <c r="M2" s="8"/>
      <c r="N2" s="8"/>
      <c r="O2" s="8"/>
      <c r="P2" s="8"/>
      <c r="Q2" s="8"/>
      <c r="R2" s="8"/>
      <c r="U2"/>
      <c r="V2"/>
      <c r="W2"/>
      <c r="X2"/>
      <c r="Y2"/>
      <c r="Z2"/>
      <c r="AA2"/>
    </row>
    <row r="3" spans="1:27" x14ac:dyDescent="0.25">
      <c r="A3" s="38"/>
      <c r="B3" s="8" t="s">
        <v>0</v>
      </c>
      <c r="C3" s="8"/>
      <c r="D3" s="38" t="s">
        <v>772</v>
      </c>
      <c r="G3" s="38" t="s">
        <v>772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U3"/>
      <c r="V3"/>
      <c r="W3"/>
      <c r="X3"/>
      <c r="Y3"/>
      <c r="Z3"/>
      <c r="AA3"/>
    </row>
    <row r="4" spans="1:27" x14ac:dyDescent="0.25">
      <c r="A4" s="38" t="s">
        <v>526</v>
      </c>
      <c r="B4" s="8">
        <v>158955</v>
      </c>
      <c r="C4" s="8"/>
      <c r="D4" s="38"/>
      <c r="G4" s="38" t="s">
        <v>1214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U4"/>
      <c r="V4"/>
      <c r="W4"/>
      <c r="X4"/>
      <c r="Y4"/>
      <c r="Z4"/>
      <c r="AA4"/>
    </row>
    <row r="5" spans="1:27" x14ac:dyDescent="0.25">
      <c r="A5" s="38" t="s">
        <v>526</v>
      </c>
      <c r="B5" s="8">
        <v>201254</v>
      </c>
      <c r="C5" s="8">
        <v>229</v>
      </c>
      <c r="D5" s="38" t="s">
        <v>774</v>
      </c>
      <c r="G5" s="38">
        <v>229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U5"/>
      <c r="V5"/>
      <c r="W5"/>
      <c r="X5"/>
      <c r="Y5"/>
      <c r="Z5"/>
      <c r="AA5"/>
    </row>
    <row r="6" spans="1:27" x14ac:dyDescent="0.25">
      <c r="A6" s="38" t="s">
        <v>526</v>
      </c>
      <c r="B6" s="8">
        <v>222997</v>
      </c>
      <c r="C6" s="8">
        <v>229</v>
      </c>
      <c r="D6" s="38" t="s">
        <v>1146</v>
      </c>
      <c r="G6" s="38">
        <v>229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U6"/>
      <c r="V6"/>
      <c r="W6"/>
      <c r="X6"/>
      <c r="Y6"/>
      <c r="Z6"/>
      <c r="AA6"/>
    </row>
    <row r="7" spans="1:27" x14ac:dyDescent="0.25">
      <c r="A7" s="38" t="s">
        <v>526</v>
      </c>
      <c r="B7" s="8">
        <v>202568</v>
      </c>
      <c r="C7" s="8">
        <v>390</v>
      </c>
      <c r="D7" s="38" t="s">
        <v>812</v>
      </c>
      <c r="G7" s="38">
        <v>390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U7"/>
      <c r="V7"/>
      <c r="W7"/>
      <c r="X7"/>
      <c r="Y7"/>
      <c r="Z7"/>
      <c r="AA7"/>
    </row>
    <row r="8" spans="1:27" x14ac:dyDescent="0.25">
      <c r="A8" s="38" t="s">
        <v>526</v>
      </c>
      <c r="B8" s="8">
        <v>144947</v>
      </c>
      <c r="C8" s="8">
        <v>369</v>
      </c>
      <c r="D8" s="38" t="s">
        <v>913</v>
      </c>
      <c r="G8" s="38">
        <v>369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U8"/>
      <c r="V8"/>
      <c r="W8"/>
      <c r="X8"/>
      <c r="Y8"/>
      <c r="Z8"/>
      <c r="AA8"/>
    </row>
    <row r="9" spans="1:27" x14ac:dyDescent="0.25">
      <c r="A9" s="38" t="s">
        <v>526</v>
      </c>
      <c r="B9" s="8">
        <v>144866</v>
      </c>
      <c r="C9" s="8">
        <v>449</v>
      </c>
      <c r="D9" s="38" t="s">
        <v>912</v>
      </c>
      <c r="G9" s="38">
        <v>549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U9"/>
      <c r="V9"/>
      <c r="W9"/>
      <c r="X9"/>
      <c r="Y9"/>
      <c r="Z9"/>
      <c r="AA9"/>
    </row>
    <row r="10" spans="1:27" x14ac:dyDescent="0.25">
      <c r="A10" s="38" t="s">
        <v>526</v>
      </c>
      <c r="B10" s="8">
        <v>201255</v>
      </c>
      <c r="C10" s="8">
        <v>590</v>
      </c>
      <c r="D10" s="38" t="s">
        <v>1145</v>
      </c>
      <c r="G10" s="38">
        <v>590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U10"/>
      <c r="V10"/>
      <c r="W10"/>
      <c r="X10"/>
      <c r="Y10"/>
      <c r="Z10"/>
      <c r="AA10"/>
    </row>
    <row r="11" spans="1:27" x14ac:dyDescent="0.25">
      <c r="A11" s="38" t="s">
        <v>526</v>
      </c>
      <c r="B11" s="8">
        <v>144867</v>
      </c>
      <c r="C11" s="8">
        <v>629</v>
      </c>
      <c r="D11" s="38" t="s">
        <v>1144</v>
      </c>
      <c r="G11" s="38">
        <v>629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U11"/>
      <c r="V11"/>
      <c r="W11"/>
      <c r="X11"/>
      <c r="Y11"/>
      <c r="Z11"/>
      <c r="AA11"/>
    </row>
    <row r="12" spans="1:27" x14ac:dyDescent="0.25">
      <c r="A12" s="38" t="s">
        <v>526</v>
      </c>
      <c r="B12" s="8">
        <v>201253</v>
      </c>
      <c r="C12" s="8"/>
      <c r="D12" s="38"/>
      <c r="G12" s="38" t="s">
        <v>1214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U12"/>
      <c r="V12"/>
      <c r="W12"/>
      <c r="X12"/>
      <c r="Y12"/>
      <c r="Z12"/>
      <c r="AA12"/>
    </row>
    <row r="13" spans="1:27" x14ac:dyDescent="0.25">
      <c r="A13" s="38" t="s">
        <v>526</v>
      </c>
      <c r="B13" s="8">
        <v>202549</v>
      </c>
      <c r="C13" s="8">
        <v>590</v>
      </c>
      <c r="D13" s="38" t="s">
        <v>1143</v>
      </c>
      <c r="G13" s="38">
        <v>590</v>
      </c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U13"/>
      <c r="V13"/>
      <c r="W13"/>
      <c r="X13"/>
      <c r="Y13"/>
      <c r="Z13"/>
      <c r="AA13"/>
    </row>
    <row r="14" spans="1:27" x14ac:dyDescent="0.25">
      <c r="A14" s="38" t="s">
        <v>526</v>
      </c>
      <c r="B14" s="8">
        <v>145004</v>
      </c>
      <c r="C14" s="8">
        <v>690</v>
      </c>
      <c r="D14" s="38" t="s">
        <v>1142</v>
      </c>
      <c r="G14" s="38">
        <v>690</v>
      </c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U14"/>
      <c r="V14"/>
      <c r="W14"/>
      <c r="X14"/>
      <c r="Y14"/>
      <c r="Z14"/>
      <c r="AA14"/>
    </row>
    <row r="15" spans="1:27" x14ac:dyDescent="0.25">
      <c r="A15" s="38" t="s">
        <v>526</v>
      </c>
      <c r="B15" s="8">
        <v>144948</v>
      </c>
      <c r="C15" s="8"/>
      <c r="D15" s="38" t="s">
        <v>1140</v>
      </c>
      <c r="G15" s="38">
        <v>1290</v>
      </c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U15"/>
      <c r="V15"/>
      <c r="W15"/>
      <c r="X15"/>
      <c r="Y15"/>
      <c r="Z15"/>
      <c r="AA15"/>
    </row>
    <row r="16" spans="1:27" x14ac:dyDescent="0.25">
      <c r="A16" s="38" t="s">
        <v>526</v>
      </c>
      <c r="B16" s="8">
        <v>145005</v>
      </c>
      <c r="C16" s="8">
        <v>690</v>
      </c>
      <c r="D16" s="38" t="s">
        <v>1139</v>
      </c>
      <c r="G16" s="38">
        <v>690</v>
      </c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U16"/>
      <c r="V16"/>
      <c r="W16"/>
      <c r="X16"/>
      <c r="Y16"/>
      <c r="Z16"/>
      <c r="AA16"/>
    </row>
    <row r="17" spans="1:27" x14ac:dyDescent="0.25">
      <c r="A17" s="38" t="s">
        <v>526</v>
      </c>
      <c r="B17" s="8">
        <v>145006</v>
      </c>
      <c r="C17" s="8"/>
      <c r="D17" s="38"/>
      <c r="G17" s="38" t="s">
        <v>1214</v>
      </c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U17"/>
      <c r="V17"/>
      <c r="W17"/>
      <c r="X17"/>
      <c r="Y17"/>
      <c r="Z17"/>
      <c r="AA17"/>
    </row>
    <row r="18" spans="1:27" x14ac:dyDescent="0.25">
      <c r="A18" s="38" t="s">
        <v>526</v>
      </c>
      <c r="B18" s="8">
        <v>145007</v>
      </c>
      <c r="C18" s="8">
        <v>690</v>
      </c>
      <c r="D18" s="38" t="s">
        <v>1138</v>
      </c>
      <c r="G18" s="38">
        <v>690</v>
      </c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U18"/>
      <c r="V18"/>
      <c r="W18"/>
      <c r="X18"/>
      <c r="Y18"/>
      <c r="Z18"/>
      <c r="AA18"/>
    </row>
    <row r="19" spans="1:27" x14ac:dyDescent="0.25">
      <c r="A19" s="38" t="s">
        <v>526</v>
      </c>
      <c r="B19" s="8">
        <v>145008</v>
      </c>
      <c r="C19" s="8">
        <v>690</v>
      </c>
      <c r="D19" s="38" t="s">
        <v>1137</v>
      </c>
      <c r="G19" s="38">
        <v>690</v>
      </c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U19"/>
      <c r="V19"/>
      <c r="W19"/>
      <c r="X19"/>
      <c r="Y19"/>
      <c r="Z19"/>
      <c r="AA19"/>
    </row>
    <row r="20" spans="1:27" x14ac:dyDescent="0.25">
      <c r="A20" s="38" t="s">
        <v>526</v>
      </c>
      <c r="B20" s="8">
        <v>163978</v>
      </c>
      <c r="C20" s="8"/>
      <c r="D20" s="38"/>
      <c r="G20" s="38" t="s">
        <v>1214</v>
      </c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U20"/>
      <c r="V20"/>
      <c r="W20"/>
      <c r="X20"/>
      <c r="Y20"/>
      <c r="Z20"/>
      <c r="AA20"/>
    </row>
    <row r="21" spans="1:27" x14ac:dyDescent="0.25">
      <c r="A21" s="38" t="s">
        <v>526</v>
      </c>
      <c r="B21" s="8">
        <v>144828</v>
      </c>
      <c r="C21" s="8">
        <v>690</v>
      </c>
      <c r="D21" s="38" t="s">
        <v>1136</v>
      </c>
      <c r="G21" s="38">
        <v>690</v>
      </c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U21"/>
      <c r="V21"/>
      <c r="W21"/>
      <c r="X21"/>
      <c r="Y21"/>
      <c r="Z21"/>
      <c r="AA21"/>
    </row>
    <row r="22" spans="1:27" x14ac:dyDescent="0.25">
      <c r="A22" s="38" t="s">
        <v>526</v>
      </c>
      <c r="B22" s="8">
        <v>155900</v>
      </c>
      <c r="C22" s="8">
        <v>790</v>
      </c>
      <c r="D22" s="38" t="s">
        <v>1135</v>
      </c>
      <c r="G22" s="38">
        <v>890</v>
      </c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U22"/>
      <c r="V22"/>
      <c r="W22"/>
      <c r="X22"/>
      <c r="Y22"/>
      <c r="Z22"/>
      <c r="AA22"/>
    </row>
    <row r="23" spans="1:27" x14ac:dyDescent="0.25">
      <c r="A23" s="38" t="s">
        <v>526</v>
      </c>
      <c r="B23" s="8">
        <v>144837</v>
      </c>
      <c r="C23" s="8">
        <v>690</v>
      </c>
      <c r="D23" s="38" t="s">
        <v>1134</v>
      </c>
      <c r="G23" s="38">
        <v>690</v>
      </c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U23"/>
      <c r="V23"/>
      <c r="W23"/>
      <c r="X23"/>
      <c r="Y23"/>
      <c r="Z23"/>
      <c r="AA23"/>
    </row>
    <row r="24" spans="1:27" x14ac:dyDescent="0.25">
      <c r="A24" s="38" t="s">
        <v>526</v>
      </c>
      <c r="B24" s="8">
        <v>202564</v>
      </c>
      <c r="C24" s="8">
        <v>790</v>
      </c>
      <c r="D24" s="38" t="s">
        <v>1133</v>
      </c>
      <c r="G24" s="38">
        <v>790</v>
      </c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U24"/>
      <c r="V24"/>
      <c r="W24"/>
      <c r="X24"/>
      <c r="Y24"/>
      <c r="Z24"/>
      <c r="AA24"/>
    </row>
    <row r="25" spans="1:27" x14ac:dyDescent="0.25">
      <c r="A25" s="38" t="s">
        <v>526</v>
      </c>
      <c r="B25" s="8">
        <v>144976</v>
      </c>
      <c r="C25" s="8">
        <v>890</v>
      </c>
      <c r="D25" s="38" t="s">
        <v>775</v>
      </c>
      <c r="G25" s="38">
        <v>890</v>
      </c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U25"/>
      <c r="V25"/>
      <c r="W25"/>
      <c r="X25"/>
      <c r="Y25"/>
      <c r="Z25"/>
      <c r="AA25"/>
    </row>
    <row r="26" spans="1:27" x14ac:dyDescent="0.25">
      <c r="A26" s="38" t="s">
        <v>526</v>
      </c>
      <c r="B26" s="8">
        <v>160436</v>
      </c>
      <c r="C26" s="8">
        <v>890</v>
      </c>
      <c r="D26" s="38" t="s">
        <v>776</v>
      </c>
      <c r="G26" s="38">
        <v>990</v>
      </c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U26"/>
      <c r="V26"/>
      <c r="W26"/>
      <c r="X26"/>
      <c r="Y26"/>
      <c r="Z26"/>
      <c r="AA26"/>
    </row>
    <row r="27" spans="1:27" x14ac:dyDescent="0.25">
      <c r="A27" s="38" t="s">
        <v>526</v>
      </c>
      <c r="B27" s="8">
        <v>144977</v>
      </c>
      <c r="C27" s="8">
        <v>890</v>
      </c>
      <c r="D27" s="38" t="s">
        <v>1132</v>
      </c>
      <c r="G27" s="38">
        <v>890</v>
      </c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U27"/>
      <c r="V27"/>
      <c r="W27"/>
      <c r="X27"/>
      <c r="Y27"/>
      <c r="Z27"/>
      <c r="AA27"/>
    </row>
    <row r="28" spans="1:27" x14ac:dyDescent="0.25">
      <c r="A28" s="38" t="s">
        <v>526</v>
      </c>
      <c r="B28" s="8">
        <v>163979</v>
      </c>
      <c r="C28" s="8">
        <v>790</v>
      </c>
      <c r="D28" s="38" t="s">
        <v>1131</v>
      </c>
      <c r="G28" s="38">
        <v>790</v>
      </c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U28"/>
      <c r="V28"/>
      <c r="W28"/>
      <c r="X28"/>
      <c r="Y28"/>
      <c r="Z28"/>
      <c r="AA28"/>
    </row>
    <row r="29" spans="1:27" x14ac:dyDescent="0.25">
      <c r="A29" s="38" t="s">
        <v>526</v>
      </c>
      <c r="B29" s="8">
        <v>144979</v>
      </c>
      <c r="C29" s="8">
        <v>1090</v>
      </c>
      <c r="D29" s="38" t="s">
        <v>1130</v>
      </c>
      <c r="G29" s="38">
        <v>1090</v>
      </c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U29"/>
      <c r="V29"/>
      <c r="W29"/>
      <c r="X29"/>
      <c r="Y29"/>
      <c r="Z29"/>
      <c r="AA29"/>
    </row>
    <row r="30" spans="1:27" x14ac:dyDescent="0.25">
      <c r="A30" s="38" t="s">
        <v>526</v>
      </c>
      <c r="B30" s="8">
        <v>144959</v>
      </c>
      <c r="C30" s="8">
        <v>790</v>
      </c>
      <c r="D30" s="38" t="s">
        <v>777</v>
      </c>
      <c r="G30" s="38">
        <v>890</v>
      </c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U30"/>
      <c r="V30"/>
      <c r="W30"/>
      <c r="X30"/>
      <c r="Y30"/>
      <c r="Z30"/>
      <c r="AA30"/>
    </row>
    <row r="31" spans="1:27" x14ac:dyDescent="0.25">
      <c r="A31" s="38" t="s">
        <v>526</v>
      </c>
      <c r="B31" s="8">
        <v>144864</v>
      </c>
      <c r="C31" s="8">
        <v>890</v>
      </c>
      <c r="D31" s="38" t="s">
        <v>1129</v>
      </c>
      <c r="G31" s="38">
        <v>890</v>
      </c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U31"/>
      <c r="V31"/>
      <c r="W31"/>
      <c r="X31"/>
      <c r="Y31"/>
      <c r="Z31"/>
      <c r="AA31"/>
    </row>
    <row r="32" spans="1:27" x14ac:dyDescent="0.25">
      <c r="A32" s="38" t="s">
        <v>526</v>
      </c>
      <c r="B32" s="8">
        <v>144826</v>
      </c>
      <c r="C32" s="8">
        <v>790</v>
      </c>
      <c r="D32" s="38" t="s">
        <v>778</v>
      </c>
      <c r="G32" s="38">
        <v>890</v>
      </c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U32"/>
      <c r="V32"/>
      <c r="W32"/>
      <c r="X32"/>
      <c r="Y32"/>
      <c r="Z32"/>
      <c r="AA32"/>
    </row>
    <row r="33" spans="1:27" x14ac:dyDescent="0.25">
      <c r="A33" s="38" t="s">
        <v>526</v>
      </c>
      <c r="B33" s="8">
        <v>144825</v>
      </c>
      <c r="C33" s="8">
        <v>790</v>
      </c>
      <c r="D33" s="38" t="s">
        <v>778</v>
      </c>
      <c r="G33" s="38">
        <v>890</v>
      </c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U33"/>
      <c r="V33"/>
      <c r="W33"/>
      <c r="X33"/>
      <c r="Y33"/>
      <c r="Z33"/>
      <c r="AA33"/>
    </row>
    <row r="34" spans="1:27" x14ac:dyDescent="0.25">
      <c r="A34" s="38" t="s">
        <v>526</v>
      </c>
      <c r="B34" s="8">
        <v>194011</v>
      </c>
      <c r="C34" s="8">
        <v>890</v>
      </c>
      <c r="D34" s="38" t="s">
        <v>779</v>
      </c>
      <c r="G34" s="38">
        <v>890</v>
      </c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U34"/>
      <c r="V34"/>
      <c r="W34"/>
      <c r="X34"/>
      <c r="Y34"/>
      <c r="Z34"/>
      <c r="AA34"/>
    </row>
    <row r="35" spans="1:27" x14ac:dyDescent="0.25">
      <c r="A35" s="38" t="s">
        <v>526</v>
      </c>
      <c r="B35" s="8">
        <v>144894</v>
      </c>
      <c r="C35" s="8">
        <v>990</v>
      </c>
      <c r="D35" s="38" t="s">
        <v>1128</v>
      </c>
      <c r="G35" s="38">
        <v>1190</v>
      </c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U35"/>
      <c r="V35"/>
      <c r="W35"/>
      <c r="X35"/>
      <c r="Y35"/>
      <c r="Z35"/>
      <c r="AA35"/>
    </row>
    <row r="36" spans="1:27" x14ac:dyDescent="0.25">
      <c r="A36" s="38" t="s">
        <v>526</v>
      </c>
      <c r="B36" s="8">
        <v>155903</v>
      </c>
      <c r="C36" s="8">
        <v>890</v>
      </c>
      <c r="D36" s="38" t="s">
        <v>1127</v>
      </c>
      <c r="G36" s="38">
        <v>890</v>
      </c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U36"/>
      <c r="V36"/>
      <c r="W36"/>
      <c r="X36"/>
      <c r="Y36"/>
      <c r="Z36"/>
      <c r="AA36"/>
    </row>
    <row r="37" spans="1:27" x14ac:dyDescent="0.25">
      <c r="A37" s="38" t="s">
        <v>526</v>
      </c>
      <c r="B37" s="8">
        <v>202560</v>
      </c>
      <c r="C37" s="8">
        <v>790</v>
      </c>
      <c r="D37" s="38" t="s">
        <v>1126</v>
      </c>
      <c r="G37" s="38">
        <v>790</v>
      </c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U37"/>
      <c r="V37"/>
      <c r="W37"/>
      <c r="X37"/>
      <c r="Y37"/>
      <c r="Z37"/>
      <c r="AA37"/>
    </row>
    <row r="38" spans="1:27" x14ac:dyDescent="0.25">
      <c r="A38" s="38" t="s">
        <v>526</v>
      </c>
      <c r="B38" s="8">
        <v>144829</v>
      </c>
      <c r="C38" s="8"/>
      <c r="D38" s="38"/>
      <c r="G38" s="38" t="s">
        <v>1214</v>
      </c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U38"/>
      <c r="V38"/>
      <c r="W38"/>
      <c r="X38"/>
      <c r="Y38"/>
      <c r="Z38"/>
      <c r="AA38"/>
    </row>
    <row r="39" spans="1:27" x14ac:dyDescent="0.25">
      <c r="A39" s="38" t="s">
        <v>526</v>
      </c>
      <c r="B39" s="8">
        <v>144865</v>
      </c>
      <c r="C39" s="8">
        <v>1190</v>
      </c>
      <c r="D39" s="38" t="s">
        <v>909</v>
      </c>
      <c r="G39" s="38">
        <v>1190</v>
      </c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U39"/>
      <c r="V39"/>
      <c r="W39"/>
      <c r="X39"/>
      <c r="Y39"/>
      <c r="Z39"/>
      <c r="AA39"/>
    </row>
    <row r="40" spans="1:27" x14ac:dyDescent="0.25">
      <c r="A40" s="38" t="s">
        <v>526</v>
      </c>
      <c r="B40" s="8">
        <v>144863</v>
      </c>
      <c r="C40" s="8">
        <v>890</v>
      </c>
      <c r="D40" s="38" t="s">
        <v>910</v>
      </c>
      <c r="G40" s="38">
        <v>1090</v>
      </c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U40"/>
      <c r="V40"/>
      <c r="W40"/>
      <c r="X40"/>
      <c r="Y40"/>
      <c r="Z40"/>
      <c r="AA40"/>
    </row>
    <row r="41" spans="1:27" x14ac:dyDescent="0.25">
      <c r="A41" s="38" t="s">
        <v>526</v>
      </c>
      <c r="B41" s="8">
        <v>144862</v>
      </c>
      <c r="C41" s="8">
        <v>890</v>
      </c>
      <c r="D41" s="38" t="s">
        <v>911</v>
      </c>
      <c r="G41" s="38">
        <v>890</v>
      </c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U41"/>
      <c r="V41"/>
      <c r="W41"/>
      <c r="X41"/>
      <c r="Y41"/>
      <c r="Z41"/>
      <c r="AA41"/>
    </row>
    <row r="42" spans="1:27" x14ac:dyDescent="0.25">
      <c r="A42" s="38" t="s">
        <v>526</v>
      </c>
      <c r="B42" s="8">
        <v>155901</v>
      </c>
      <c r="C42" s="8">
        <v>890</v>
      </c>
      <c r="D42" s="38" t="s">
        <v>1125</v>
      </c>
      <c r="G42" s="38">
        <v>990</v>
      </c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U42"/>
      <c r="V42"/>
      <c r="W42"/>
      <c r="X42"/>
      <c r="Y42"/>
      <c r="Z42"/>
      <c r="AA42"/>
    </row>
    <row r="43" spans="1:27" x14ac:dyDescent="0.25">
      <c r="A43" s="38" t="s">
        <v>526</v>
      </c>
      <c r="B43" s="8">
        <v>144958</v>
      </c>
      <c r="C43" s="8">
        <v>890</v>
      </c>
      <c r="D43" s="38" t="s">
        <v>908</v>
      </c>
      <c r="G43" s="38">
        <v>890</v>
      </c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U43"/>
      <c r="V43"/>
      <c r="W43"/>
      <c r="X43"/>
      <c r="Y43"/>
      <c r="Z43"/>
      <c r="AA43"/>
    </row>
    <row r="44" spans="1:27" x14ac:dyDescent="0.25">
      <c r="A44" s="38" t="s">
        <v>526</v>
      </c>
      <c r="B44" s="8">
        <v>155902</v>
      </c>
      <c r="C44" s="8">
        <v>890</v>
      </c>
      <c r="D44" s="38" t="s">
        <v>1124</v>
      </c>
      <c r="G44" s="38">
        <v>890</v>
      </c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U44"/>
      <c r="V44"/>
      <c r="W44"/>
      <c r="X44"/>
      <c r="Y44"/>
      <c r="Z44"/>
      <c r="AA44"/>
    </row>
    <row r="45" spans="1:27" x14ac:dyDescent="0.25">
      <c r="A45" s="38" t="s">
        <v>526</v>
      </c>
      <c r="B45" s="8">
        <v>160435</v>
      </c>
      <c r="C45" s="8">
        <v>1090</v>
      </c>
      <c r="D45" s="38" t="s">
        <v>780</v>
      </c>
      <c r="G45" s="38">
        <v>1190</v>
      </c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U45"/>
      <c r="V45"/>
      <c r="W45"/>
      <c r="X45"/>
      <c r="Y45"/>
      <c r="Z45"/>
      <c r="AA45"/>
    </row>
    <row r="46" spans="1:27" x14ac:dyDescent="0.25">
      <c r="A46" s="38" t="s">
        <v>526</v>
      </c>
      <c r="B46" s="8">
        <v>144819</v>
      </c>
      <c r="C46" s="8">
        <v>1090</v>
      </c>
      <c r="D46" s="38" t="s">
        <v>1123</v>
      </c>
      <c r="G46" s="38">
        <v>1190</v>
      </c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U46"/>
      <c r="V46"/>
      <c r="W46"/>
      <c r="X46"/>
      <c r="Y46"/>
      <c r="Z46"/>
      <c r="AA46"/>
    </row>
    <row r="47" spans="1:27" x14ac:dyDescent="0.25">
      <c r="A47" s="38" t="s">
        <v>526</v>
      </c>
      <c r="B47" s="8">
        <v>144978</v>
      </c>
      <c r="C47" s="8">
        <v>1190</v>
      </c>
      <c r="D47" s="38" t="s">
        <v>907</v>
      </c>
      <c r="G47" s="38">
        <v>1190</v>
      </c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U47"/>
      <c r="V47"/>
      <c r="W47"/>
      <c r="X47"/>
      <c r="Y47"/>
      <c r="Z47"/>
      <c r="AA47"/>
    </row>
    <row r="48" spans="1:27" x14ac:dyDescent="0.25">
      <c r="A48" s="38" t="s">
        <v>526</v>
      </c>
      <c r="B48" s="8">
        <v>144861</v>
      </c>
      <c r="C48" s="8">
        <v>829</v>
      </c>
      <c r="D48" s="38" t="s">
        <v>815</v>
      </c>
      <c r="G48" s="38">
        <v>829</v>
      </c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U48"/>
      <c r="V48"/>
      <c r="W48"/>
      <c r="X48"/>
      <c r="Y48"/>
      <c r="Z48"/>
      <c r="AA48"/>
    </row>
    <row r="49" spans="1:27" x14ac:dyDescent="0.25">
      <c r="A49" s="38" t="s">
        <v>526</v>
      </c>
      <c r="B49" s="8">
        <v>202567</v>
      </c>
      <c r="C49" s="8"/>
      <c r="D49" s="38"/>
      <c r="G49" s="38" t="s">
        <v>1214</v>
      </c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U49"/>
      <c r="V49"/>
      <c r="W49"/>
      <c r="X49"/>
      <c r="Y49"/>
      <c r="Z49"/>
      <c r="AA49"/>
    </row>
    <row r="50" spans="1:27" x14ac:dyDescent="0.25">
      <c r="A50" s="38" t="s">
        <v>526</v>
      </c>
      <c r="B50" s="8">
        <v>144840</v>
      </c>
      <c r="C50" s="8">
        <v>1290</v>
      </c>
      <c r="D50" s="38" t="s">
        <v>1122</v>
      </c>
      <c r="G50" s="38">
        <v>1590</v>
      </c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U50"/>
      <c r="V50"/>
      <c r="W50"/>
      <c r="X50"/>
      <c r="Y50"/>
      <c r="Z50"/>
      <c r="AA50"/>
    </row>
    <row r="51" spans="1:27" x14ac:dyDescent="0.25">
      <c r="A51" s="38" t="s">
        <v>526</v>
      </c>
      <c r="B51" s="8">
        <v>144822</v>
      </c>
      <c r="C51" s="8">
        <v>2190</v>
      </c>
      <c r="D51" s="38" t="s">
        <v>1121</v>
      </c>
      <c r="G51" s="38">
        <v>2190</v>
      </c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U51"/>
      <c r="V51"/>
      <c r="W51"/>
      <c r="X51"/>
      <c r="Y51"/>
      <c r="Z51"/>
      <c r="AA51"/>
    </row>
    <row r="52" spans="1:27" x14ac:dyDescent="0.25">
      <c r="A52" s="38" t="s">
        <v>526</v>
      </c>
      <c r="B52" s="8">
        <v>144949</v>
      </c>
      <c r="C52" s="8">
        <v>1590</v>
      </c>
      <c r="D52" s="38" t="s">
        <v>906</v>
      </c>
      <c r="G52" s="38">
        <v>1590</v>
      </c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U52"/>
      <c r="V52"/>
      <c r="W52"/>
      <c r="X52"/>
      <c r="Y52"/>
      <c r="Z52"/>
      <c r="AA52"/>
    </row>
    <row r="53" spans="1:27" x14ac:dyDescent="0.25">
      <c r="A53" s="38" t="s">
        <v>526</v>
      </c>
      <c r="B53" s="8">
        <v>144834</v>
      </c>
      <c r="C53" s="8"/>
      <c r="D53" s="38"/>
      <c r="G53" s="38" t="s">
        <v>1214</v>
      </c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U53"/>
      <c r="V53"/>
      <c r="W53"/>
      <c r="X53"/>
      <c r="Y53"/>
      <c r="Z53"/>
      <c r="AA53"/>
    </row>
    <row r="54" spans="1:27" x14ac:dyDescent="0.25">
      <c r="A54" s="38" t="s">
        <v>526</v>
      </c>
      <c r="B54" s="8">
        <v>144980</v>
      </c>
      <c r="C54" s="8">
        <v>2190</v>
      </c>
      <c r="D54" s="38" t="s">
        <v>781</v>
      </c>
      <c r="G54" s="38">
        <v>2190</v>
      </c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U54"/>
      <c r="V54"/>
      <c r="W54"/>
      <c r="X54"/>
      <c r="Y54"/>
      <c r="Z54"/>
      <c r="AA54"/>
    </row>
    <row r="55" spans="1:27" x14ac:dyDescent="0.25">
      <c r="A55" s="38" t="s">
        <v>526</v>
      </c>
      <c r="B55" s="8">
        <v>144835</v>
      </c>
      <c r="C55" s="8"/>
      <c r="D55" s="38"/>
      <c r="G55" s="38" t="s">
        <v>1214</v>
      </c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U55"/>
      <c r="V55"/>
      <c r="W55"/>
      <c r="X55"/>
      <c r="Y55"/>
      <c r="Z55"/>
      <c r="AA55"/>
    </row>
    <row r="56" spans="1:27" x14ac:dyDescent="0.25">
      <c r="A56" s="38" t="s">
        <v>526</v>
      </c>
      <c r="B56" s="8">
        <v>144896</v>
      </c>
      <c r="C56" s="8"/>
      <c r="D56" s="38" t="s">
        <v>1118</v>
      </c>
      <c r="G56" s="38">
        <v>990</v>
      </c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U56"/>
      <c r="V56"/>
      <c r="W56"/>
      <c r="X56"/>
      <c r="Y56"/>
      <c r="Z56"/>
      <c r="AA56"/>
    </row>
    <row r="57" spans="1:27" x14ac:dyDescent="0.25">
      <c r="A57" s="38" t="s">
        <v>526</v>
      </c>
      <c r="B57" s="8">
        <v>144960</v>
      </c>
      <c r="C57" s="8">
        <v>1790</v>
      </c>
      <c r="D57" s="38" t="s">
        <v>814</v>
      </c>
      <c r="G57" s="38">
        <v>2190</v>
      </c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U57"/>
      <c r="V57"/>
      <c r="W57"/>
      <c r="X57"/>
      <c r="Y57"/>
      <c r="Z57"/>
      <c r="AA57"/>
    </row>
    <row r="58" spans="1:27" x14ac:dyDescent="0.25">
      <c r="A58" s="38" t="s">
        <v>526</v>
      </c>
      <c r="B58" s="8">
        <v>144824</v>
      </c>
      <c r="C58" s="8">
        <v>2690</v>
      </c>
      <c r="D58" s="38" t="s">
        <v>1117</v>
      </c>
      <c r="G58" s="38">
        <v>2690</v>
      </c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U58"/>
      <c r="V58"/>
      <c r="W58"/>
      <c r="X58"/>
      <c r="Y58"/>
      <c r="Z58"/>
      <c r="AA58"/>
    </row>
    <row r="59" spans="1:27" x14ac:dyDescent="0.25">
      <c r="A59" s="38" t="s">
        <v>526</v>
      </c>
      <c r="B59" s="8">
        <v>144940</v>
      </c>
      <c r="C59" s="8">
        <v>1790</v>
      </c>
      <c r="D59" s="38" t="s">
        <v>905</v>
      </c>
      <c r="G59" s="38">
        <v>2190</v>
      </c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U59"/>
      <c r="V59"/>
      <c r="W59"/>
      <c r="X59"/>
      <c r="Y59"/>
      <c r="Z59"/>
      <c r="AA59"/>
    </row>
    <row r="60" spans="1:27" x14ac:dyDescent="0.25">
      <c r="A60" s="38" t="s">
        <v>526</v>
      </c>
      <c r="B60" s="8">
        <v>144941</v>
      </c>
      <c r="C60" s="8">
        <v>1790</v>
      </c>
      <c r="D60" s="38" t="s">
        <v>905</v>
      </c>
      <c r="G60" s="38">
        <v>2190</v>
      </c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U60"/>
      <c r="V60"/>
      <c r="W60"/>
      <c r="X60"/>
      <c r="Y60"/>
      <c r="Z60"/>
      <c r="AA60"/>
    </row>
    <row r="61" spans="1:27" x14ac:dyDescent="0.25">
      <c r="A61" s="38" t="s">
        <v>526</v>
      </c>
      <c r="B61" s="8">
        <v>144823</v>
      </c>
      <c r="C61" s="8">
        <v>2690</v>
      </c>
      <c r="D61" s="38" t="s">
        <v>1116</v>
      </c>
      <c r="G61" s="38">
        <v>2690</v>
      </c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U61"/>
      <c r="V61"/>
      <c r="W61"/>
      <c r="X61"/>
      <c r="Y61"/>
      <c r="Z61"/>
      <c r="AA61"/>
    </row>
    <row r="62" spans="1:27" x14ac:dyDescent="0.25">
      <c r="A62" s="38" t="s">
        <v>526</v>
      </c>
      <c r="B62" s="8">
        <v>201273</v>
      </c>
      <c r="C62" s="8"/>
      <c r="D62" s="38"/>
      <c r="G62" s="38" t="s">
        <v>1214</v>
      </c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U62"/>
      <c r="V62"/>
      <c r="W62"/>
      <c r="X62"/>
      <c r="Y62"/>
      <c r="Z62"/>
      <c r="AA62"/>
    </row>
    <row r="63" spans="1:27" x14ac:dyDescent="0.25">
      <c r="A63" s="38" t="s">
        <v>526</v>
      </c>
      <c r="B63" s="8">
        <v>144951</v>
      </c>
      <c r="C63" s="8">
        <v>2190</v>
      </c>
      <c r="D63" s="38" t="s">
        <v>903</v>
      </c>
      <c r="G63" s="38">
        <v>2190</v>
      </c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U63"/>
      <c r="V63"/>
      <c r="W63"/>
      <c r="X63"/>
      <c r="Y63"/>
      <c r="Z63"/>
      <c r="AA63"/>
    </row>
    <row r="64" spans="1:27" x14ac:dyDescent="0.25">
      <c r="A64" s="38" t="s">
        <v>526</v>
      </c>
      <c r="B64" s="8">
        <v>144820</v>
      </c>
      <c r="C64" s="8">
        <v>2290</v>
      </c>
      <c r="D64" s="38" t="s">
        <v>1115</v>
      </c>
      <c r="G64" s="38">
        <v>2490</v>
      </c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U64"/>
      <c r="V64"/>
      <c r="W64"/>
      <c r="X64"/>
      <c r="Y64"/>
      <c r="Z64"/>
      <c r="AA64"/>
    </row>
    <row r="65" spans="1:27" x14ac:dyDescent="0.25">
      <c r="A65" s="38" t="s">
        <v>526</v>
      </c>
      <c r="B65" s="8">
        <v>144895</v>
      </c>
      <c r="C65" s="8"/>
      <c r="D65" s="38"/>
      <c r="G65" s="38" t="s">
        <v>1214</v>
      </c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U65"/>
      <c r="V65"/>
      <c r="W65"/>
      <c r="X65"/>
      <c r="Y65"/>
      <c r="Z65"/>
      <c r="AA65"/>
    </row>
    <row r="66" spans="1:27" x14ac:dyDescent="0.25">
      <c r="A66" s="38" t="s">
        <v>526</v>
      </c>
      <c r="B66" s="8">
        <v>144932</v>
      </c>
      <c r="C66" s="8">
        <v>2890</v>
      </c>
      <c r="D66" s="38" t="s">
        <v>904</v>
      </c>
      <c r="G66" s="38">
        <v>2890</v>
      </c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U66"/>
      <c r="V66"/>
      <c r="W66"/>
      <c r="X66"/>
      <c r="Y66"/>
      <c r="Z66"/>
      <c r="AA66"/>
    </row>
    <row r="67" spans="1:27" x14ac:dyDescent="0.25">
      <c r="A67" s="38" t="s">
        <v>526</v>
      </c>
      <c r="B67" s="8">
        <v>144933</v>
      </c>
      <c r="C67" s="8">
        <v>2190</v>
      </c>
      <c r="D67" s="38" t="s">
        <v>1114</v>
      </c>
      <c r="G67" s="38">
        <v>2890</v>
      </c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U67"/>
      <c r="V67"/>
      <c r="W67"/>
      <c r="X67"/>
      <c r="Y67"/>
      <c r="Z67"/>
      <c r="AA67"/>
    </row>
    <row r="68" spans="1:27" x14ac:dyDescent="0.25">
      <c r="A68" s="38" t="s">
        <v>526</v>
      </c>
      <c r="B68" s="8">
        <v>144936</v>
      </c>
      <c r="C68" s="8">
        <v>2190</v>
      </c>
      <c r="D68" s="38" t="s">
        <v>782</v>
      </c>
      <c r="G68" s="38">
        <v>2190</v>
      </c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U68"/>
      <c r="V68"/>
      <c r="W68"/>
      <c r="X68"/>
      <c r="Y68"/>
      <c r="Z68"/>
      <c r="AA68"/>
    </row>
    <row r="69" spans="1:27" x14ac:dyDescent="0.25">
      <c r="A69" s="38" t="s">
        <v>526</v>
      </c>
      <c r="B69" s="8">
        <v>144937</v>
      </c>
      <c r="C69" s="8">
        <v>2190</v>
      </c>
      <c r="D69" s="38" t="s">
        <v>1113</v>
      </c>
      <c r="G69" s="38">
        <v>2890</v>
      </c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U69"/>
      <c r="V69"/>
      <c r="W69"/>
      <c r="X69"/>
      <c r="Y69"/>
      <c r="Z69"/>
      <c r="AA69"/>
    </row>
    <row r="70" spans="1:27" x14ac:dyDescent="0.25">
      <c r="A70" s="38" t="s">
        <v>526</v>
      </c>
      <c r="B70" s="8">
        <v>144955</v>
      </c>
      <c r="C70" s="8">
        <v>3590</v>
      </c>
      <c r="D70" s="38" t="s">
        <v>914</v>
      </c>
      <c r="G70" s="38">
        <v>3590</v>
      </c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U70"/>
      <c r="V70"/>
      <c r="W70"/>
      <c r="X70"/>
      <c r="Y70"/>
      <c r="Z70"/>
      <c r="AA70"/>
    </row>
    <row r="71" spans="1:27" x14ac:dyDescent="0.25">
      <c r="A71" s="38" t="s">
        <v>526</v>
      </c>
      <c r="B71" s="8">
        <v>144934</v>
      </c>
      <c r="C71" s="8">
        <v>3590</v>
      </c>
      <c r="D71" s="38" t="s">
        <v>1112</v>
      </c>
      <c r="G71" s="38">
        <v>2890</v>
      </c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U71"/>
      <c r="V71"/>
      <c r="W71"/>
      <c r="X71"/>
      <c r="Y71"/>
      <c r="Z71"/>
      <c r="AA71"/>
    </row>
    <row r="72" spans="1:27" x14ac:dyDescent="0.25">
      <c r="A72" s="38" t="s">
        <v>526</v>
      </c>
      <c r="B72" s="8">
        <v>144950</v>
      </c>
      <c r="C72" s="8">
        <v>1890</v>
      </c>
      <c r="D72" s="38" t="s">
        <v>1110</v>
      </c>
      <c r="G72" s="38">
        <v>1890</v>
      </c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U72"/>
      <c r="V72"/>
      <c r="W72"/>
      <c r="X72"/>
      <c r="Y72"/>
      <c r="Z72"/>
      <c r="AA72"/>
    </row>
    <row r="73" spans="1:27" x14ac:dyDescent="0.25">
      <c r="A73" s="38" t="s">
        <v>526</v>
      </c>
      <c r="B73" s="8">
        <v>144842</v>
      </c>
      <c r="C73" s="8">
        <v>2890</v>
      </c>
      <c r="D73" s="38" t="s">
        <v>1049</v>
      </c>
      <c r="G73" s="38">
        <v>3690</v>
      </c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U73"/>
      <c r="V73"/>
      <c r="W73"/>
      <c r="X73"/>
      <c r="Y73"/>
      <c r="Z73"/>
      <c r="AA73"/>
    </row>
    <row r="74" spans="1:27" x14ac:dyDescent="0.25">
      <c r="A74" s="38" t="s">
        <v>526</v>
      </c>
      <c r="B74" s="8">
        <v>144817</v>
      </c>
      <c r="C74" s="8"/>
      <c r="D74" s="38"/>
      <c r="G74" s="38" t="s">
        <v>1214</v>
      </c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U74"/>
      <c r="V74"/>
      <c r="W74"/>
      <c r="X74"/>
      <c r="Y74"/>
      <c r="Z74"/>
      <c r="AA74"/>
    </row>
    <row r="75" spans="1:27" x14ac:dyDescent="0.25">
      <c r="A75" s="38" t="s">
        <v>526</v>
      </c>
      <c r="B75" s="8">
        <v>144897</v>
      </c>
      <c r="C75" s="8">
        <v>2890</v>
      </c>
      <c r="D75" s="38" t="s">
        <v>1050</v>
      </c>
      <c r="G75" s="38">
        <v>2890</v>
      </c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U75"/>
      <c r="V75"/>
      <c r="W75"/>
      <c r="X75"/>
      <c r="Y75"/>
      <c r="Z75"/>
      <c r="AA75"/>
    </row>
    <row r="76" spans="1:27" x14ac:dyDescent="0.25">
      <c r="A76" s="38" t="s">
        <v>526</v>
      </c>
      <c r="B76" s="8">
        <v>144804</v>
      </c>
      <c r="C76" s="8">
        <v>4990</v>
      </c>
      <c r="D76" s="38" t="s">
        <v>902</v>
      </c>
      <c r="G76" s="38">
        <v>5690</v>
      </c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U76"/>
      <c r="V76"/>
      <c r="W76"/>
      <c r="X76"/>
      <c r="Y76"/>
      <c r="Z76"/>
      <c r="AA76"/>
    </row>
    <row r="77" spans="1:27" x14ac:dyDescent="0.25">
      <c r="A77" s="38" t="s">
        <v>526</v>
      </c>
      <c r="B77" s="8">
        <v>144841</v>
      </c>
      <c r="C77" s="8">
        <v>2890</v>
      </c>
      <c r="D77" s="38" t="s">
        <v>901</v>
      </c>
      <c r="G77" s="38">
        <v>3590</v>
      </c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U77"/>
      <c r="V77"/>
      <c r="W77"/>
      <c r="X77"/>
      <c r="Y77"/>
      <c r="Z77"/>
      <c r="AA77"/>
    </row>
    <row r="78" spans="1:27" x14ac:dyDescent="0.25">
      <c r="A78" s="38" t="s">
        <v>526</v>
      </c>
      <c r="B78" s="8">
        <v>144944</v>
      </c>
      <c r="C78" s="8">
        <v>2890</v>
      </c>
      <c r="D78" s="38" t="s">
        <v>783</v>
      </c>
      <c r="G78" s="38">
        <v>2890</v>
      </c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U78"/>
      <c r="V78"/>
      <c r="W78"/>
      <c r="X78"/>
      <c r="Y78"/>
      <c r="Z78"/>
      <c r="AA78"/>
    </row>
    <row r="79" spans="1:27" x14ac:dyDescent="0.25">
      <c r="A79" s="38" t="s">
        <v>526</v>
      </c>
      <c r="B79" s="8">
        <v>144945</v>
      </c>
      <c r="C79" s="8">
        <v>3590</v>
      </c>
      <c r="D79" s="38" t="s">
        <v>1217</v>
      </c>
      <c r="G79" s="38">
        <v>3590</v>
      </c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U79"/>
      <c r="V79"/>
      <c r="W79"/>
      <c r="X79"/>
      <c r="Y79"/>
      <c r="Z79"/>
      <c r="AA79"/>
    </row>
    <row r="80" spans="1:27" x14ac:dyDescent="0.25">
      <c r="A80" s="38" t="s">
        <v>526</v>
      </c>
      <c r="B80" s="8">
        <v>144946</v>
      </c>
      <c r="C80" s="8">
        <v>2890</v>
      </c>
      <c r="D80" s="38" t="s">
        <v>783</v>
      </c>
      <c r="G80" s="38">
        <v>2890</v>
      </c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U80"/>
      <c r="V80"/>
      <c r="W80"/>
      <c r="X80"/>
      <c r="Y80"/>
      <c r="Z80"/>
      <c r="AA80"/>
    </row>
    <row r="81" spans="1:27" x14ac:dyDescent="0.25">
      <c r="A81" s="38" t="s">
        <v>526</v>
      </c>
      <c r="B81" s="8">
        <v>144843</v>
      </c>
      <c r="C81" s="8">
        <v>3590</v>
      </c>
      <c r="D81" s="38" t="s">
        <v>1051</v>
      </c>
      <c r="G81" s="38">
        <v>3590</v>
      </c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U81"/>
      <c r="V81"/>
      <c r="W81"/>
      <c r="X81"/>
      <c r="Y81"/>
      <c r="Z81"/>
      <c r="AA81"/>
    </row>
    <row r="82" spans="1:27" x14ac:dyDescent="0.25">
      <c r="A82" s="38" t="s">
        <v>526</v>
      </c>
      <c r="B82" s="8">
        <v>144903</v>
      </c>
      <c r="C82" s="8">
        <v>4290</v>
      </c>
      <c r="D82" s="38" t="s">
        <v>1055</v>
      </c>
      <c r="G82" s="38">
        <v>4990</v>
      </c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U82"/>
      <c r="V82"/>
      <c r="W82"/>
      <c r="X82"/>
      <c r="Y82"/>
      <c r="Z82"/>
      <c r="AA82"/>
    </row>
    <row r="83" spans="1:27" x14ac:dyDescent="0.25">
      <c r="A83" s="38" t="s">
        <v>526</v>
      </c>
      <c r="B83" s="8">
        <v>144827</v>
      </c>
      <c r="C83" s="8">
        <v>2890</v>
      </c>
      <c r="D83" s="38" t="s">
        <v>1053</v>
      </c>
      <c r="G83" s="38">
        <v>2890</v>
      </c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U83"/>
      <c r="V83"/>
      <c r="W83"/>
      <c r="X83"/>
      <c r="Y83"/>
      <c r="Z83"/>
      <c r="AA83"/>
    </row>
    <row r="84" spans="1:27" x14ac:dyDescent="0.25">
      <c r="A84" s="38" t="s">
        <v>526</v>
      </c>
      <c r="B84" s="8">
        <v>144830</v>
      </c>
      <c r="C84" s="8">
        <v>3590</v>
      </c>
      <c r="D84" s="38" t="s">
        <v>784</v>
      </c>
      <c r="G84" s="38">
        <v>3590</v>
      </c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U84"/>
      <c r="V84"/>
      <c r="W84"/>
      <c r="X84"/>
      <c r="Y84"/>
      <c r="Z84"/>
      <c r="AA84"/>
    </row>
    <row r="85" spans="1:27" x14ac:dyDescent="0.25">
      <c r="A85" s="38" t="s">
        <v>526</v>
      </c>
      <c r="B85" s="8">
        <v>144930</v>
      </c>
      <c r="C85" s="8">
        <v>3590</v>
      </c>
      <c r="D85" s="38" t="s">
        <v>785</v>
      </c>
      <c r="G85" s="38">
        <v>3590</v>
      </c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U85"/>
      <c r="V85"/>
      <c r="W85"/>
      <c r="X85"/>
      <c r="Y85"/>
      <c r="Z85"/>
      <c r="AA85"/>
    </row>
    <row r="86" spans="1:27" x14ac:dyDescent="0.25">
      <c r="A86" s="38" t="s">
        <v>526</v>
      </c>
      <c r="B86" s="8">
        <v>144942</v>
      </c>
      <c r="C86" s="8">
        <v>4290</v>
      </c>
      <c r="D86" s="38" t="s">
        <v>1054</v>
      </c>
      <c r="G86" s="38">
        <v>4290</v>
      </c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U86"/>
      <c r="V86"/>
      <c r="W86"/>
      <c r="X86"/>
      <c r="Y86"/>
      <c r="Z86"/>
      <c r="AA86"/>
    </row>
    <row r="87" spans="1:27" x14ac:dyDescent="0.25">
      <c r="A87" s="38" t="s">
        <v>526</v>
      </c>
      <c r="B87" s="8">
        <v>144806</v>
      </c>
      <c r="C87" s="8">
        <v>5690</v>
      </c>
      <c r="D87" s="38" t="s">
        <v>900</v>
      </c>
      <c r="G87" s="38">
        <v>6390</v>
      </c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U87"/>
      <c r="V87"/>
      <c r="W87"/>
      <c r="X87"/>
      <c r="Y87"/>
      <c r="Z87"/>
      <c r="AA87"/>
    </row>
    <row r="88" spans="1:27" x14ac:dyDescent="0.25">
      <c r="A88" s="38" t="s">
        <v>526</v>
      </c>
      <c r="B88" s="8">
        <v>144905</v>
      </c>
      <c r="C88" s="8">
        <v>4990</v>
      </c>
      <c r="D88" s="38" t="s">
        <v>1052</v>
      </c>
      <c r="G88" s="38">
        <v>5690</v>
      </c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U88"/>
      <c r="V88"/>
      <c r="W88"/>
      <c r="X88"/>
      <c r="Y88"/>
      <c r="Z88"/>
      <c r="AA88"/>
    </row>
    <row r="89" spans="1:27" x14ac:dyDescent="0.25">
      <c r="A89" s="38" t="s">
        <v>526</v>
      </c>
      <c r="B89" s="8">
        <v>144956</v>
      </c>
      <c r="C89" s="8">
        <v>4290</v>
      </c>
      <c r="D89" s="38" t="s">
        <v>928</v>
      </c>
      <c r="G89" s="38">
        <v>4290</v>
      </c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U89"/>
      <c r="V89"/>
      <c r="W89"/>
      <c r="X89"/>
      <c r="Y89"/>
      <c r="Z89"/>
      <c r="AA89"/>
    </row>
    <row r="90" spans="1:27" x14ac:dyDescent="0.25">
      <c r="A90" s="38" t="s">
        <v>526</v>
      </c>
      <c r="B90" s="8">
        <v>144984</v>
      </c>
      <c r="C90" s="8">
        <v>4990</v>
      </c>
      <c r="D90" s="38" t="s">
        <v>786</v>
      </c>
      <c r="G90" s="38">
        <v>5690</v>
      </c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U90"/>
      <c r="V90"/>
      <c r="W90"/>
      <c r="X90"/>
      <c r="Y90"/>
      <c r="Z90"/>
      <c r="AA90"/>
    </row>
    <row r="91" spans="1:27" x14ac:dyDescent="0.25">
      <c r="A91" s="38" t="s">
        <v>526</v>
      </c>
      <c r="B91" s="8">
        <v>144847</v>
      </c>
      <c r="C91" s="8">
        <v>4290</v>
      </c>
      <c r="D91" s="38" t="s">
        <v>1056</v>
      </c>
      <c r="G91" s="38">
        <v>4290</v>
      </c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U91"/>
      <c r="V91"/>
      <c r="W91"/>
      <c r="X91"/>
      <c r="Y91"/>
      <c r="Z91"/>
      <c r="AA91"/>
    </row>
    <row r="92" spans="1:27" x14ac:dyDescent="0.25">
      <c r="A92" s="38" t="s">
        <v>526</v>
      </c>
      <c r="B92" s="8">
        <v>144850</v>
      </c>
      <c r="C92" s="8">
        <v>3590</v>
      </c>
      <c r="D92" s="38" t="s">
        <v>897</v>
      </c>
      <c r="G92" s="38">
        <v>3590</v>
      </c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U92"/>
      <c r="V92"/>
      <c r="W92"/>
      <c r="X92"/>
      <c r="Y92"/>
      <c r="Z92"/>
      <c r="AA92"/>
    </row>
    <row r="93" spans="1:27" x14ac:dyDescent="0.25">
      <c r="A93" s="38" t="s">
        <v>526</v>
      </c>
      <c r="B93" s="8">
        <v>144849</v>
      </c>
      <c r="C93" s="8">
        <v>4290</v>
      </c>
      <c r="D93" s="38" t="s">
        <v>898</v>
      </c>
      <c r="G93" s="38">
        <v>4290</v>
      </c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U93"/>
      <c r="V93"/>
      <c r="W93"/>
      <c r="X93"/>
      <c r="Y93"/>
      <c r="Z93"/>
      <c r="AA93"/>
    </row>
    <row r="94" spans="1:27" x14ac:dyDescent="0.25">
      <c r="A94" s="38" t="s">
        <v>526</v>
      </c>
      <c r="B94" s="8">
        <v>144848</v>
      </c>
      <c r="C94" s="8">
        <v>3590</v>
      </c>
      <c r="D94" s="38" t="s">
        <v>899</v>
      </c>
      <c r="G94" s="38">
        <v>4290</v>
      </c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U94"/>
      <c r="V94"/>
      <c r="W94"/>
      <c r="X94"/>
      <c r="Y94"/>
      <c r="Z94"/>
      <c r="AA94"/>
    </row>
    <row r="95" spans="1:27" x14ac:dyDescent="0.25">
      <c r="A95" s="38" t="s">
        <v>526</v>
      </c>
      <c r="B95" s="8">
        <v>202082</v>
      </c>
      <c r="C95" s="8">
        <v>5690</v>
      </c>
      <c r="D95" s="38" t="s">
        <v>1057</v>
      </c>
      <c r="G95" s="38">
        <v>5690</v>
      </c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U95"/>
      <c r="V95"/>
      <c r="W95"/>
      <c r="X95"/>
      <c r="Y95"/>
      <c r="Z95"/>
      <c r="AA95"/>
    </row>
    <row r="96" spans="1:27" x14ac:dyDescent="0.25">
      <c r="A96" s="38" t="s">
        <v>526</v>
      </c>
      <c r="B96" s="8">
        <v>144938</v>
      </c>
      <c r="C96" s="8">
        <v>4990</v>
      </c>
      <c r="D96" s="38" t="s">
        <v>1058</v>
      </c>
      <c r="G96" s="38">
        <v>4990</v>
      </c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U96"/>
      <c r="V96"/>
      <c r="W96"/>
      <c r="X96"/>
      <c r="Y96"/>
      <c r="Z96"/>
      <c r="AA96"/>
    </row>
    <row r="97" spans="1:27" x14ac:dyDescent="0.25">
      <c r="A97" s="38" t="s">
        <v>526</v>
      </c>
      <c r="B97" s="8">
        <v>144898</v>
      </c>
      <c r="C97" s="8">
        <v>4990</v>
      </c>
      <c r="D97" s="38" t="s">
        <v>1059</v>
      </c>
      <c r="G97" s="38">
        <v>4990</v>
      </c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U97"/>
      <c r="V97"/>
      <c r="W97"/>
      <c r="X97"/>
      <c r="Y97"/>
      <c r="Z97"/>
      <c r="AA97"/>
    </row>
    <row r="98" spans="1:27" x14ac:dyDescent="0.25">
      <c r="A98" s="38" t="s">
        <v>526</v>
      </c>
      <c r="B98" s="8">
        <v>144851</v>
      </c>
      <c r="C98" s="8">
        <v>4290</v>
      </c>
      <c r="D98" s="38" t="s">
        <v>896</v>
      </c>
      <c r="G98" s="38">
        <v>4290</v>
      </c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U98"/>
      <c r="V98"/>
      <c r="W98"/>
      <c r="X98"/>
      <c r="Y98"/>
      <c r="Z98"/>
      <c r="AA98"/>
    </row>
    <row r="99" spans="1:27" x14ac:dyDescent="0.25">
      <c r="A99" s="38" t="s">
        <v>526</v>
      </c>
      <c r="B99" s="8">
        <v>144935</v>
      </c>
      <c r="C99" s="8">
        <v>4290</v>
      </c>
      <c r="D99" s="38" t="s">
        <v>1060</v>
      </c>
      <c r="G99" s="38">
        <v>4290</v>
      </c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U99"/>
      <c r="V99"/>
      <c r="W99"/>
      <c r="X99"/>
      <c r="Y99"/>
      <c r="Z99"/>
      <c r="AA99"/>
    </row>
    <row r="100" spans="1:27" x14ac:dyDescent="0.25">
      <c r="A100" s="38" t="s">
        <v>526</v>
      </c>
      <c r="B100" s="8">
        <v>144931</v>
      </c>
      <c r="C100" s="8">
        <v>4290</v>
      </c>
      <c r="D100" s="38" t="s">
        <v>895</v>
      </c>
      <c r="G100" s="38">
        <v>4290</v>
      </c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U100"/>
      <c r="V100"/>
      <c r="W100"/>
      <c r="X100"/>
      <c r="Y100"/>
      <c r="Z100"/>
      <c r="AA100"/>
    </row>
    <row r="101" spans="1:27" x14ac:dyDescent="0.25">
      <c r="A101" s="38" t="s">
        <v>526</v>
      </c>
      <c r="B101" s="8">
        <v>153100</v>
      </c>
      <c r="C101" s="8"/>
      <c r="D101" s="38"/>
      <c r="G101" s="38" t="s">
        <v>1214</v>
      </c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U101"/>
      <c r="V101"/>
      <c r="W101"/>
      <c r="X101"/>
      <c r="Y101"/>
      <c r="Z101"/>
      <c r="AA101"/>
    </row>
    <row r="102" spans="1:27" x14ac:dyDescent="0.25">
      <c r="A102" s="38" t="s">
        <v>526</v>
      </c>
      <c r="B102" s="8">
        <v>144818</v>
      </c>
      <c r="C102" s="8">
        <v>5690</v>
      </c>
      <c r="D102" s="38" t="s">
        <v>1061</v>
      </c>
      <c r="G102" s="38">
        <v>6390</v>
      </c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U102"/>
      <c r="V102"/>
      <c r="W102"/>
      <c r="X102"/>
      <c r="Y102"/>
      <c r="Z102"/>
      <c r="AA102"/>
    </row>
    <row r="103" spans="1:27" x14ac:dyDescent="0.25">
      <c r="A103" s="38" t="s">
        <v>526</v>
      </c>
      <c r="B103" s="8">
        <v>144957</v>
      </c>
      <c r="C103" s="8">
        <v>4290</v>
      </c>
      <c r="D103" s="38" t="s">
        <v>1062</v>
      </c>
      <c r="G103" s="38">
        <v>4290</v>
      </c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U103"/>
      <c r="V103"/>
      <c r="W103"/>
      <c r="X103"/>
      <c r="Y103"/>
      <c r="Z103"/>
      <c r="AA103"/>
    </row>
    <row r="104" spans="1:27" x14ac:dyDescent="0.25">
      <c r="A104" s="38" t="s">
        <v>526</v>
      </c>
      <c r="B104" s="8">
        <v>144816</v>
      </c>
      <c r="C104" s="8">
        <v>5690</v>
      </c>
      <c r="D104" s="38" t="s">
        <v>1063</v>
      </c>
      <c r="G104" s="38">
        <v>6390</v>
      </c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U104"/>
      <c r="V104"/>
      <c r="W104"/>
      <c r="X104"/>
      <c r="Y104"/>
      <c r="Z104"/>
      <c r="AA104"/>
    </row>
    <row r="105" spans="1:27" x14ac:dyDescent="0.25">
      <c r="A105" s="38" t="s">
        <v>526</v>
      </c>
      <c r="B105" s="8">
        <v>144805</v>
      </c>
      <c r="C105" s="8">
        <v>5690</v>
      </c>
      <c r="D105" s="38" t="s">
        <v>787</v>
      </c>
      <c r="G105" s="38">
        <v>6390</v>
      </c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U105"/>
      <c r="V105"/>
      <c r="W105"/>
      <c r="X105"/>
      <c r="Y105"/>
      <c r="Z105"/>
      <c r="AA105"/>
    </row>
    <row r="106" spans="1:27" x14ac:dyDescent="0.25">
      <c r="A106" s="38" t="s">
        <v>526</v>
      </c>
      <c r="B106" s="8">
        <v>144807</v>
      </c>
      <c r="C106" s="8">
        <v>5690</v>
      </c>
      <c r="D106" s="38" t="s">
        <v>894</v>
      </c>
      <c r="G106" s="38">
        <v>6390</v>
      </c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U106"/>
      <c r="V106"/>
      <c r="W106"/>
      <c r="X106"/>
      <c r="Y106"/>
      <c r="Z106"/>
      <c r="AA106"/>
    </row>
    <row r="107" spans="1:27" x14ac:dyDescent="0.25">
      <c r="A107" s="38" t="s">
        <v>526</v>
      </c>
      <c r="B107" s="8">
        <v>144904</v>
      </c>
      <c r="C107" s="8">
        <v>5690</v>
      </c>
      <c r="D107" s="38" t="s">
        <v>1064</v>
      </c>
      <c r="G107" s="38">
        <v>5690</v>
      </c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U107"/>
      <c r="V107"/>
      <c r="W107"/>
      <c r="X107"/>
      <c r="Y107"/>
      <c r="Z107"/>
      <c r="AA107"/>
    </row>
    <row r="108" spans="1:27" x14ac:dyDescent="0.25">
      <c r="A108" s="38" t="s">
        <v>526</v>
      </c>
      <c r="B108" s="8">
        <v>194471</v>
      </c>
      <c r="C108" s="8">
        <v>5690</v>
      </c>
      <c r="D108" s="38" t="s">
        <v>788</v>
      </c>
      <c r="G108" s="38">
        <v>5690</v>
      </c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U108"/>
      <c r="V108"/>
      <c r="W108"/>
      <c r="X108"/>
      <c r="Y108"/>
      <c r="Z108"/>
      <c r="AA108"/>
    </row>
    <row r="109" spans="1:27" x14ac:dyDescent="0.25">
      <c r="A109" s="38" t="s">
        <v>526</v>
      </c>
      <c r="B109" s="8">
        <v>144907</v>
      </c>
      <c r="C109" s="8">
        <v>5690</v>
      </c>
      <c r="D109" s="38" t="s">
        <v>789</v>
      </c>
      <c r="G109" s="38">
        <v>5690</v>
      </c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U109"/>
      <c r="V109"/>
      <c r="W109"/>
      <c r="X109"/>
      <c r="Y109"/>
      <c r="Z109"/>
      <c r="AA109"/>
    </row>
    <row r="110" spans="1:27" x14ac:dyDescent="0.25">
      <c r="A110" s="38" t="s">
        <v>526</v>
      </c>
      <c r="B110" s="8">
        <v>144985</v>
      </c>
      <c r="C110" s="8">
        <v>4990</v>
      </c>
      <c r="D110" s="38" t="s">
        <v>1065</v>
      </c>
      <c r="G110" s="38">
        <v>5690</v>
      </c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U110"/>
      <c r="V110"/>
      <c r="W110"/>
      <c r="X110"/>
      <c r="Y110"/>
      <c r="Z110"/>
      <c r="AA110"/>
    </row>
    <row r="111" spans="1:27" x14ac:dyDescent="0.25">
      <c r="A111" s="38" t="s">
        <v>526</v>
      </c>
      <c r="B111" s="8">
        <v>144852</v>
      </c>
      <c r="C111" s="8">
        <v>4890</v>
      </c>
      <c r="D111" s="38" t="s">
        <v>893</v>
      </c>
      <c r="G111" s="38">
        <v>4990</v>
      </c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U111"/>
      <c r="V111"/>
      <c r="W111"/>
      <c r="X111"/>
      <c r="Y111"/>
      <c r="Z111"/>
      <c r="AA111"/>
    </row>
    <row r="112" spans="1:27" x14ac:dyDescent="0.25">
      <c r="A112" s="38" t="s">
        <v>526</v>
      </c>
      <c r="B112" s="8">
        <v>144844</v>
      </c>
      <c r="C112" s="8">
        <v>4290</v>
      </c>
      <c r="D112" s="38" t="s">
        <v>1066</v>
      </c>
      <c r="G112" s="38">
        <v>4290</v>
      </c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U112"/>
      <c r="V112"/>
      <c r="W112"/>
      <c r="X112"/>
      <c r="Y112"/>
      <c r="Z112"/>
      <c r="AA112"/>
    </row>
    <row r="113" spans="1:27" x14ac:dyDescent="0.25">
      <c r="A113" s="38" t="s">
        <v>526</v>
      </c>
      <c r="B113" s="8">
        <v>144845</v>
      </c>
      <c r="C113" s="8">
        <v>4290</v>
      </c>
      <c r="D113" s="38" t="s">
        <v>790</v>
      </c>
      <c r="G113" s="38">
        <v>4290</v>
      </c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U113"/>
      <c r="V113"/>
      <c r="W113"/>
      <c r="X113"/>
      <c r="Y113"/>
      <c r="Z113"/>
      <c r="AA113"/>
    </row>
    <row r="114" spans="1:27" x14ac:dyDescent="0.25">
      <c r="A114" s="38" t="s">
        <v>526</v>
      </c>
      <c r="B114" s="8">
        <v>144846</v>
      </c>
      <c r="C114" s="8">
        <v>4290</v>
      </c>
      <c r="D114" s="38" t="s">
        <v>1067</v>
      </c>
      <c r="G114" s="38">
        <v>4290</v>
      </c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U114"/>
      <c r="V114"/>
      <c r="W114"/>
      <c r="X114"/>
      <c r="Y114"/>
      <c r="Z114"/>
      <c r="AA114"/>
    </row>
    <row r="115" spans="1:27" x14ac:dyDescent="0.25">
      <c r="A115" s="38" t="s">
        <v>526</v>
      </c>
      <c r="B115" s="8">
        <v>144854</v>
      </c>
      <c r="C115" s="8">
        <v>4990</v>
      </c>
      <c r="D115" s="38" t="s">
        <v>892</v>
      </c>
      <c r="G115" s="38">
        <v>5190</v>
      </c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U115"/>
      <c r="V115"/>
      <c r="W115"/>
      <c r="X115"/>
      <c r="Y115"/>
      <c r="Z115"/>
      <c r="AA115"/>
    </row>
    <row r="116" spans="1:27" x14ac:dyDescent="0.25">
      <c r="A116" s="38" t="s">
        <v>526</v>
      </c>
      <c r="B116" s="8">
        <v>144927</v>
      </c>
      <c r="C116" s="8"/>
      <c r="D116" s="38" t="s">
        <v>1068</v>
      </c>
      <c r="G116" s="38">
        <v>4590</v>
      </c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U116"/>
      <c r="V116"/>
      <c r="W116"/>
      <c r="X116"/>
      <c r="Y116"/>
      <c r="Z116"/>
      <c r="AA116"/>
    </row>
    <row r="117" spans="1:27" x14ac:dyDescent="0.25">
      <c r="A117" s="38" t="s">
        <v>526</v>
      </c>
      <c r="B117" s="8">
        <v>164568</v>
      </c>
      <c r="C117" s="8">
        <v>5890</v>
      </c>
      <c r="D117" s="38" t="s">
        <v>1070</v>
      </c>
      <c r="G117" s="38">
        <v>7890</v>
      </c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U117"/>
      <c r="V117"/>
      <c r="W117"/>
      <c r="X117"/>
      <c r="Y117"/>
      <c r="Z117"/>
      <c r="AA117"/>
    </row>
    <row r="118" spans="1:27" x14ac:dyDescent="0.25">
      <c r="A118" s="38" t="s">
        <v>526</v>
      </c>
      <c r="B118" s="8">
        <v>136869</v>
      </c>
      <c r="C118" s="8">
        <v>4390</v>
      </c>
      <c r="D118" s="38" t="s">
        <v>1071</v>
      </c>
      <c r="G118" s="38">
        <v>5190</v>
      </c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U118"/>
      <c r="V118"/>
      <c r="W118"/>
      <c r="X118"/>
      <c r="Y118"/>
      <c r="Z118"/>
      <c r="AA118"/>
    </row>
    <row r="119" spans="1:27" x14ac:dyDescent="0.25">
      <c r="A119" s="38" t="s">
        <v>526</v>
      </c>
      <c r="B119" s="8">
        <v>164570</v>
      </c>
      <c r="C119" s="8">
        <v>5890</v>
      </c>
      <c r="D119" s="38" t="s">
        <v>1072</v>
      </c>
      <c r="G119" s="38">
        <v>5890</v>
      </c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U119"/>
      <c r="V119"/>
      <c r="W119"/>
      <c r="X119"/>
      <c r="Y119"/>
      <c r="Z119"/>
      <c r="AA119"/>
    </row>
    <row r="120" spans="1:27" x14ac:dyDescent="0.25">
      <c r="A120" s="38" t="s">
        <v>526</v>
      </c>
      <c r="B120" s="8">
        <v>144901</v>
      </c>
      <c r="C120" s="8">
        <v>6090</v>
      </c>
      <c r="D120" s="38" t="s">
        <v>1073</v>
      </c>
      <c r="G120" s="38">
        <v>6290</v>
      </c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U120"/>
      <c r="V120"/>
      <c r="W120"/>
      <c r="X120"/>
      <c r="Y120"/>
      <c r="Z120"/>
      <c r="AA120"/>
    </row>
    <row r="121" spans="1:27" x14ac:dyDescent="0.25">
      <c r="A121" s="38" t="s">
        <v>526</v>
      </c>
      <c r="B121" s="8">
        <v>144900</v>
      </c>
      <c r="C121" s="8"/>
      <c r="D121" s="38"/>
      <c r="G121" s="38" t="s">
        <v>1214</v>
      </c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U121"/>
      <c r="V121"/>
      <c r="W121"/>
      <c r="X121"/>
      <c r="Y121"/>
      <c r="Z121"/>
      <c r="AA121"/>
    </row>
    <row r="122" spans="1:27" x14ac:dyDescent="0.25">
      <c r="A122" s="38" t="s">
        <v>526</v>
      </c>
      <c r="B122" s="8">
        <v>164579</v>
      </c>
      <c r="C122" s="8">
        <v>5690</v>
      </c>
      <c r="D122" s="38" t="s">
        <v>1109</v>
      </c>
      <c r="G122" s="38">
        <v>5690</v>
      </c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U122"/>
      <c r="V122"/>
      <c r="W122"/>
      <c r="X122"/>
      <c r="Y122"/>
      <c r="Z122"/>
      <c r="AA122"/>
    </row>
    <row r="123" spans="1:27" x14ac:dyDescent="0.25">
      <c r="A123" s="38" t="s">
        <v>526</v>
      </c>
      <c r="B123" s="8">
        <v>201274</v>
      </c>
      <c r="C123" s="8">
        <v>7890</v>
      </c>
      <c r="D123" s="38" t="s">
        <v>791</v>
      </c>
      <c r="G123" s="38">
        <v>8890</v>
      </c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U123"/>
      <c r="V123"/>
      <c r="W123"/>
      <c r="X123"/>
      <c r="Y123"/>
      <c r="Z123"/>
      <c r="AA123"/>
    </row>
    <row r="124" spans="1:27" x14ac:dyDescent="0.25">
      <c r="A124" s="38" t="s">
        <v>526</v>
      </c>
      <c r="B124" s="8">
        <v>136867</v>
      </c>
      <c r="C124" s="8">
        <v>4390</v>
      </c>
      <c r="D124" s="38" t="s">
        <v>1071</v>
      </c>
      <c r="G124" s="38">
        <v>5190</v>
      </c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U124"/>
      <c r="V124"/>
      <c r="W124"/>
      <c r="X124"/>
      <c r="Y124"/>
      <c r="Z124"/>
      <c r="AA124"/>
    </row>
    <row r="125" spans="1:27" x14ac:dyDescent="0.25">
      <c r="A125" s="38" t="s">
        <v>526</v>
      </c>
      <c r="B125" s="8">
        <v>136868</v>
      </c>
      <c r="C125" s="8">
        <v>7190</v>
      </c>
      <c r="D125" s="38" t="s">
        <v>1074</v>
      </c>
      <c r="G125" s="38">
        <v>7190</v>
      </c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U125"/>
      <c r="V125"/>
      <c r="W125"/>
      <c r="X125"/>
      <c r="Y125"/>
      <c r="Z125"/>
      <c r="AA125"/>
    </row>
    <row r="126" spans="1:27" x14ac:dyDescent="0.25">
      <c r="A126" s="38" t="s">
        <v>526</v>
      </c>
      <c r="B126" s="8">
        <v>144954</v>
      </c>
      <c r="C126" s="8">
        <v>8790</v>
      </c>
      <c r="D126" s="38" t="s">
        <v>1147</v>
      </c>
      <c r="G126" s="38">
        <v>8790</v>
      </c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U126"/>
      <c r="V126"/>
      <c r="W126"/>
      <c r="X126"/>
      <c r="Y126"/>
      <c r="Z126"/>
      <c r="AA126"/>
    </row>
    <row r="127" spans="1:27" x14ac:dyDescent="0.25">
      <c r="A127" s="38" t="s">
        <v>526</v>
      </c>
      <c r="B127" s="8">
        <v>144860</v>
      </c>
      <c r="C127" s="8">
        <v>6390</v>
      </c>
      <c r="D127" s="38" t="s">
        <v>1108</v>
      </c>
      <c r="G127" s="38">
        <v>7190</v>
      </c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U127"/>
      <c r="V127"/>
      <c r="W127"/>
      <c r="X127"/>
      <c r="Y127"/>
      <c r="Z127"/>
      <c r="AA127"/>
    </row>
    <row r="128" spans="1:27" x14ac:dyDescent="0.25">
      <c r="A128" s="38" t="s">
        <v>526</v>
      </c>
      <c r="B128" s="8">
        <v>144953</v>
      </c>
      <c r="C128" s="8">
        <v>7190</v>
      </c>
      <c r="D128" s="38" t="s">
        <v>1107</v>
      </c>
      <c r="G128" s="38">
        <v>7190</v>
      </c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U128"/>
      <c r="V128"/>
      <c r="W128"/>
      <c r="X128"/>
      <c r="Y128"/>
      <c r="Z128"/>
      <c r="AA128"/>
    </row>
    <row r="129" spans="1:27" x14ac:dyDescent="0.25">
      <c r="A129" s="38" t="s">
        <v>526</v>
      </c>
      <c r="B129" s="8">
        <v>144838</v>
      </c>
      <c r="C129" s="8">
        <v>6390</v>
      </c>
      <c r="D129" s="38" t="s">
        <v>1075</v>
      </c>
      <c r="G129" s="38">
        <v>6390</v>
      </c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U129"/>
      <c r="V129"/>
      <c r="W129"/>
      <c r="X129"/>
      <c r="Y129"/>
      <c r="Z129"/>
      <c r="AA129"/>
    </row>
    <row r="130" spans="1:27" x14ac:dyDescent="0.25">
      <c r="A130" s="38" t="s">
        <v>526</v>
      </c>
      <c r="B130" s="8">
        <v>144906</v>
      </c>
      <c r="C130" s="8">
        <v>6390</v>
      </c>
      <c r="D130" s="38" t="s">
        <v>1076</v>
      </c>
      <c r="G130" s="38">
        <v>7190</v>
      </c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U130"/>
      <c r="V130"/>
      <c r="W130"/>
      <c r="X130"/>
      <c r="Y130"/>
      <c r="Z130"/>
      <c r="AA130"/>
    </row>
    <row r="131" spans="1:27" x14ac:dyDescent="0.25">
      <c r="A131" s="38" t="s">
        <v>526</v>
      </c>
      <c r="B131" s="8">
        <v>144908</v>
      </c>
      <c r="C131" s="8">
        <v>7890</v>
      </c>
      <c r="D131" s="38" t="s">
        <v>1077</v>
      </c>
      <c r="G131" s="38">
        <v>8590</v>
      </c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U131"/>
      <c r="V131"/>
      <c r="W131"/>
      <c r="X131"/>
      <c r="Y131"/>
      <c r="Z131"/>
      <c r="AA131"/>
    </row>
    <row r="132" spans="1:27" x14ac:dyDescent="0.25">
      <c r="A132" s="38" t="s">
        <v>526</v>
      </c>
      <c r="B132" s="8">
        <v>144943</v>
      </c>
      <c r="C132" s="8">
        <v>7890</v>
      </c>
      <c r="D132" s="38" t="s">
        <v>1078</v>
      </c>
      <c r="G132" s="38">
        <v>8590</v>
      </c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U132"/>
      <c r="V132"/>
      <c r="W132"/>
      <c r="X132"/>
      <c r="Y132"/>
      <c r="Z132"/>
      <c r="AA132"/>
    </row>
    <row r="133" spans="1:27" x14ac:dyDescent="0.25">
      <c r="A133" s="38" t="s">
        <v>526</v>
      </c>
      <c r="B133" s="8">
        <v>144855</v>
      </c>
      <c r="C133" s="8">
        <v>7190</v>
      </c>
      <c r="D133" s="38" t="s">
        <v>1079</v>
      </c>
      <c r="G133" s="38">
        <v>7190</v>
      </c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U133"/>
      <c r="V133"/>
      <c r="W133"/>
      <c r="X133"/>
      <c r="Y133"/>
      <c r="Z133"/>
      <c r="AA133"/>
    </row>
    <row r="134" spans="1:27" x14ac:dyDescent="0.25">
      <c r="A134" s="38" t="s">
        <v>526</v>
      </c>
      <c r="B134" s="8">
        <v>144859</v>
      </c>
      <c r="C134" s="8">
        <v>8590</v>
      </c>
      <c r="D134" s="38" t="s">
        <v>891</v>
      </c>
      <c r="G134" s="38">
        <v>7890</v>
      </c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U134"/>
      <c r="V134"/>
      <c r="W134"/>
      <c r="X134"/>
      <c r="Y134"/>
      <c r="Z134"/>
      <c r="AA134"/>
    </row>
    <row r="135" spans="1:27" x14ac:dyDescent="0.25">
      <c r="A135" s="38" t="s">
        <v>526</v>
      </c>
      <c r="B135" s="8">
        <v>164580</v>
      </c>
      <c r="C135" s="8">
        <v>8890</v>
      </c>
      <c r="D135" s="38" t="s">
        <v>1080</v>
      </c>
      <c r="G135" s="38">
        <v>7890</v>
      </c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U135"/>
      <c r="V135"/>
      <c r="W135"/>
      <c r="X135"/>
      <c r="Y135"/>
      <c r="Z135"/>
      <c r="AA135"/>
    </row>
    <row r="136" spans="1:27" x14ac:dyDescent="0.25">
      <c r="A136" s="38" t="s">
        <v>526</v>
      </c>
      <c r="B136" s="8">
        <v>164569</v>
      </c>
      <c r="C136" s="8">
        <v>5790</v>
      </c>
      <c r="D136" s="38" t="s">
        <v>1081</v>
      </c>
      <c r="G136" s="38">
        <v>5790</v>
      </c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U136"/>
      <c r="V136"/>
      <c r="W136"/>
      <c r="X136"/>
      <c r="Y136"/>
      <c r="Z136"/>
      <c r="AA136"/>
    </row>
    <row r="137" spans="1:27" x14ac:dyDescent="0.25">
      <c r="A137" s="38" t="s">
        <v>526</v>
      </c>
      <c r="B137" s="8">
        <v>164571</v>
      </c>
      <c r="C137" s="8">
        <v>8590</v>
      </c>
      <c r="D137" s="38" t="s">
        <v>1082</v>
      </c>
      <c r="G137" s="38">
        <v>8590</v>
      </c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U137"/>
      <c r="V137"/>
      <c r="W137"/>
      <c r="X137"/>
      <c r="Y137"/>
      <c r="Z137"/>
      <c r="AA137"/>
    </row>
    <row r="138" spans="1:27" x14ac:dyDescent="0.25">
      <c r="A138" s="38" t="s">
        <v>526</v>
      </c>
      <c r="B138" s="8">
        <v>144996</v>
      </c>
      <c r="C138" s="8">
        <v>8590</v>
      </c>
      <c r="D138" s="38" t="s">
        <v>1083</v>
      </c>
      <c r="G138" s="38">
        <v>8590</v>
      </c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U138"/>
      <c r="V138"/>
      <c r="W138"/>
      <c r="X138"/>
      <c r="Y138"/>
      <c r="Z138"/>
      <c r="AA138"/>
    </row>
    <row r="139" spans="1:27" x14ac:dyDescent="0.25">
      <c r="A139" s="38" t="s">
        <v>526</v>
      </c>
      <c r="B139" s="8">
        <v>144839</v>
      </c>
      <c r="C139" s="8">
        <v>7190</v>
      </c>
      <c r="D139" s="38" t="s">
        <v>1084</v>
      </c>
      <c r="G139" s="38">
        <v>7190</v>
      </c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U139"/>
      <c r="V139"/>
      <c r="W139"/>
      <c r="X139"/>
      <c r="Y139"/>
      <c r="Z139"/>
      <c r="AA139"/>
    </row>
    <row r="140" spans="1:27" x14ac:dyDescent="0.25">
      <c r="A140" s="38" t="s">
        <v>526</v>
      </c>
      <c r="B140" s="8">
        <v>144853</v>
      </c>
      <c r="C140" s="8">
        <v>7190</v>
      </c>
      <c r="D140" s="38" t="s">
        <v>792</v>
      </c>
      <c r="G140" s="38">
        <v>8590</v>
      </c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U140"/>
      <c r="V140"/>
      <c r="W140"/>
      <c r="X140"/>
      <c r="Y140"/>
      <c r="Z140"/>
      <c r="AA140"/>
    </row>
    <row r="141" spans="1:27" x14ac:dyDescent="0.25">
      <c r="A141" s="38" t="s">
        <v>526</v>
      </c>
      <c r="B141" s="8">
        <v>144857</v>
      </c>
      <c r="C141" s="8">
        <v>7890</v>
      </c>
      <c r="D141" s="38" t="s">
        <v>1085</v>
      </c>
      <c r="G141" s="38">
        <v>7890</v>
      </c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U141"/>
      <c r="V141"/>
      <c r="W141"/>
      <c r="X141"/>
      <c r="Y141"/>
      <c r="Z141"/>
      <c r="AA141"/>
    </row>
    <row r="142" spans="1:27" x14ac:dyDescent="0.25">
      <c r="A142" s="38" t="s">
        <v>526</v>
      </c>
      <c r="B142" s="8">
        <v>145009</v>
      </c>
      <c r="C142" s="8">
        <v>8890</v>
      </c>
      <c r="D142" s="38" t="s">
        <v>1086</v>
      </c>
      <c r="G142" s="38">
        <v>9590</v>
      </c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U142"/>
      <c r="V142"/>
      <c r="W142"/>
      <c r="X142"/>
      <c r="Y142"/>
      <c r="Z142"/>
      <c r="AA142"/>
    </row>
    <row r="143" spans="1:27" x14ac:dyDescent="0.25">
      <c r="A143" s="38" t="s">
        <v>526</v>
      </c>
      <c r="B143" s="8">
        <v>144871</v>
      </c>
      <c r="C143" s="8">
        <v>8890</v>
      </c>
      <c r="D143" s="38" t="s">
        <v>793</v>
      </c>
      <c r="G143" s="38">
        <v>9590</v>
      </c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U143"/>
      <c r="V143"/>
      <c r="W143"/>
      <c r="X143"/>
      <c r="Y143"/>
      <c r="Z143"/>
      <c r="AA143"/>
    </row>
    <row r="144" spans="1:27" x14ac:dyDescent="0.25">
      <c r="A144" s="38" t="s">
        <v>526</v>
      </c>
      <c r="B144" s="8">
        <v>144892</v>
      </c>
      <c r="C144" s="8">
        <v>8890</v>
      </c>
      <c r="D144" s="38" t="s">
        <v>794</v>
      </c>
      <c r="G144" s="38">
        <v>9590</v>
      </c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U144"/>
      <c r="V144"/>
      <c r="W144"/>
      <c r="X144"/>
      <c r="Y144"/>
      <c r="Z144"/>
      <c r="AA144"/>
    </row>
    <row r="145" spans="1:27" x14ac:dyDescent="0.25">
      <c r="A145" s="38" t="s">
        <v>526</v>
      </c>
      <c r="B145" s="8">
        <v>144872</v>
      </c>
      <c r="C145" s="8">
        <v>7890</v>
      </c>
      <c r="D145" s="38" t="s">
        <v>1087</v>
      </c>
      <c r="G145" s="38">
        <v>9590</v>
      </c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U145"/>
      <c r="V145"/>
      <c r="W145"/>
      <c r="X145"/>
      <c r="Y145"/>
      <c r="Z145"/>
      <c r="AA145"/>
    </row>
    <row r="146" spans="1:27" x14ac:dyDescent="0.25">
      <c r="A146" s="38" t="s">
        <v>526</v>
      </c>
      <c r="B146" s="8">
        <v>144874</v>
      </c>
      <c r="C146" s="8">
        <v>10990</v>
      </c>
      <c r="D146" s="38" t="s">
        <v>1088</v>
      </c>
      <c r="G146" s="38">
        <v>11690</v>
      </c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U146"/>
      <c r="V146"/>
      <c r="W146"/>
      <c r="X146"/>
      <c r="Y146"/>
      <c r="Z146"/>
      <c r="AA146"/>
    </row>
    <row r="147" spans="1:27" x14ac:dyDescent="0.25">
      <c r="A147" s="38" t="s">
        <v>526</v>
      </c>
      <c r="B147" s="8">
        <v>144910</v>
      </c>
      <c r="C147" s="8">
        <v>8890</v>
      </c>
      <c r="D147" s="38" t="s">
        <v>890</v>
      </c>
      <c r="G147" s="38">
        <v>9590</v>
      </c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U147"/>
      <c r="V147"/>
      <c r="W147"/>
      <c r="X147"/>
      <c r="Y147"/>
      <c r="Z147"/>
      <c r="AA147"/>
    </row>
    <row r="148" spans="1:27" x14ac:dyDescent="0.25">
      <c r="A148" s="38" t="s">
        <v>526</v>
      </c>
      <c r="B148" s="8">
        <v>144911</v>
      </c>
      <c r="C148" s="8">
        <v>8890</v>
      </c>
      <c r="D148" s="38" t="s">
        <v>1089</v>
      </c>
      <c r="G148" s="38">
        <v>9590</v>
      </c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U148"/>
      <c r="V148"/>
      <c r="W148"/>
      <c r="X148"/>
      <c r="Y148"/>
      <c r="Z148"/>
      <c r="AA148"/>
    </row>
    <row r="149" spans="1:27" x14ac:dyDescent="0.25">
      <c r="A149" s="38" t="s">
        <v>526</v>
      </c>
      <c r="B149" s="8">
        <v>144856</v>
      </c>
      <c r="C149" s="8">
        <v>8590</v>
      </c>
      <c r="D149" s="38" t="s">
        <v>1090</v>
      </c>
      <c r="G149" s="38">
        <v>8890</v>
      </c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U149"/>
      <c r="V149"/>
      <c r="W149"/>
      <c r="X149"/>
      <c r="Y149"/>
      <c r="Z149"/>
      <c r="AA149"/>
    </row>
    <row r="150" spans="1:27" x14ac:dyDescent="0.25">
      <c r="A150" s="38" t="s">
        <v>526</v>
      </c>
      <c r="B150" s="8">
        <v>144858</v>
      </c>
      <c r="C150" s="8">
        <v>8390</v>
      </c>
      <c r="D150" s="38" t="s">
        <v>795</v>
      </c>
      <c r="G150" s="38">
        <v>8590</v>
      </c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U150"/>
      <c r="V150"/>
      <c r="W150"/>
      <c r="X150"/>
      <c r="Y150"/>
      <c r="Z150"/>
      <c r="AA150"/>
    </row>
    <row r="151" spans="1:27" x14ac:dyDescent="0.25">
      <c r="A151" s="38" t="s">
        <v>526</v>
      </c>
      <c r="B151" s="8">
        <v>144998</v>
      </c>
      <c r="C151" s="8">
        <v>8590</v>
      </c>
      <c r="D151" s="38" t="s">
        <v>796</v>
      </c>
      <c r="G151" s="38">
        <v>10990</v>
      </c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U151"/>
      <c r="V151"/>
      <c r="W151"/>
      <c r="X151"/>
      <c r="Y151"/>
      <c r="Z151"/>
      <c r="AA151"/>
    </row>
    <row r="152" spans="1:27" x14ac:dyDescent="0.25">
      <c r="A152" s="38" t="s">
        <v>526</v>
      </c>
      <c r="B152" s="8">
        <v>145000</v>
      </c>
      <c r="C152" s="8">
        <v>10990</v>
      </c>
      <c r="D152" s="38" t="s">
        <v>797</v>
      </c>
      <c r="G152" s="38">
        <v>10990</v>
      </c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U152"/>
      <c r="V152"/>
      <c r="W152"/>
      <c r="X152"/>
      <c r="Y152"/>
      <c r="Z152"/>
      <c r="AA152"/>
    </row>
    <row r="153" spans="1:27" x14ac:dyDescent="0.25">
      <c r="A153" s="38" t="s">
        <v>526</v>
      </c>
      <c r="B153" s="8">
        <v>144981</v>
      </c>
      <c r="C153" s="8">
        <v>11690</v>
      </c>
      <c r="D153" s="38" t="s">
        <v>1091</v>
      </c>
      <c r="G153" s="38">
        <v>8890</v>
      </c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U153"/>
      <c r="V153"/>
      <c r="W153"/>
      <c r="X153"/>
      <c r="Y153"/>
      <c r="Z153"/>
      <c r="AA153"/>
    </row>
    <row r="154" spans="1:27" x14ac:dyDescent="0.25">
      <c r="A154" s="38" t="s">
        <v>526</v>
      </c>
      <c r="B154" s="8">
        <v>223870</v>
      </c>
      <c r="C154" s="8">
        <v>5990</v>
      </c>
      <c r="D154" s="38" t="s">
        <v>798</v>
      </c>
      <c r="G154" s="38">
        <v>5990</v>
      </c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U154"/>
      <c r="V154"/>
      <c r="W154"/>
      <c r="X154"/>
      <c r="Y154"/>
      <c r="Z154"/>
      <c r="AA154"/>
    </row>
    <row r="155" spans="1:27" x14ac:dyDescent="0.25">
      <c r="A155" s="38" t="s">
        <v>526</v>
      </c>
      <c r="B155" s="8">
        <v>144983</v>
      </c>
      <c r="C155" s="8">
        <v>13790</v>
      </c>
      <c r="D155" s="38" t="s">
        <v>888</v>
      </c>
      <c r="G155" s="38">
        <v>13790</v>
      </c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U155"/>
      <c r="V155"/>
      <c r="W155"/>
      <c r="X155"/>
      <c r="Y155"/>
      <c r="Z155"/>
      <c r="AA155"/>
    </row>
    <row r="156" spans="1:27" x14ac:dyDescent="0.25">
      <c r="A156" s="38" t="s">
        <v>526</v>
      </c>
      <c r="B156" s="8">
        <v>144982</v>
      </c>
      <c r="C156" s="8">
        <v>8890</v>
      </c>
      <c r="D156" s="38" t="s">
        <v>889</v>
      </c>
      <c r="G156" s="38">
        <v>8890</v>
      </c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U156"/>
      <c r="V156"/>
      <c r="W156"/>
      <c r="X156"/>
      <c r="Y156"/>
      <c r="Z156"/>
      <c r="AA156"/>
    </row>
    <row r="157" spans="1:27" x14ac:dyDescent="0.25">
      <c r="A157" s="38" t="s">
        <v>526</v>
      </c>
      <c r="B157" s="8">
        <v>144873</v>
      </c>
      <c r="C157" s="8">
        <v>10990</v>
      </c>
      <c r="D157" s="38" t="s">
        <v>1092</v>
      </c>
      <c r="G157" s="38">
        <v>10990</v>
      </c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U157"/>
      <c r="V157"/>
      <c r="W157"/>
      <c r="X157"/>
      <c r="Y157"/>
      <c r="Z157"/>
      <c r="AA157"/>
    </row>
    <row r="158" spans="1:27" x14ac:dyDescent="0.25">
      <c r="A158" s="38" t="s">
        <v>526</v>
      </c>
      <c r="B158" s="8">
        <v>144875</v>
      </c>
      <c r="C158" s="8">
        <v>10990</v>
      </c>
      <c r="D158" s="38" t="s">
        <v>1093</v>
      </c>
      <c r="G158" s="38">
        <v>10990</v>
      </c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U158"/>
      <c r="V158"/>
      <c r="W158"/>
      <c r="X158"/>
      <c r="Y158"/>
      <c r="Z158"/>
      <c r="AA158"/>
    </row>
    <row r="159" spans="1:27" x14ac:dyDescent="0.25">
      <c r="A159" s="38" t="s">
        <v>526</v>
      </c>
      <c r="B159" s="8">
        <v>144876</v>
      </c>
      <c r="C159" s="8">
        <v>10990</v>
      </c>
      <c r="D159" s="38" t="s">
        <v>799</v>
      </c>
      <c r="G159" s="38">
        <v>11690</v>
      </c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U159"/>
      <c r="V159"/>
      <c r="W159"/>
      <c r="X159"/>
      <c r="Y159"/>
      <c r="Z159"/>
      <c r="AA159"/>
    </row>
    <row r="160" spans="1:27" x14ac:dyDescent="0.25">
      <c r="A160" s="38" t="s">
        <v>526</v>
      </c>
      <c r="B160" s="8">
        <v>144808</v>
      </c>
      <c r="C160" s="8">
        <v>10290</v>
      </c>
      <c r="D160" s="38" t="s">
        <v>887</v>
      </c>
      <c r="G160" s="38">
        <v>10290</v>
      </c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U160"/>
      <c r="V160"/>
      <c r="W160"/>
      <c r="X160"/>
      <c r="Y160"/>
      <c r="Z160"/>
      <c r="AA160"/>
    </row>
    <row r="161" spans="1:27" x14ac:dyDescent="0.25">
      <c r="A161" s="38" t="s">
        <v>526</v>
      </c>
      <c r="B161" s="8">
        <v>144809</v>
      </c>
      <c r="C161" s="8">
        <v>10290</v>
      </c>
      <c r="D161" s="38" t="s">
        <v>800</v>
      </c>
      <c r="G161" s="38">
        <v>10290</v>
      </c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U161"/>
      <c r="V161"/>
      <c r="W161"/>
      <c r="X161"/>
      <c r="Y161"/>
      <c r="Z161"/>
      <c r="AA161"/>
    </row>
    <row r="162" spans="1:27" x14ac:dyDescent="0.25">
      <c r="A162" s="38" t="s">
        <v>526</v>
      </c>
      <c r="B162" s="8">
        <v>144986</v>
      </c>
      <c r="C162" s="8">
        <v>8590</v>
      </c>
      <c r="D162" s="38" t="s">
        <v>1094</v>
      </c>
      <c r="G162" s="38">
        <v>8590</v>
      </c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U162"/>
      <c r="V162"/>
      <c r="W162"/>
      <c r="X162"/>
      <c r="Y162"/>
      <c r="Z162"/>
      <c r="AA162"/>
    </row>
    <row r="163" spans="1:27" x14ac:dyDescent="0.25">
      <c r="A163" s="38" t="s">
        <v>526</v>
      </c>
      <c r="B163" s="8">
        <v>144987</v>
      </c>
      <c r="C163" s="8">
        <v>10990</v>
      </c>
      <c r="D163" s="38" t="s">
        <v>1095</v>
      </c>
      <c r="G163" s="38">
        <v>10990</v>
      </c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U163"/>
      <c r="V163"/>
      <c r="W163"/>
      <c r="X163"/>
      <c r="Y163"/>
      <c r="Z163"/>
      <c r="AA163"/>
    </row>
    <row r="164" spans="1:27" x14ac:dyDescent="0.25">
      <c r="A164" s="38" t="s">
        <v>526</v>
      </c>
      <c r="B164" s="8">
        <v>144988</v>
      </c>
      <c r="C164" s="8">
        <v>10990</v>
      </c>
      <c r="D164" s="38" t="s">
        <v>886</v>
      </c>
      <c r="G164" s="38">
        <v>10990</v>
      </c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U164"/>
      <c r="V164"/>
      <c r="W164"/>
      <c r="X164"/>
      <c r="Y164"/>
      <c r="Z164"/>
      <c r="AA164"/>
    </row>
    <row r="165" spans="1:27" x14ac:dyDescent="0.25">
      <c r="A165" s="38" t="s">
        <v>526</v>
      </c>
      <c r="B165" s="8">
        <v>144990</v>
      </c>
      <c r="C165" s="8">
        <v>8590</v>
      </c>
      <c r="D165" s="38" t="s">
        <v>1096</v>
      </c>
      <c r="G165" s="38">
        <v>8890</v>
      </c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U165"/>
      <c r="V165"/>
      <c r="W165"/>
      <c r="X165"/>
      <c r="Y165"/>
      <c r="Z165"/>
      <c r="AA165"/>
    </row>
    <row r="166" spans="1:27" x14ac:dyDescent="0.25">
      <c r="A166" s="38" t="s">
        <v>526</v>
      </c>
      <c r="B166" s="8">
        <v>144993</v>
      </c>
      <c r="C166" s="8">
        <v>8890</v>
      </c>
      <c r="D166" s="38" t="s">
        <v>1097</v>
      </c>
      <c r="G166" s="38">
        <v>8890</v>
      </c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U166"/>
      <c r="V166"/>
      <c r="W166"/>
      <c r="X166"/>
      <c r="Y166"/>
      <c r="Z166"/>
      <c r="AA166"/>
    </row>
    <row r="167" spans="1:27" x14ac:dyDescent="0.25">
      <c r="A167" s="38" t="s">
        <v>526</v>
      </c>
      <c r="B167" s="8">
        <v>144994</v>
      </c>
      <c r="C167" s="8">
        <v>8590</v>
      </c>
      <c r="D167" s="38" t="s">
        <v>801</v>
      </c>
      <c r="G167" s="38">
        <v>8890</v>
      </c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U167"/>
      <c r="V167"/>
      <c r="W167"/>
      <c r="X167"/>
      <c r="Y167"/>
      <c r="Z167"/>
      <c r="AA167"/>
    </row>
    <row r="168" spans="1:27" x14ac:dyDescent="0.25">
      <c r="A168" s="38" t="s">
        <v>526</v>
      </c>
      <c r="B168" s="8">
        <v>144877</v>
      </c>
      <c r="C168" s="8">
        <v>10990</v>
      </c>
      <c r="D168" s="38" t="s">
        <v>1098</v>
      </c>
      <c r="G168" s="38">
        <v>11690</v>
      </c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U168"/>
      <c r="V168"/>
      <c r="W168"/>
      <c r="X168"/>
      <c r="Y168"/>
      <c r="Z168"/>
      <c r="AA168"/>
    </row>
    <row r="169" spans="1:27" x14ac:dyDescent="0.25">
      <c r="A169" s="38" t="s">
        <v>526</v>
      </c>
      <c r="B169" s="8">
        <v>144909</v>
      </c>
      <c r="C169" s="8">
        <v>10290</v>
      </c>
      <c r="D169" s="38" t="s">
        <v>885</v>
      </c>
      <c r="G169" s="38">
        <v>10290</v>
      </c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U169"/>
      <c r="V169"/>
      <c r="W169"/>
      <c r="X169"/>
      <c r="Y169"/>
      <c r="Z169"/>
      <c r="AA169"/>
    </row>
    <row r="170" spans="1:27" x14ac:dyDescent="0.25">
      <c r="A170" s="38" t="s">
        <v>526</v>
      </c>
      <c r="B170" s="8">
        <v>144991</v>
      </c>
      <c r="C170" s="8">
        <v>9590</v>
      </c>
      <c r="D170" s="38" t="s">
        <v>1099</v>
      </c>
      <c r="G170" s="38">
        <v>12390</v>
      </c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U170"/>
      <c r="V170"/>
      <c r="W170"/>
      <c r="X170"/>
      <c r="Y170"/>
      <c r="Z170"/>
      <c r="AA170"/>
    </row>
    <row r="171" spans="1:27" x14ac:dyDescent="0.25">
      <c r="A171" s="38" t="s">
        <v>526</v>
      </c>
      <c r="B171" s="8">
        <v>144912</v>
      </c>
      <c r="C171" s="8">
        <v>10290</v>
      </c>
      <c r="D171" s="38" t="s">
        <v>802</v>
      </c>
      <c r="G171" s="38">
        <v>10990</v>
      </c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U171"/>
      <c r="V171"/>
      <c r="W171"/>
      <c r="X171"/>
      <c r="Y171"/>
      <c r="Z171"/>
      <c r="AA171"/>
    </row>
    <row r="172" spans="1:27" x14ac:dyDescent="0.25">
      <c r="A172" s="38" t="s">
        <v>526</v>
      </c>
      <c r="B172" s="8">
        <v>144890</v>
      </c>
      <c r="C172" s="8">
        <v>10990</v>
      </c>
      <c r="D172" s="38" t="s">
        <v>1100</v>
      </c>
      <c r="G172" s="38">
        <v>10990</v>
      </c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U172"/>
      <c r="V172"/>
      <c r="W172"/>
      <c r="X172"/>
      <c r="Y172"/>
      <c r="Z172"/>
      <c r="AA172"/>
    </row>
    <row r="173" spans="1:27" x14ac:dyDescent="0.25">
      <c r="A173" s="38" t="s">
        <v>526</v>
      </c>
      <c r="B173" s="8">
        <v>144891</v>
      </c>
      <c r="C173" s="8">
        <v>10990</v>
      </c>
      <c r="D173" s="38" t="s">
        <v>1101</v>
      </c>
      <c r="G173" s="38">
        <v>10990</v>
      </c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U173"/>
      <c r="V173"/>
      <c r="W173"/>
      <c r="X173"/>
      <c r="Y173"/>
      <c r="Z173"/>
      <c r="AA173"/>
    </row>
    <row r="174" spans="1:27" x14ac:dyDescent="0.25">
      <c r="A174" s="38" t="s">
        <v>526</v>
      </c>
      <c r="B174" s="8">
        <v>144964</v>
      </c>
      <c r="C174" s="8">
        <v>10990</v>
      </c>
      <c r="D174" s="38" t="s">
        <v>803</v>
      </c>
      <c r="G174" s="38">
        <v>10990</v>
      </c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U174"/>
      <c r="V174"/>
      <c r="W174"/>
      <c r="X174"/>
      <c r="Y174"/>
      <c r="Z174"/>
      <c r="AA174"/>
    </row>
    <row r="175" spans="1:27" x14ac:dyDescent="0.25">
      <c r="A175" s="38" t="s">
        <v>526</v>
      </c>
      <c r="B175" s="8">
        <v>144893</v>
      </c>
      <c r="C175" s="8">
        <v>10990</v>
      </c>
      <c r="D175" s="38" t="s">
        <v>1102</v>
      </c>
      <c r="G175" s="38">
        <v>11690</v>
      </c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U175"/>
      <c r="V175"/>
      <c r="W175"/>
      <c r="X175"/>
      <c r="Y175"/>
      <c r="Z175"/>
      <c r="AA175"/>
    </row>
    <row r="176" spans="1:27" x14ac:dyDescent="0.25">
      <c r="A176" s="38" t="s">
        <v>526</v>
      </c>
      <c r="B176" s="8">
        <v>144878</v>
      </c>
      <c r="C176" s="8">
        <v>10990</v>
      </c>
      <c r="D176" s="38" t="s">
        <v>1103</v>
      </c>
      <c r="G176" s="38">
        <v>11690</v>
      </c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U176"/>
      <c r="V176"/>
      <c r="W176"/>
      <c r="X176"/>
      <c r="Y176"/>
      <c r="Z176"/>
      <c r="AA176"/>
    </row>
    <row r="177" spans="1:27" x14ac:dyDescent="0.25">
      <c r="A177" s="38" t="s">
        <v>526</v>
      </c>
      <c r="B177" s="8">
        <v>144803</v>
      </c>
      <c r="C177" s="8">
        <v>10990</v>
      </c>
      <c r="D177" s="38" t="s">
        <v>804</v>
      </c>
      <c r="G177" s="38">
        <v>10990</v>
      </c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U177"/>
      <c r="V177"/>
      <c r="W177"/>
      <c r="X177"/>
      <c r="Y177"/>
      <c r="Z177"/>
      <c r="AA177"/>
    </row>
    <row r="178" spans="1:27" x14ac:dyDescent="0.25">
      <c r="A178" s="38" t="s">
        <v>526</v>
      </c>
      <c r="B178" s="8">
        <v>144879</v>
      </c>
      <c r="C178" s="8">
        <v>10990</v>
      </c>
      <c r="D178" s="38" t="s">
        <v>804</v>
      </c>
      <c r="G178" s="38">
        <v>10990</v>
      </c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U178"/>
      <c r="V178"/>
      <c r="W178"/>
      <c r="X178"/>
      <c r="Y178"/>
      <c r="Z178"/>
      <c r="AA178"/>
    </row>
    <row r="179" spans="1:27" x14ac:dyDescent="0.25">
      <c r="A179" s="38" t="s">
        <v>526</v>
      </c>
      <c r="B179" s="8">
        <v>144880</v>
      </c>
      <c r="C179" s="8">
        <v>10990</v>
      </c>
      <c r="D179" s="38" t="s">
        <v>1104</v>
      </c>
      <c r="G179" s="38">
        <v>10990</v>
      </c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U179"/>
      <c r="V179"/>
      <c r="W179"/>
      <c r="X179"/>
      <c r="Y179"/>
      <c r="Z179"/>
      <c r="AA179"/>
    </row>
    <row r="180" spans="1:27" x14ac:dyDescent="0.25">
      <c r="A180" s="38" t="s">
        <v>526</v>
      </c>
      <c r="B180" s="8">
        <v>144881</v>
      </c>
      <c r="C180" s="8">
        <v>10990</v>
      </c>
      <c r="D180" s="38" t="s">
        <v>1105</v>
      </c>
      <c r="G180" s="38">
        <v>10990</v>
      </c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U180"/>
      <c r="V180"/>
      <c r="W180"/>
      <c r="X180"/>
      <c r="Y180"/>
      <c r="Z180"/>
      <c r="AA180"/>
    </row>
    <row r="181" spans="1:27" x14ac:dyDescent="0.25">
      <c r="A181" s="38" t="s">
        <v>526</v>
      </c>
      <c r="B181" s="8">
        <v>144882</v>
      </c>
      <c r="C181" s="8">
        <v>10990</v>
      </c>
      <c r="D181" s="38" t="s">
        <v>1106</v>
      </c>
      <c r="G181" s="38">
        <v>12390</v>
      </c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U181"/>
      <c r="V181"/>
      <c r="W181"/>
      <c r="X181"/>
      <c r="Y181"/>
      <c r="Z181"/>
      <c r="AA181"/>
    </row>
    <row r="182" spans="1:27" x14ac:dyDescent="0.25">
      <c r="A182" s="38" t="s">
        <v>526</v>
      </c>
      <c r="B182" s="8">
        <v>144883</v>
      </c>
      <c r="C182" s="8">
        <v>10990</v>
      </c>
      <c r="D182" s="38" t="s">
        <v>804</v>
      </c>
      <c r="G182" s="38">
        <v>10990</v>
      </c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U182"/>
      <c r="V182"/>
      <c r="W182"/>
      <c r="X182"/>
      <c r="Y182"/>
      <c r="Z182"/>
      <c r="AA182"/>
    </row>
    <row r="183" spans="1:27" x14ac:dyDescent="0.25">
      <c r="A183" s="38" t="s">
        <v>526</v>
      </c>
      <c r="B183" s="8">
        <v>144972</v>
      </c>
      <c r="C183" s="8">
        <v>12390</v>
      </c>
      <c r="D183" s="38" t="s">
        <v>1048</v>
      </c>
      <c r="G183" s="38">
        <v>12390</v>
      </c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U183"/>
      <c r="V183"/>
      <c r="W183"/>
      <c r="X183"/>
      <c r="Y183"/>
      <c r="Z183"/>
      <c r="AA183"/>
    </row>
    <row r="184" spans="1:27" x14ac:dyDescent="0.25">
      <c r="A184" s="38" t="s">
        <v>526</v>
      </c>
      <c r="B184" s="8">
        <v>144973</v>
      </c>
      <c r="C184" s="8">
        <v>10990</v>
      </c>
      <c r="D184" s="38" t="s">
        <v>1047</v>
      </c>
      <c r="G184" s="38">
        <v>13790</v>
      </c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U184"/>
      <c r="V184"/>
      <c r="W184"/>
      <c r="X184"/>
      <c r="Y184"/>
      <c r="Z184"/>
      <c r="AA184"/>
    </row>
    <row r="185" spans="1:27" x14ac:dyDescent="0.25">
      <c r="A185" s="38" t="s">
        <v>526</v>
      </c>
      <c r="B185" s="8">
        <v>144899</v>
      </c>
      <c r="C185" s="8">
        <v>9390</v>
      </c>
      <c r="D185" s="38" t="s">
        <v>805</v>
      </c>
      <c r="G185" s="38">
        <v>9390</v>
      </c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U185"/>
      <c r="V185"/>
      <c r="W185"/>
      <c r="X185"/>
      <c r="Y185"/>
      <c r="Z185"/>
      <c r="AA185"/>
    </row>
    <row r="186" spans="1:27" x14ac:dyDescent="0.25">
      <c r="A186" s="38" t="s">
        <v>526</v>
      </c>
      <c r="B186" s="8">
        <v>144997</v>
      </c>
      <c r="C186" s="8">
        <v>10990</v>
      </c>
      <c r="D186" s="38" t="s">
        <v>806</v>
      </c>
      <c r="G186" s="38">
        <v>10990</v>
      </c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U186"/>
      <c r="V186"/>
      <c r="W186"/>
      <c r="X186"/>
      <c r="Y186"/>
      <c r="Z186"/>
      <c r="AA186"/>
    </row>
    <row r="187" spans="1:27" x14ac:dyDescent="0.25">
      <c r="A187" s="38" t="s">
        <v>526</v>
      </c>
      <c r="B187" s="8">
        <v>144999</v>
      </c>
      <c r="C187" s="8">
        <v>10990</v>
      </c>
      <c r="D187" s="38" t="s">
        <v>807</v>
      </c>
      <c r="G187" s="38">
        <v>10990</v>
      </c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U187"/>
      <c r="V187"/>
      <c r="W187"/>
      <c r="X187"/>
      <c r="Y187"/>
      <c r="Z187"/>
      <c r="AA187"/>
    </row>
    <row r="188" spans="1:27" x14ac:dyDescent="0.25">
      <c r="A188" s="38" t="s">
        <v>526</v>
      </c>
      <c r="B188" s="8">
        <v>145003</v>
      </c>
      <c r="C188" s="8">
        <v>10990</v>
      </c>
      <c r="D188" s="38" t="s">
        <v>1046</v>
      </c>
      <c r="G188" s="38">
        <v>13790</v>
      </c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U188"/>
      <c r="V188"/>
      <c r="W188"/>
      <c r="X188"/>
      <c r="Y188"/>
      <c r="Z188"/>
      <c r="AA188"/>
    </row>
    <row r="189" spans="1:27" x14ac:dyDescent="0.25">
      <c r="A189" s="38" t="s">
        <v>526</v>
      </c>
      <c r="B189" s="8">
        <v>144974</v>
      </c>
      <c r="C189" s="8">
        <v>13790</v>
      </c>
      <c r="D189" s="38" t="s">
        <v>884</v>
      </c>
      <c r="G189" s="38">
        <v>17890</v>
      </c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U189"/>
      <c r="V189"/>
      <c r="W189"/>
      <c r="X189"/>
      <c r="Y189"/>
      <c r="Z189"/>
      <c r="AA189"/>
    </row>
    <row r="190" spans="1:27" x14ac:dyDescent="0.25">
      <c r="A190" s="38" t="s">
        <v>526</v>
      </c>
      <c r="B190" s="8">
        <v>144995</v>
      </c>
      <c r="C190" s="8">
        <v>10990</v>
      </c>
      <c r="D190" s="38" t="s">
        <v>808</v>
      </c>
      <c r="G190" s="38">
        <v>10990</v>
      </c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U190"/>
      <c r="V190"/>
      <c r="W190"/>
      <c r="X190"/>
      <c r="Y190"/>
      <c r="Z190"/>
      <c r="AA190"/>
    </row>
    <row r="191" spans="1:27" x14ac:dyDescent="0.25">
      <c r="A191" s="38" t="s">
        <v>526</v>
      </c>
      <c r="B191" s="8">
        <v>144928</v>
      </c>
      <c r="C191" s="8">
        <v>13790</v>
      </c>
      <c r="D191" s="38" t="s">
        <v>1045</v>
      </c>
      <c r="G191" s="38">
        <v>13790</v>
      </c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U191"/>
      <c r="V191"/>
      <c r="W191"/>
      <c r="X191"/>
      <c r="Y191"/>
      <c r="Z191"/>
      <c r="AA191"/>
    </row>
    <row r="192" spans="1:27" x14ac:dyDescent="0.25">
      <c r="A192" s="38" t="s">
        <v>526</v>
      </c>
      <c r="B192" s="8">
        <v>144868</v>
      </c>
      <c r="C192" s="8">
        <v>15190</v>
      </c>
      <c r="D192" s="38" t="s">
        <v>1039</v>
      </c>
      <c r="G192" s="38">
        <v>17890</v>
      </c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U192"/>
      <c r="V192"/>
      <c r="W192"/>
      <c r="X192"/>
      <c r="Y192"/>
      <c r="Z192"/>
      <c r="AA192"/>
    </row>
    <row r="193" spans="1:27" x14ac:dyDescent="0.25">
      <c r="A193" s="38" t="s">
        <v>526</v>
      </c>
      <c r="B193" s="8">
        <v>144967</v>
      </c>
      <c r="C193" s="8"/>
      <c r="D193" s="38" t="s">
        <v>1041</v>
      </c>
      <c r="G193" s="38">
        <v>19290</v>
      </c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U193"/>
      <c r="V193"/>
      <c r="W193"/>
      <c r="X193"/>
      <c r="Y193"/>
      <c r="Z193"/>
      <c r="AA193"/>
    </row>
    <row r="194" spans="1:27" x14ac:dyDescent="0.25">
      <c r="A194" s="38" t="s">
        <v>526</v>
      </c>
      <c r="B194" s="8">
        <v>144884</v>
      </c>
      <c r="C194" s="8">
        <v>15190</v>
      </c>
      <c r="D194" s="38" t="s">
        <v>1043</v>
      </c>
      <c r="G194" s="38">
        <v>16490</v>
      </c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U194"/>
      <c r="V194"/>
      <c r="W194"/>
      <c r="X194"/>
      <c r="Y194"/>
      <c r="Z194"/>
      <c r="AA194"/>
    </row>
    <row r="195" spans="1:27" x14ac:dyDescent="0.25">
      <c r="A195" s="38" t="s">
        <v>526</v>
      </c>
      <c r="B195" s="8">
        <v>144885</v>
      </c>
      <c r="C195" s="8">
        <v>15190</v>
      </c>
      <c r="D195" s="38" t="s">
        <v>809</v>
      </c>
      <c r="G195" s="38">
        <v>16490</v>
      </c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U195"/>
      <c r="V195"/>
      <c r="W195"/>
      <c r="X195"/>
      <c r="Y195"/>
      <c r="Z195"/>
      <c r="AA195"/>
    </row>
    <row r="196" spans="1:27" x14ac:dyDescent="0.25">
      <c r="A196" s="38" t="s">
        <v>526</v>
      </c>
      <c r="B196" s="8">
        <v>144968</v>
      </c>
      <c r="C196" s="8">
        <v>15190</v>
      </c>
      <c r="D196" s="38" t="s">
        <v>883</v>
      </c>
      <c r="G196" s="38">
        <v>16490</v>
      </c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U196"/>
      <c r="V196"/>
      <c r="W196"/>
      <c r="X196"/>
      <c r="Y196"/>
      <c r="Z196"/>
      <c r="AA196"/>
    </row>
    <row r="197" spans="1:27" x14ac:dyDescent="0.25">
      <c r="A197" s="38" t="s">
        <v>526</v>
      </c>
      <c r="B197" s="8">
        <v>144886</v>
      </c>
      <c r="C197" s="8">
        <v>15190</v>
      </c>
      <c r="D197" s="38" t="s">
        <v>1040</v>
      </c>
      <c r="G197" s="38">
        <v>16490</v>
      </c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U197"/>
      <c r="V197"/>
      <c r="W197"/>
      <c r="X197"/>
      <c r="Y197"/>
      <c r="Z197"/>
      <c r="AA197"/>
    </row>
    <row r="198" spans="1:27" x14ac:dyDescent="0.25">
      <c r="A198" s="38" t="s">
        <v>526</v>
      </c>
      <c r="B198" s="8">
        <v>144887</v>
      </c>
      <c r="C198" s="8">
        <v>20590</v>
      </c>
      <c r="D198" s="38" t="s">
        <v>810</v>
      </c>
      <c r="G198" s="38">
        <v>16490</v>
      </c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U198"/>
      <c r="V198"/>
      <c r="W198"/>
      <c r="X198"/>
      <c r="Y198"/>
      <c r="Z198"/>
      <c r="AA198"/>
    </row>
    <row r="199" spans="1:27" x14ac:dyDescent="0.25">
      <c r="A199" s="38" t="s">
        <v>526</v>
      </c>
      <c r="B199" s="8">
        <v>144992</v>
      </c>
      <c r="C199" s="8">
        <v>13790</v>
      </c>
      <c r="D199" s="38" t="s">
        <v>1044</v>
      </c>
      <c r="G199" s="38">
        <v>17890</v>
      </c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U199"/>
      <c r="V199"/>
      <c r="W199"/>
      <c r="X199"/>
      <c r="Y199"/>
      <c r="Z199"/>
      <c r="AA199"/>
    </row>
    <row r="200" spans="1:27" x14ac:dyDescent="0.25">
      <c r="A200" s="38" t="s">
        <v>526</v>
      </c>
      <c r="B200" s="8">
        <v>144869</v>
      </c>
      <c r="C200" s="8">
        <v>16490</v>
      </c>
      <c r="D200" s="38" t="s">
        <v>1038</v>
      </c>
      <c r="G200" s="38">
        <v>17890</v>
      </c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U200"/>
      <c r="V200"/>
      <c r="W200"/>
      <c r="X200"/>
      <c r="Y200"/>
      <c r="Z200"/>
      <c r="AA200"/>
    </row>
    <row r="201" spans="1:27" x14ac:dyDescent="0.25">
      <c r="A201" s="38" t="s">
        <v>526</v>
      </c>
      <c r="B201" s="8">
        <v>144962</v>
      </c>
      <c r="C201" s="8">
        <v>16490</v>
      </c>
      <c r="D201" s="38" t="s">
        <v>1038</v>
      </c>
      <c r="G201" s="38">
        <v>17890</v>
      </c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U201"/>
      <c r="V201"/>
      <c r="W201"/>
      <c r="X201"/>
      <c r="Y201"/>
      <c r="Z201"/>
      <c r="AA201"/>
    </row>
    <row r="202" spans="1:27" x14ac:dyDescent="0.25">
      <c r="A202" s="38" t="s">
        <v>526</v>
      </c>
      <c r="B202" s="8">
        <v>144889</v>
      </c>
      <c r="C202" s="8">
        <v>14990</v>
      </c>
      <c r="D202" s="38" t="s">
        <v>1036</v>
      </c>
      <c r="G202" s="38">
        <v>14990</v>
      </c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U202"/>
      <c r="V202"/>
      <c r="W202"/>
      <c r="X202"/>
      <c r="Y202"/>
      <c r="Z202"/>
      <c r="AA202"/>
    </row>
    <row r="203" spans="1:27" x14ac:dyDescent="0.25">
      <c r="A203" s="38" t="s">
        <v>526</v>
      </c>
      <c r="B203" s="8">
        <v>144961</v>
      </c>
      <c r="C203" s="8">
        <v>17890</v>
      </c>
      <c r="D203" s="38" t="s">
        <v>882</v>
      </c>
      <c r="G203" s="38">
        <v>17890</v>
      </c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U203"/>
      <c r="V203"/>
      <c r="W203"/>
      <c r="X203"/>
      <c r="Y203"/>
      <c r="Z203"/>
      <c r="AA203"/>
    </row>
    <row r="204" spans="1:27" x14ac:dyDescent="0.25">
      <c r="A204" s="38" t="s">
        <v>526</v>
      </c>
      <c r="B204" s="8">
        <v>144870</v>
      </c>
      <c r="C204" s="8">
        <v>17890</v>
      </c>
      <c r="D204" s="38" t="s">
        <v>1037</v>
      </c>
      <c r="G204" s="38">
        <v>17890</v>
      </c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U204"/>
      <c r="V204"/>
      <c r="W204"/>
      <c r="X204"/>
      <c r="Y204"/>
      <c r="Z204"/>
      <c r="AA204"/>
    </row>
    <row r="205" spans="1:27" x14ac:dyDescent="0.25">
      <c r="A205" s="38" t="s">
        <v>526</v>
      </c>
      <c r="B205" s="8">
        <v>144965</v>
      </c>
      <c r="C205" s="8">
        <v>16490</v>
      </c>
      <c r="D205" s="38" t="s">
        <v>881</v>
      </c>
      <c r="G205" s="38">
        <v>16490</v>
      </c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U205"/>
      <c r="V205"/>
      <c r="W205"/>
      <c r="X205"/>
      <c r="Y205"/>
      <c r="Z205"/>
      <c r="AA205"/>
    </row>
    <row r="206" spans="1:27" x14ac:dyDescent="0.25">
      <c r="A206" s="38" t="s">
        <v>526</v>
      </c>
      <c r="B206" s="8">
        <v>144966</v>
      </c>
      <c r="C206" s="8">
        <v>17890</v>
      </c>
      <c r="D206" s="38" t="s">
        <v>811</v>
      </c>
      <c r="G206" s="38">
        <v>17890</v>
      </c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U206"/>
      <c r="V206"/>
      <c r="W206"/>
      <c r="X206"/>
      <c r="Y206"/>
      <c r="Z206"/>
      <c r="AA206"/>
    </row>
    <row r="207" spans="1:27" x14ac:dyDescent="0.25">
      <c r="A207" s="38" t="s">
        <v>526</v>
      </c>
      <c r="B207" s="8">
        <v>144969</v>
      </c>
      <c r="C207" s="8">
        <v>16490</v>
      </c>
      <c r="D207" s="38" t="s">
        <v>1035</v>
      </c>
      <c r="G207" s="38">
        <v>16490</v>
      </c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U207"/>
      <c r="V207"/>
      <c r="W207"/>
      <c r="X207"/>
      <c r="Y207"/>
      <c r="Z207"/>
      <c r="AA207"/>
    </row>
    <row r="208" spans="1:27" x14ac:dyDescent="0.25">
      <c r="A208" s="38" t="s">
        <v>526</v>
      </c>
      <c r="B208" s="8">
        <v>144970</v>
      </c>
      <c r="C208" s="8">
        <v>16490</v>
      </c>
      <c r="D208" s="38" t="s">
        <v>1034</v>
      </c>
      <c r="G208" s="38">
        <v>16490</v>
      </c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U208"/>
      <c r="V208"/>
      <c r="W208"/>
      <c r="X208"/>
      <c r="Y208"/>
      <c r="Z208"/>
      <c r="AA208"/>
    </row>
    <row r="209" spans="1:27" x14ac:dyDescent="0.25">
      <c r="A209" s="38" t="s">
        <v>526</v>
      </c>
      <c r="B209" s="8">
        <v>144888</v>
      </c>
      <c r="C209" s="8">
        <v>16490</v>
      </c>
      <c r="D209" s="38" t="s">
        <v>1033</v>
      </c>
      <c r="G209" s="38">
        <v>16490</v>
      </c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U209"/>
      <c r="V209"/>
      <c r="W209"/>
      <c r="X209"/>
      <c r="Y209"/>
      <c r="Z209"/>
      <c r="AA209"/>
    </row>
    <row r="210" spans="1:27" x14ac:dyDescent="0.25">
      <c r="A210" s="38" t="s">
        <v>526</v>
      </c>
      <c r="B210" s="8">
        <v>144971</v>
      </c>
      <c r="C210" s="8">
        <v>16490</v>
      </c>
      <c r="D210" s="38" t="s">
        <v>1032</v>
      </c>
      <c r="G210" s="38">
        <v>16490</v>
      </c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U210"/>
      <c r="V210"/>
      <c r="W210"/>
      <c r="X210"/>
      <c r="Y210"/>
      <c r="Z210"/>
      <c r="AA210"/>
    </row>
    <row r="211" spans="1:27" x14ac:dyDescent="0.25">
      <c r="A211" s="38" t="s">
        <v>526</v>
      </c>
      <c r="B211" s="8">
        <v>144963</v>
      </c>
      <c r="C211" s="8">
        <v>14990</v>
      </c>
      <c r="D211" s="38" t="s">
        <v>880</v>
      </c>
      <c r="G211" s="38">
        <v>19290</v>
      </c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U211"/>
      <c r="V211"/>
      <c r="W211"/>
      <c r="X211"/>
      <c r="Y211"/>
      <c r="Z211"/>
      <c r="AA211"/>
    </row>
    <row r="212" spans="1:27" x14ac:dyDescent="0.25">
      <c r="A212" s="38" t="s">
        <v>526</v>
      </c>
      <c r="B212" s="8">
        <v>144975</v>
      </c>
      <c r="C212" s="8"/>
      <c r="D212" s="38" t="s">
        <v>1030</v>
      </c>
      <c r="G212" s="38">
        <v>10990</v>
      </c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U212"/>
      <c r="V212"/>
      <c r="W212"/>
      <c r="X212"/>
      <c r="Y212"/>
      <c r="Z212"/>
      <c r="AA212"/>
    </row>
    <row r="213" spans="1:27" x14ac:dyDescent="0.25">
      <c r="A213" s="38" t="s">
        <v>526</v>
      </c>
      <c r="B213" s="8">
        <v>144929</v>
      </c>
      <c r="C213" s="8">
        <v>20590</v>
      </c>
      <c r="D213" s="38" t="s">
        <v>1029</v>
      </c>
      <c r="G213" s="38">
        <v>20590</v>
      </c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U213"/>
      <c r="V213"/>
      <c r="W213"/>
      <c r="X213"/>
      <c r="Y213"/>
      <c r="Z213"/>
      <c r="AA213"/>
    </row>
    <row r="214" spans="1:27" x14ac:dyDescent="0.25">
      <c r="A214" s="38" t="s">
        <v>526</v>
      </c>
      <c r="B214" s="8">
        <v>144989</v>
      </c>
      <c r="C214" s="8">
        <v>17890</v>
      </c>
      <c r="D214" s="38" t="s">
        <v>879</v>
      </c>
      <c r="G214" s="38">
        <v>17890</v>
      </c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U214"/>
      <c r="V214"/>
      <c r="W214"/>
      <c r="X214"/>
      <c r="Y214"/>
      <c r="Z214"/>
      <c r="AA214"/>
    </row>
    <row r="215" spans="1:27" x14ac:dyDescent="0.25">
      <c r="A215" s="38" t="s">
        <v>526</v>
      </c>
      <c r="B215" s="8">
        <v>145001</v>
      </c>
      <c r="C215" s="8">
        <v>17890</v>
      </c>
      <c r="D215" s="38" t="s">
        <v>878</v>
      </c>
      <c r="G215" s="38">
        <v>20590</v>
      </c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U215"/>
      <c r="V215"/>
      <c r="W215"/>
      <c r="X215"/>
      <c r="Y215"/>
      <c r="Z215"/>
      <c r="AA215"/>
    </row>
    <row r="216" spans="1:27" x14ac:dyDescent="0.25">
      <c r="A216" s="38" t="s">
        <v>526</v>
      </c>
      <c r="B216" s="8">
        <v>145002</v>
      </c>
      <c r="C216" s="8">
        <v>17890</v>
      </c>
      <c r="D216" s="38" t="s">
        <v>1021</v>
      </c>
      <c r="G216" s="38">
        <v>20590</v>
      </c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U216"/>
      <c r="V216"/>
      <c r="W216"/>
      <c r="X216"/>
      <c r="Y216"/>
      <c r="Z216"/>
      <c r="AA216"/>
    </row>
    <row r="217" spans="1:27" x14ac:dyDescent="0.25">
      <c r="A217" s="38" t="s">
        <v>526</v>
      </c>
      <c r="B217" s="8">
        <v>144902</v>
      </c>
      <c r="C217" s="8">
        <v>20590</v>
      </c>
      <c r="D217" s="38" t="s">
        <v>743</v>
      </c>
      <c r="G217" s="38">
        <v>27490</v>
      </c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U217"/>
      <c r="V217"/>
      <c r="W217"/>
      <c r="X217"/>
      <c r="Y217"/>
      <c r="Z217"/>
      <c r="AA217"/>
    </row>
    <row r="218" spans="1:27" x14ac:dyDescent="0.25">
      <c r="A218" s="38" t="s">
        <v>526</v>
      </c>
      <c r="B218" s="8">
        <v>144916</v>
      </c>
      <c r="C218" s="8">
        <v>23390</v>
      </c>
      <c r="D218" s="38" t="s">
        <v>1022</v>
      </c>
      <c r="G218" s="38">
        <v>27490</v>
      </c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U218"/>
      <c r="V218"/>
      <c r="W218"/>
      <c r="X218"/>
      <c r="Y218"/>
      <c r="Z218"/>
      <c r="AA218"/>
    </row>
    <row r="219" spans="1:27" x14ac:dyDescent="0.25">
      <c r="A219" s="38" t="s">
        <v>526</v>
      </c>
      <c r="B219" s="8">
        <v>144914</v>
      </c>
      <c r="C219" s="8">
        <v>20590</v>
      </c>
      <c r="D219" s="38" t="s">
        <v>747</v>
      </c>
      <c r="G219" s="38">
        <v>20590</v>
      </c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U219"/>
      <c r="V219"/>
      <c r="W219"/>
      <c r="X219"/>
      <c r="Y219"/>
      <c r="Z219"/>
      <c r="AA219"/>
    </row>
    <row r="220" spans="1:27" x14ac:dyDescent="0.25">
      <c r="A220" s="38" t="s">
        <v>526</v>
      </c>
      <c r="B220" s="8">
        <v>144915</v>
      </c>
      <c r="C220" s="8">
        <v>23390</v>
      </c>
      <c r="D220" s="38" t="s">
        <v>877</v>
      </c>
      <c r="G220" s="38">
        <v>27490</v>
      </c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U220"/>
      <c r="V220"/>
      <c r="W220"/>
      <c r="X220"/>
      <c r="Y220"/>
      <c r="Z220"/>
      <c r="AA220"/>
    </row>
    <row r="221" spans="1:27" x14ac:dyDescent="0.25">
      <c r="A221" s="38" t="s">
        <v>526</v>
      </c>
      <c r="B221" s="8">
        <v>144919</v>
      </c>
      <c r="C221" s="8">
        <v>23390</v>
      </c>
      <c r="D221" s="38" t="s">
        <v>1023</v>
      </c>
      <c r="G221" s="38">
        <v>27490</v>
      </c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U221"/>
      <c r="V221"/>
      <c r="W221"/>
      <c r="X221"/>
      <c r="Y221"/>
      <c r="Z221"/>
      <c r="AA221"/>
    </row>
    <row r="222" spans="1:27" x14ac:dyDescent="0.25">
      <c r="A222" s="38" t="s">
        <v>526</v>
      </c>
      <c r="B222" s="8">
        <v>144917</v>
      </c>
      <c r="C222" s="8">
        <v>23390</v>
      </c>
      <c r="D222" s="38" t="s">
        <v>749</v>
      </c>
      <c r="G222" s="38">
        <v>27490</v>
      </c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U222"/>
      <c r="V222"/>
      <c r="W222"/>
      <c r="X222"/>
      <c r="Y222"/>
      <c r="Z222"/>
      <c r="AA222"/>
    </row>
    <row r="223" spans="1:27" x14ac:dyDescent="0.25">
      <c r="A223" s="38" t="s">
        <v>526</v>
      </c>
      <c r="B223" s="8">
        <v>144918</v>
      </c>
      <c r="C223" s="8">
        <v>23390</v>
      </c>
      <c r="D223" s="38" t="s">
        <v>1025</v>
      </c>
      <c r="G223" s="38">
        <v>27490</v>
      </c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U223"/>
      <c r="V223"/>
      <c r="W223"/>
      <c r="X223"/>
      <c r="Y223"/>
      <c r="Z223"/>
      <c r="AA223"/>
    </row>
    <row r="224" spans="1:27" x14ac:dyDescent="0.25">
      <c r="A224" s="38" t="s">
        <v>526</v>
      </c>
      <c r="B224" s="8">
        <v>144920</v>
      </c>
      <c r="C224" s="8">
        <v>23390</v>
      </c>
      <c r="D224" s="38" t="s">
        <v>1026</v>
      </c>
      <c r="G224" s="38">
        <v>27490</v>
      </c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U224"/>
      <c r="V224"/>
      <c r="W224"/>
      <c r="X224"/>
      <c r="Y224"/>
      <c r="Z224"/>
      <c r="AA224"/>
    </row>
    <row r="225" spans="1:27" x14ac:dyDescent="0.25">
      <c r="A225" s="38" t="s">
        <v>526</v>
      </c>
      <c r="B225" s="8">
        <v>144921</v>
      </c>
      <c r="C225" s="8">
        <v>23390</v>
      </c>
      <c r="D225" s="38" t="s">
        <v>750</v>
      </c>
      <c r="G225" s="38">
        <v>27490</v>
      </c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U225"/>
      <c r="V225"/>
      <c r="W225"/>
      <c r="X225"/>
      <c r="Y225"/>
      <c r="Z225"/>
      <c r="AA225"/>
    </row>
    <row r="226" spans="1:27" x14ac:dyDescent="0.25">
      <c r="A226" s="38" t="s">
        <v>526</v>
      </c>
      <c r="B226" s="8">
        <v>144922</v>
      </c>
      <c r="C226" s="8">
        <v>23390</v>
      </c>
      <c r="D226" s="38" t="s">
        <v>752</v>
      </c>
      <c r="G226" s="38">
        <v>27490</v>
      </c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U226"/>
      <c r="V226"/>
      <c r="W226"/>
      <c r="X226"/>
      <c r="Y226"/>
      <c r="Z226"/>
      <c r="AA226"/>
    </row>
    <row r="227" spans="1:27" x14ac:dyDescent="0.25">
      <c r="A227" s="38" t="s">
        <v>526</v>
      </c>
      <c r="B227" s="8">
        <v>144923</v>
      </c>
      <c r="C227" s="8">
        <v>23390</v>
      </c>
      <c r="D227" s="38" t="s">
        <v>751</v>
      </c>
      <c r="G227" s="38">
        <v>27490</v>
      </c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U227"/>
      <c r="V227"/>
      <c r="W227"/>
      <c r="X227"/>
      <c r="Y227"/>
      <c r="Z227"/>
      <c r="AA227"/>
    </row>
    <row r="228" spans="1:27" x14ac:dyDescent="0.25">
      <c r="A228" s="38" t="s">
        <v>526</v>
      </c>
      <c r="B228" s="8">
        <v>144924</v>
      </c>
      <c r="C228" s="8">
        <v>23390</v>
      </c>
      <c r="D228" s="38" t="s">
        <v>753</v>
      </c>
      <c r="G228" s="38">
        <v>27490</v>
      </c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U228"/>
      <c r="V228"/>
      <c r="W228"/>
      <c r="X228"/>
      <c r="Y228"/>
      <c r="Z228"/>
      <c r="AA228"/>
    </row>
    <row r="229" spans="1:27" x14ac:dyDescent="0.25">
      <c r="A229" s="38" t="s">
        <v>526</v>
      </c>
      <c r="B229" s="8">
        <v>144925</v>
      </c>
      <c r="C229" s="8">
        <v>23390</v>
      </c>
      <c r="D229" s="38" t="s">
        <v>748</v>
      </c>
      <c r="G229" s="38">
        <v>27490</v>
      </c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U229"/>
      <c r="V229"/>
      <c r="W229"/>
      <c r="X229"/>
      <c r="Y229"/>
      <c r="Z229"/>
      <c r="AA229"/>
    </row>
    <row r="230" spans="1:27" x14ac:dyDescent="0.25">
      <c r="A230" s="38" t="s">
        <v>526</v>
      </c>
      <c r="B230" s="8">
        <v>144926</v>
      </c>
      <c r="C230" s="8">
        <v>23390</v>
      </c>
      <c r="D230" s="38" t="s">
        <v>754</v>
      </c>
      <c r="G230" s="38">
        <v>27490</v>
      </c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U230"/>
      <c r="V230"/>
      <c r="W230"/>
      <c r="X230"/>
      <c r="Y230"/>
      <c r="Z230"/>
      <c r="AA230"/>
    </row>
    <row r="231" spans="1:27" x14ac:dyDescent="0.25">
      <c r="A231" s="38" t="s">
        <v>526</v>
      </c>
      <c r="B231" s="8">
        <v>144913</v>
      </c>
      <c r="C231" s="8"/>
      <c r="D231" s="38" t="s">
        <v>1027</v>
      </c>
      <c r="G231" s="38">
        <v>22990</v>
      </c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U231"/>
      <c r="V231"/>
      <c r="W231"/>
      <c r="X231"/>
      <c r="Y231"/>
      <c r="Z231"/>
      <c r="AA231"/>
    </row>
    <row r="232" spans="1:27" x14ac:dyDescent="0.25">
      <c r="A232" s="38" t="s">
        <v>526</v>
      </c>
      <c r="B232" s="8">
        <v>144810</v>
      </c>
      <c r="C232" s="8">
        <v>23390</v>
      </c>
      <c r="D232" s="38" t="s">
        <v>1024</v>
      </c>
      <c r="G232" s="38">
        <v>27490</v>
      </c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U232"/>
      <c r="V232"/>
      <c r="W232"/>
      <c r="X232"/>
      <c r="Y232"/>
      <c r="Z232"/>
      <c r="AA232"/>
    </row>
    <row r="233" spans="1:27" x14ac:dyDescent="0.25">
      <c r="A233" s="38" t="s">
        <v>526</v>
      </c>
      <c r="B233" s="8">
        <v>144811</v>
      </c>
      <c r="C233" s="8">
        <v>27490</v>
      </c>
      <c r="D233" s="38" t="s">
        <v>813</v>
      </c>
      <c r="G233" s="38">
        <v>27490</v>
      </c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U233"/>
      <c r="V233"/>
      <c r="W233"/>
      <c r="X233"/>
      <c r="Y233"/>
      <c r="Z233"/>
      <c r="AA233"/>
    </row>
    <row r="234" spans="1:27" x14ac:dyDescent="0.25">
      <c r="A234" s="38" t="s">
        <v>526</v>
      </c>
      <c r="B234" s="8">
        <v>144812</v>
      </c>
      <c r="C234" s="8">
        <v>23390</v>
      </c>
      <c r="D234" s="38" t="s">
        <v>746</v>
      </c>
      <c r="G234" s="38">
        <v>27490</v>
      </c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U234"/>
      <c r="V234"/>
      <c r="W234"/>
      <c r="X234"/>
      <c r="Y234"/>
      <c r="Z234"/>
      <c r="AA234"/>
    </row>
    <row r="235" spans="1:27" x14ac:dyDescent="0.25">
      <c r="A235" s="38" t="s">
        <v>526</v>
      </c>
      <c r="B235" s="8">
        <v>144813</v>
      </c>
      <c r="C235" s="8">
        <v>23390</v>
      </c>
      <c r="D235" s="38" t="s">
        <v>745</v>
      </c>
      <c r="G235" s="38">
        <v>27490</v>
      </c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U235"/>
      <c r="V235"/>
      <c r="W235"/>
      <c r="X235"/>
      <c r="Y235"/>
      <c r="Z235"/>
      <c r="AA235"/>
    </row>
    <row r="236" spans="1:27" x14ac:dyDescent="0.25">
      <c r="A236" s="38" t="s">
        <v>526</v>
      </c>
      <c r="B236" s="8">
        <v>144815</v>
      </c>
      <c r="C236" s="8">
        <v>27490</v>
      </c>
      <c r="D236" s="38" t="s">
        <v>813</v>
      </c>
      <c r="G236" s="38">
        <v>27490</v>
      </c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U236"/>
      <c r="V236"/>
      <c r="W236"/>
      <c r="X236"/>
      <c r="Y236"/>
      <c r="Z236"/>
      <c r="AA236"/>
    </row>
    <row r="237" spans="1:27" x14ac:dyDescent="0.25">
      <c r="A237" s="38" t="s">
        <v>526</v>
      </c>
      <c r="B237" s="8">
        <v>144814</v>
      </c>
      <c r="C237" s="8">
        <v>27490</v>
      </c>
      <c r="D237" s="38" t="s">
        <v>744</v>
      </c>
      <c r="G237" s="38">
        <v>27490</v>
      </c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U237"/>
      <c r="V237"/>
      <c r="W237"/>
      <c r="X237"/>
      <c r="Y237"/>
      <c r="Z237"/>
      <c r="AA237"/>
    </row>
    <row r="238" spans="1:27" x14ac:dyDescent="0.25">
      <c r="A238" s="38" t="s">
        <v>526</v>
      </c>
      <c r="B238" s="8">
        <v>202551</v>
      </c>
      <c r="C238" s="8"/>
      <c r="D238" s="38"/>
      <c r="G238" s="38" t="s">
        <v>1214</v>
      </c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U238"/>
      <c r="V238"/>
      <c r="W238"/>
      <c r="X238"/>
      <c r="Y238"/>
      <c r="Z238"/>
      <c r="AA238"/>
    </row>
    <row r="239" spans="1:27" x14ac:dyDescent="0.25">
      <c r="A239" s="38" t="s">
        <v>526</v>
      </c>
      <c r="B239" s="8">
        <v>202550</v>
      </c>
      <c r="C239" s="8">
        <v>106</v>
      </c>
      <c r="D239" s="38" t="s">
        <v>1020</v>
      </c>
      <c r="G239" s="38">
        <v>1590</v>
      </c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U239"/>
      <c r="V239"/>
      <c r="W239"/>
      <c r="X239"/>
      <c r="Y239"/>
      <c r="Z239"/>
      <c r="AA239"/>
    </row>
    <row r="240" spans="1:27" x14ac:dyDescent="0.25">
      <c r="A240" s="38" t="s">
        <v>526</v>
      </c>
      <c r="B240" s="8">
        <v>160419</v>
      </c>
      <c r="C240" s="8">
        <v>549</v>
      </c>
      <c r="D240" s="38" t="s">
        <v>816</v>
      </c>
      <c r="G240" s="38">
        <v>549</v>
      </c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U240"/>
      <c r="V240"/>
      <c r="W240"/>
      <c r="X240"/>
      <c r="Y240"/>
      <c r="Z240"/>
      <c r="AA240"/>
    </row>
    <row r="241" spans="1:27" x14ac:dyDescent="0.25">
      <c r="A241" s="38" t="s">
        <v>526</v>
      </c>
      <c r="B241" s="8">
        <v>144952</v>
      </c>
      <c r="C241" s="8"/>
      <c r="D241" s="38" t="s">
        <v>1018</v>
      </c>
      <c r="G241" s="38">
        <v>1290</v>
      </c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U241"/>
      <c r="V241"/>
      <c r="W241"/>
      <c r="X241"/>
      <c r="Y241"/>
      <c r="Z241"/>
      <c r="AA241"/>
    </row>
    <row r="242" spans="1:27" x14ac:dyDescent="0.25">
      <c r="A242" s="38" t="s">
        <v>526</v>
      </c>
      <c r="B242" s="8">
        <v>202563</v>
      </c>
      <c r="C242" s="8"/>
      <c r="D242" s="38"/>
      <c r="G242" s="38" t="s">
        <v>1214</v>
      </c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U242"/>
      <c r="V242"/>
      <c r="W242"/>
      <c r="X242"/>
      <c r="Y242"/>
      <c r="Z242"/>
      <c r="AA242"/>
    </row>
    <row r="243" spans="1:27" x14ac:dyDescent="0.25">
      <c r="A243" s="38" t="s">
        <v>526</v>
      </c>
      <c r="B243" s="8">
        <v>251662</v>
      </c>
      <c r="C243" s="8"/>
      <c r="D243" s="38"/>
      <c r="G243" s="38" t="s">
        <v>1214</v>
      </c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U243"/>
      <c r="V243"/>
      <c r="W243"/>
      <c r="X243"/>
      <c r="Y243"/>
      <c r="Z243"/>
      <c r="AA243"/>
    </row>
    <row r="244" spans="1:27" x14ac:dyDescent="0.25">
      <c r="A244" s="38" t="s">
        <v>526</v>
      </c>
      <c r="B244" s="8">
        <v>258045</v>
      </c>
      <c r="C244" s="8">
        <v>4290</v>
      </c>
      <c r="D244" s="38" t="s">
        <v>928</v>
      </c>
      <c r="G244" s="38">
        <v>4290</v>
      </c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U244"/>
      <c r="V244"/>
      <c r="W244"/>
      <c r="X244"/>
      <c r="Y244"/>
      <c r="Z244"/>
      <c r="AA244"/>
    </row>
    <row r="245" spans="1:27" x14ac:dyDescent="0.25">
      <c r="A245" s="38" t="s">
        <v>526</v>
      </c>
      <c r="B245" s="8">
        <v>265183</v>
      </c>
      <c r="C245" s="8"/>
      <c r="D245" s="38"/>
      <c r="G245" s="38" t="s">
        <v>1214</v>
      </c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U245"/>
      <c r="V245"/>
      <c r="W245"/>
      <c r="X245"/>
      <c r="Y245"/>
      <c r="Z245"/>
      <c r="AA245"/>
    </row>
    <row r="246" spans="1:27" x14ac:dyDescent="0.25">
      <c r="A246" s="38" t="s">
        <v>526</v>
      </c>
      <c r="B246" s="8">
        <v>265184</v>
      </c>
      <c r="C246" s="8"/>
      <c r="D246" s="38"/>
      <c r="G246" s="38" t="s">
        <v>1214</v>
      </c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U246"/>
      <c r="V246"/>
      <c r="W246"/>
      <c r="X246"/>
      <c r="Y246"/>
      <c r="Z246"/>
      <c r="AA246"/>
    </row>
    <row r="247" spans="1:27" x14ac:dyDescent="0.25">
      <c r="A247" s="38" t="s">
        <v>526</v>
      </c>
      <c r="B247" s="8">
        <v>415290</v>
      </c>
      <c r="C247" s="8"/>
      <c r="D247" s="38"/>
      <c r="G247" s="38" t="s">
        <v>1214</v>
      </c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U247"/>
      <c r="V247"/>
      <c r="W247"/>
      <c r="X247"/>
      <c r="Y247"/>
      <c r="Z247"/>
      <c r="AA247"/>
    </row>
    <row r="248" spans="1:27" x14ac:dyDescent="0.25">
      <c r="A248" s="38" t="s">
        <v>526</v>
      </c>
      <c r="B248" s="8">
        <v>312005</v>
      </c>
      <c r="C248" s="8">
        <v>1790</v>
      </c>
      <c r="D248" s="38" t="s">
        <v>1016</v>
      </c>
      <c r="G248" s="38">
        <v>1790</v>
      </c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U248"/>
      <c r="V248"/>
      <c r="W248"/>
      <c r="X248"/>
      <c r="Y248"/>
      <c r="Z248"/>
      <c r="AA248"/>
    </row>
    <row r="249" spans="1:27" x14ac:dyDescent="0.25">
      <c r="A249" s="38" t="s">
        <v>526</v>
      </c>
      <c r="B249" s="8">
        <v>426984</v>
      </c>
      <c r="C249" s="8">
        <v>20590</v>
      </c>
      <c r="D249" s="38" t="s">
        <v>1225</v>
      </c>
      <c r="G249" s="38">
        <v>27490</v>
      </c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U249"/>
      <c r="V249"/>
      <c r="W249"/>
      <c r="X249"/>
      <c r="Y249"/>
      <c r="Z249"/>
      <c r="AA249"/>
    </row>
    <row r="250" spans="1:27" x14ac:dyDescent="0.25">
      <c r="A250" s="38" t="s">
        <v>526</v>
      </c>
      <c r="B250" s="8">
        <v>426978</v>
      </c>
      <c r="C250" s="8">
        <v>20590</v>
      </c>
      <c r="D250" s="38" t="s">
        <v>1229</v>
      </c>
      <c r="G250" s="38">
        <v>27490</v>
      </c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U250"/>
      <c r="V250"/>
      <c r="W250"/>
      <c r="X250"/>
      <c r="Y250"/>
      <c r="Z250"/>
      <c r="AA250"/>
    </row>
    <row r="251" spans="1:27" x14ac:dyDescent="0.25">
      <c r="A251" s="38" t="s">
        <v>526</v>
      </c>
      <c r="B251" s="8">
        <v>426985</v>
      </c>
      <c r="C251" s="8">
        <v>20590</v>
      </c>
      <c r="D251" s="38" t="s">
        <v>1233</v>
      </c>
      <c r="G251" s="38">
        <v>27490</v>
      </c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U251"/>
      <c r="V251"/>
      <c r="W251"/>
      <c r="X251"/>
      <c r="Y251"/>
      <c r="Z251"/>
      <c r="AA251"/>
    </row>
    <row r="252" spans="1:27" x14ac:dyDescent="0.25">
      <c r="A252" s="38" t="s">
        <v>526</v>
      </c>
      <c r="B252" s="8">
        <v>426974</v>
      </c>
      <c r="C252" s="8">
        <v>27490</v>
      </c>
      <c r="D252" s="38" t="s">
        <v>1246</v>
      </c>
      <c r="G252" s="38">
        <v>34390</v>
      </c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U252"/>
      <c r="V252"/>
      <c r="W252"/>
      <c r="X252"/>
      <c r="Y252"/>
      <c r="Z252"/>
      <c r="AA252"/>
    </row>
    <row r="253" spans="1:27" x14ac:dyDescent="0.25">
      <c r="A253" s="38" t="s">
        <v>526</v>
      </c>
      <c r="B253" s="8">
        <v>426967</v>
      </c>
      <c r="C253" s="8">
        <v>2190</v>
      </c>
      <c r="D253" s="38" t="s">
        <v>1468</v>
      </c>
      <c r="G253" s="38">
        <v>1790</v>
      </c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U253"/>
      <c r="V253"/>
      <c r="W253"/>
      <c r="X253"/>
      <c r="Y253"/>
      <c r="Z253"/>
      <c r="AA253"/>
    </row>
    <row r="254" spans="1:27" x14ac:dyDescent="0.25">
      <c r="A254" s="38" t="s">
        <v>526</v>
      </c>
      <c r="B254" s="8">
        <v>426432</v>
      </c>
      <c r="C254" s="8">
        <v>2390</v>
      </c>
      <c r="D254" s="38" t="s">
        <v>1469</v>
      </c>
      <c r="G254" s="38">
        <v>2490</v>
      </c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U254"/>
      <c r="V254"/>
      <c r="W254"/>
      <c r="X254"/>
      <c r="Y254"/>
      <c r="Z254"/>
      <c r="AA254"/>
    </row>
    <row r="255" spans="1:27" x14ac:dyDescent="0.25">
      <c r="A255" s="38" t="s">
        <v>526</v>
      </c>
      <c r="B255" s="8">
        <v>426933</v>
      </c>
      <c r="C255" s="8"/>
      <c r="D255" s="38"/>
      <c r="G255" s="38" t="s">
        <v>1214</v>
      </c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U255"/>
      <c r="V255"/>
      <c r="W255"/>
      <c r="X255"/>
      <c r="Y255"/>
      <c r="Z255"/>
      <c r="AA255"/>
    </row>
    <row r="256" spans="1:27" x14ac:dyDescent="0.25">
      <c r="A256" s="38" t="s">
        <v>526</v>
      </c>
      <c r="B256" s="8">
        <v>426994</v>
      </c>
      <c r="C256" s="8">
        <v>8590</v>
      </c>
      <c r="D256" s="38" t="s">
        <v>1266</v>
      </c>
      <c r="G256" s="38">
        <v>8590</v>
      </c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U256"/>
      <c r="V256"/>
      <c r="W256"/>
      <c r="X256"/>
      <c r="Y256"/>
      <c r="Z256"/>
      <c r="AA256"/>
    </row>
    <row r="257" spans="1:27" x14ac:dyDescent="0.25">
      <c r="A257" s="38" t="s">
        <v>526</v>
      </c>
      <c r="B257" s="8">
        <v>426738</v>
      </c>
      <c r="C257" s="8">
        <v>7890</v>
      </c>
      <c r="D257" s="38" t="s">
        <v>1470</v>
      </c>
      <c r="G257" s="38">
        <v>8590</v>
      </c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U257"/>
      <c r="V257"/>
      <c r="W257"/>
      <c r="X257"/>
      <c r="Y257"/>
      <c r="Z257"/>
      <c r="AA257"/>
    </row>
    <row r="258" spans="1:27" x14ac:dyDescent="0.25">
      <c r="A258" s="38" t="s">
        <v>526</v>
      </c>
      <c r="B258" s="8">
        <v>426628</v>
      </c>
      <c r="C258" s="8">
        <v>10990</v>
      </c>
      <c r="D258" s="38" t="s">
        <v>1471</v>
      </c>
      <c r="G258" s="38">
        <v>11690</v>
      </c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U258"/>
      <c r="V258"/>
      <c r="W258"/>
      <c r="X258"/>
      <c r="Y258"/>
      <c r="Z258"/>
      <c r="AA258"/>
    </row>
    <row r="259" spans="1:27" x14ac:dyDescent="0.25">
      <c r="A259" s="38" t="s">
        <v>526</v>
      </c>
      <c r="B259" s="8">
        <v>426706</v>
      </c>
      <c r="C259" s="8">
        <v>5690</v>
      </c>
      <c r="D259" s="38" t="s">
        <v>1472</v>
      </c>
      <c r="G259" s="38">
        <v>5690</v>
      </c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U259"/>
      <c r="V259"/>
      <c r="W259"/>
      <c r="X259"/>
      <c r="Y259"/>
      <c r="Z259"/>
      <c r="AA259"/>
    </row>
    <row r="260" spans="1:27" x14ac:dyDescent="0.25">
      <c r="A260" s="38" t="s">
        <v>526</v>
      </c>
      <c r="B260" s="8">
        <v>426712</v>
      </c>
      <c r="C260" s="8">
        <v>5690</v>
      </c>
      <c r="D260" s="38" t="s">
        <v>1473</v>
      </c>
      <c r="G260" s="38">
        <v>5690</v>
      </c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U260"/>
      <c r="V260"/>
      <c r="W260"/>
      <c r="X260"/>
      <c r="Y260"/>
      <c r="Z260"/>
      <c r="AA260"/>
    </row>
    <row r="261" spans="1:27" x14ac:dyDescent="0.25">
      <c r="A261" s="38" t="s">
        <v>526</v>
      </c>
      <c r="B261" s="8">
        <v>426713</v>
      </c>
      <c r="C261" s="8">
        <v>5690</v>
      </c>
      <c r="D261" s="38" t="s">
        <v>1474</v>
      </c>
      <c r="G261" s="38">
        <v>5690</v>
      </c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U261"/>
      <c r="V261"/>
      <c r="W261"/>
      <c r="X261"/>
      <c r="Y261"/>
      <c r="Z261"/>
      <c r="AA261"/>
    </row>
    <row r="262" spans="1:27" x14ac:dyDescent="0.25">
      <c r="A262" s="38" t="s">
        <v>526</v>
      </c>
      <c r="B262" s="8">
        <v>426618</v>
      </c>
      <c r="C262" s="8">
        <v>6390</v>
      </c>
      <c r="D262" s="38" t="s">
        <v>1475</v>
      </c>
      <c r="G262" s="38">
        <v>6390</v>
      </c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U262"/>
      <c r="V262"/>
      <c r="W262"/>
      <c r="X262"/>
      <c r="Y262"/>
      <c r="Z262"/>
      <c r="AA262"/>
    </row>
    <row r="263" spans="1:27" x14ac:dyDescent="0.25">
      <c r="A263" s="38" t="s">
        <v>526</v>
      </c>
      <c r="B263" s="8">
        <v>426656</v>
      </c>
      <c r="C263" s="8">
        <v>4990</v>
      </c>
      <c r="D263" s="38" t="s">
        <v>1476</v>
      </c>
      <c r="G263" s="38">
        <v>5690</v>
      </c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U263"/>
      <c r="V263"/>
      <c r="W263"/>
      <c r="X263"/>
      <c r="Y263"/>
      <c r="Z263"/>
      <c r="AA263"/>
    </row>
    <row r="264" spans="1:27" x14ac:dyDescent="0.25">
      <c r="A264" s="38" t="s">
        <v>526</v>
      </c>
      <c r="B264" s="8">
        <v>426986</v>
      </c>
      <c r="C264" s="8">
        <v>20590</v>
      </c>
      <c r="D264" s="38" t="s">
        <v>1353</v>
      </c>
      <c r="G264" s="38">
        <v>20590</v>
      </c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U264"/>
      <c r="V264"/>
      <c r="W264"/>
      <c r="X264"/>
      <c r="Y264"/>
      <c r="Z264"/>
      <c r="AA264"/>
    </row>
    <row r="265" spans="1:27" x14ac:dyDescent="0.25">
      <c r="A265" s="38" t="s">
        <v>526</v>
      </c>
      <c r="B265" s="8">
        <v>426988</v>
      </c>
      <c r="C265" s="8">
        <v>20590</v>
      </c>
      <c r="D265" s="38" t="s">
        <v>1353</v>
      </c>
      <c r="G265" s="38">
        <v>20590</v>
      </c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U265"/>
      <c r="V265"/>
      <c r="W265"/>
      <c r="X265"/>
      <c r="Y265"/>
      <c r="Z265"/>
      <c r="AA265"/>
    </row>
    <row r="266" spans="1:27" x14ac:dyDescent="0.25">
      <c r="A266" s="38" t="s">
        <v>526</v>
      </c>
      <c r="B266" s="8">
        <v>426424</v>
      </c>
      <c r="C266" s="8"/>
      <c r="D266" s="38"/>
      <c r="G266" s="38" t="s">
        <v>1214</v>
      </c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U266"/>
      <c r="V266"/>
      <c r="W266"/>
      <c r="X266"/>
      <c r="Y266"/>
      <c r="Z266"/>
      <c r="AA266"/>
    </row>
    <row r="267" spans="1:27" x14ac:dyDescent="0.25">
      <c r="A267" s="38" t="s">
        <v>526</v>
      </c>
      <c r="B267" s="8">
        <v>426766</v>
      </c>
      <c r="C267" s="8">
        <v>2190</v>
      </c>
      <c r="D267" s="38" t="s">
        <v>1366</v>
      </c>
      <c r="G267" s="38">
        <v>2890</v>
      </c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U267"/>
      <c r="V267"/>
      <c r="W267"/>
      <c r="X267"/>
      <c r="Y267"/>
      <c r="Z267"/>
      <c r="AA267"/>
    </row>
    <row r="268" spans="1:27" x14ac:dyDescent="0.25">
      <c r="A268" s="38" t="s">
        <v>526</v>
      </c>
      <c r="B268" s="8">
        <v>426729</v>
      </c>
      <c r="C268" s="8"/>
      <c r="D268" s="38"/>
      <c r="G268" s="38" t="s">
        <v>1214</v>
      </c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U268"/>
      <c r="V268"/>
      <c r="W268"/>
      <c r="X268"/>
      <c r="Y268"/>
      <c r="Z268"/>
      <c r="AA268"/>
    </row>
    <row r="269" spans="1:27" x14ac:dyDescent="0.25">
      <c r="A269" s="38" t="s">
        <v>526</v>
      </c>
      <c r="B269" s="8">
        <v>426867</v>
      </c>
      <c r="C269" s="8">
        <v>20590</v>
      </c>
      <c r="D269" s="38" t="s">
        <v>1374</v>
      </c>
      <c r="G269" s="38">
        <v>20590</v>
      </c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U269"/>
      <c r="V269"/>
      <c r="W269"/>
      <c r="X269"/>
      <c r="Y269"/>
      <c r="Z269"/>
      <c r="AA269"/>
    </row>
    <row r="270" spans="1:27" x14ac:dyDescent="0.25">
      <c r="A270" s="38" t="s">
        <v>526</v>
      </c>
      <c r="B270" s="8">
        <v>426878</v>
      </c>
      <c r="C270" s="8">
        <v>20590</v>
      </c>
      <c r="D270" s="38" t="s">
        <v>1377</v>
      </c>
      <c r="G270" s="38">
        <v>20590</v>
      </c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U270"/>
      <c r="V270"/>
      <c r="W270"/>
      <c r="X270"/>
      <c r="Y270"/>
      <c r="Z270"/>
      <c r="AA270"/>
    </row>
    <row r="271" spans="1:27" x14ac:dyDescent="0.25">
      <c r="A271" s="38" t="s">
        <v>526</v>
      </c>
      <c r="B271" s="8">
        <v>426756</v>
      </c>
      <c r="C271" s="8">
        <v>16490</v>
      </c>
      <c r="D271" s="38" t="s">
        <v>1381</v>
      </c>
      <c r="G271" s="38">
        <v>16490</v>
      </c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U271"/>
      <c r="V271"/>
      <c r="W271"/>
      <c r="X271"/>
      <c r="Y271"/>
      <c r="Z271"/>
      <c r="AA271"/>
    </row>
    <row r="272" spans="1:27" x14ac:dyDescent="0.25">
      <c r="A272" s="38" t="s">
        <v>526</v>
      </c>
      <c r="B272" s="8">
        <v>426616</v>
      </c>
      <c r="C272" s="8">
        <v>10990</v>
      </c>
      <c r="D272" s="38" t="s">
        <v>803</v>
      </c>
      <c r="G272" s="38">
        <v>10990</v>
      </c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U272"/>
      <c r="V272"/>
      <c r="W272"/>
      <c r="X272"/>
      <c r="Y272"/>
      <c r="Z272"/>
      <c r="AA272"/>
    </row>
    <row r="273" spans="1:27" x14ac:dyDescent="0.25">
      <c r="A273" s="38" t="s">
        <v>526</v>
      </c>
      <c r="B273" s="8">
        <v>426719</v>
      </c>
      <c r="C273" s="8">
        <v>4990</v>
      </c>
      <c r="D273" s="38" t="s">
        <v>1477</v>
      </c>
      <c r="G273" s="38">
        <v>4990</v>
      </c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U273"/>
      <c r="V273"/>
      <c r="W273"/>
      <c r="X273"/>
      <c r="Y273"/>
      <c r="Z273"/>
      <c r="AA273"/>
    </row>
    <row r="274" spans="1:27" x14ac:dyDescent="0.25">
      <c r="A274" s="38" t="s">
        <v>526</v>
      </c>
      <c r="B274" s="8">
        <v>426723</v>
      </c>
      <c r="C274" s="8">
        <v>4990</v>
      </c>
      <c r="D274" s="38" t="s">
        <v>1478</v>
      </c>
      <c r="G274" s="38">
        <v>4990</v>
      </c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U274"/>
      <c r="V274"/>
      <c r="W274"/>
      <c r="X274"/>
      <c r="Y274"/>
      <c r="Z274"/>
      <c r="AA274"/>
    </row>
    <row r="275" spans="1:27" x14ac:dyDescent="0.25">
      <c r="A275" s="38" t="s">
        <v>526</v>
      </c>
      <c r="B275" s="8">
        <v>426428</v>
      </c>
      <c r="C275" s="8">
        <v>2490</v>
      </c>
      <c r="D275" s="38" t="s">
        <v>1479</v>
      </c>
      <c r="G275" s="38">
        <v>2490</v>
      </c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U275"/>
      <c r="V275"/>
      <c r="W275"/>
      <c r="X275"/>
      <c r="Y275"/>
      <c r="Z275"/>
      <c r="AA275"/>
    </row>
    <row r="276" spans="1:27" x14ac:dyDescent="0.25">
      <c r="A276" s="38" t="s">
        <v>526</v>
      </c>
      <c r="B276" s="8">
        <v>426942</v>
      </c>
      <c r="C276" s="8">
        <v>12390</v>
      </c>
      <c r="D276" s="38" t="s">
        <v>1414</v>
      </c>
      <c r="G276" s="38">
        <v>12390</v>
      </c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U276"/>
      <c r="V276"/>
      <c r="W276"/>
      <c r="X276"/>
      <c r="Y276"/>
      <c r="Z276"/>
      <c r="AA276"/>
    </row>
    <row r="277" spans="1:27" x14ac:dyDescent="0.25">
      <c r="A277" s="38" t="s">
        <v>526</v>
      </c>
      <c r="B277" s="8">
        <v>426426</v>
      </c>
      <c r="C277" s="8">
        <v>790</v>
      </c>
      <c r="D277" s="38" t="s">
        <v>1480</v>
      </c>
      <c r="G277" s="38">
        <v>890</v>
      </c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U277"/>
      <c r="V277"/>
      <c r="W277"/>
      <c r="X277"/>
      <c r="Y277"/>
      <c r="Z277"/>
      <c r="AA277"/>
    </row>
    <row r="278" spans="1:27" x14ac:dyDescent="0.25">
      <c r="A278" s="38" t="s">
        <v>526</v>
      </c>
      <c r="B278" s="8">
        <v>426435</v>
      </c>
      <c r="C278" s="8">
        <v>449</v>
      </c>
      <c r="D278" s="38" t="s">
        <v>1481</v>
      </c>
      <c r="G278" s="38">
        <v>549</v>
      </c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U278"/>
      <c r="V278"/>
      <c r="W278"/>
      <c r="X278"/>
      <c r="Y278"/>
      <c r="Z278"/>
      <c r="AA278"/>
    </row>
    <row r="279" spans="1:27" x14ac:dyDescent="0.25">
      <c r="A279" s="38" t="s">
        <v>526</v>
      </c>
      <c r="B279" s="8">
        <v>426735</v>
      </c>
      <c r="C279" s="8">
        <v>5690</v>
      </c>
      <c r="D279" s="38" t="s">
        <v>1483</v>
      </c>
      <c r="G279" s="38">
        <v>5690</v>
      </c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U279"/>
      <c r="V279"/>
      <c r="W279"/>
      <c r="X279"/>
      <c r="Y279"/>
      <c r="Z279"/>
      <c r="AA279"/>
    </row>
    <row r="280" spans="1:27" x14ac:dyDescent="0.25">
      <c r="A280" s="38" t="s">
        <v>526</v>
      </c>
      <c r="B280" s="8">
        <v>426757</v>
      </c>
      <c r="C280" s="8">
        <v>7190</v>
      </c>
      <c r="D280" s="38" t="s">
        <v>1482</v>
      </c>
      <c r="E280" s="8"/>
      <c r="F280" s="8"/>
      <c r="G280" s="38">
        <v>7190</v>
      </c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</row>
    <row r="281" spans="1:27" x14ac:dyDescent="0.25">
      <c r="A281" s="8"/>
      <c r="B281" s="8"/>
      <c r="C281" s="8"/>
      <c r="D281" s="8"/>
      <c r="E281" s="8"/>
      <c r="F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</row>
    <row r="1000" spans="28:28" x14ac:dyDescent="0.25">
      <c r="AB1000" s="8"/>
    </row>
  </sheetData>
  <phoneticPr fontId="1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ABD3FD-0EAB-41CD-BCCA-F20D71A253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Кат</vt:lpstr>
      <vt:lpstr>Прайс</vt:lpstr>
      <vt:lpstr>Наценка</vt:lpstr>
      <vt:lpstr>Выгр Кат</vt:lpstr>
      <vt:lpstr>Ссылки</vt:lpstr>
      <vt:lpstr>Из ГУГЛа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Snab TimeTurbo</cp:lastModifiedBy>
  <dcterms:created xsi:type="dcterms:W3CDTF">2015-06-05T18:19:34Z</dcterms:created>
  <dcterms:modified xsi:type="dcterms:W3CDTF">2024-12-26T05:54:11Z</dcterms:modified>
</cp:coreProperties>
</file>