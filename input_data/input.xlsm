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2FB0FAEF-DD14-4AEC-AC04-404FA8D921AF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Торг" sheetId="6" r:id="rId2"/>
    <sheet name="Наценка" sheetId="3" r:id="rId3"/>
    <sheet name="Выгр Кат" sheetId="4" r:id="rId4"/>
    <sheet name="Выгр Торг" sheetId="5" r:id="rId5"/>
    <sheet name="Ссылки" sheetId="8" r:id="rId6"/>
    <sheet name="Из ГУГЛа" sheetId="9" r:id="rId7"/>
  </sheets>
  <definedNames>
    <definedName name="_xlnm._FilterDatabase" localSheetId="3" hidden="1">'Выгр Кат'!$A$1:$O$140</definedName>
    <definedName name="_xlnm._FilterDatabase" localSheetId="4" hidden="1">'Выгр Торг'!$A$1:$P$7</definedName>
    <definedName name="_xlnm._FilterDatabase" localSheetId="0" hidden="1">Кат!$A$2:$XFC$141</definedName>
    <definedName name="_xlnm._FilterDatabase" localSheetId="1" hidden="1">Торг!$B$2:$Y$3</definedName>
    <definedName name="ExternalData_1" localSheetId="6" hidden="1">'Из ГУГЛа'!$A$1:$T$148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1" l="1"/>
  <c r="K22" i="1"/>
  <c r="K12" i="1"/>
  <c r="K26" i="1"/>
  <c r="K129" i="1"/>
  <c r="A5" i="6"/>
  <c r="C5" i="6"/>
  <c r="D5" i="6"/>
  <c r="E5" i="6"/>
  <c r="F5" i="6"/>
  <c r="G5" i="6"/>
  <c r="K5" i="6"/>
  <c r="L5" i="6" s="1"/>
  <c r="M5" i="6" s="1"/>
  <c r="R5" i="6" s="1"/>
  <c r="N5" i="6"/>
  <c r="P5" i="6" s="1"/>
  <c r="O5" i="6"/>
  <c r="S5" i="6"/>
  <c r="X5" i="6"/>
  <c r="A6" i="6"/>
  <c r="S6" i="6" s="1"/>
  <c r="C6" i="6"/>
  <c r="D6" i="6"/>
  <c r="E6" i="6"/>
  <c r="F6" i="6"/>
  <c r="G6" i="6"/>
  <c r="K6" i="6"/>
  <c r="L6" i="6" s="1"/>
  <c r="M6" i="6" s="1"/>
  <c r="N6" i="6"/>
  <c r="O6" i="6"/>
  <c r="P6" i="6"/>
  <c r="X6" i="6"/>
  <c r="A7" i="6"/>
  <c r="S7" i="6" s="1"/>
  <c r="C7" i="6"/>
  <c r="D7" i="6"/>
  <c r="E7" i="6"/>
  <c r="F7" i="6"/>
  <c r="G7" i="6"/>
  <c r="K7" i="6"/>
  <c r="L7" i="6" s="1"/>
  <c r="M7" i="6" s="1"/>
  <c r="R7" i="6" s="1"/>
  <c r="N7" i="6"/>
  <c r="O7" i="6"/>
  <c r="P7" i="6"/>
  <c r="X7" i="6"/>
  <c r="A8" i="6"/>
  <c r="S8" i="6" s="1"/>
  <c r="C8" i="6"/>
  <c r="D8" i="6"/>
  <c r="E8" i="6"/>
  <c r="F8" i="6"/>
  <c r="G8" i="6"/>
  <c r="K8" i="6"/>
  <c r="L8" i="6" s="1"/>
  <c r="M8" i="6" s="1"/>
  <c r="R8" i="6" s="1"/>
  <c r="N8" i="6"/>
  <c r="O8" i="6"/>
  <c r="P8" i="6"/>
  <c r="X8" i="6"/>
  <c r="P7" i="5"/>
  <c r="O7" i="5"/>
  <c r="P6" i="5"/>
  <c r="O6" i="5"/>
  <c r="P5" i="5"/>
  <c r="O5" i="5"/>
  <c r="P4" i="5"/>
  <c r="O4" i="5"/>
  <c r="K155" i="1"/>
  <c r="K135" i="1"/>
  <c r="K86" i="1"/>
  <c r="K134" i="1"/>
  <c r="K69" i="1"/>
  <c r="K68" i="1"/>
  <c r="K67" i="1"/>
  <c r="K64" i="1"/>
  <c r="K58" i="1"/>
  <c r="K54" i="1"/>
  <c r="K52" i="1"/>
  <c r="K51" i="1"/>
  <c r="K40" i="1"/>
  <c r="K39" i="1"/>
  <c r="K10" i="1"/>
  <c r="K8" i="1"/>
  <c r="K75" i="1"/>
  <c r="K45" i="1"/>
  <c r="K81" i="1"/>
  <c r="K79" i="1"/>
  <c r="K78" i="1"/>
  <c r="K77" i="1"/>
  <c r="K60" i="1"/>
  <c r="K17" i="1"/>
  <c r="K15" i="1"/>
  <c r="K14" i="1"/>
  <c r="K38" i="1"/>
  <c r="K34" i="1"/>
  <c r="K7" i="1"/>
  <c r="K133" i="1"/>
  <c r="K121" i="1"/>
  <c r="K120" i="1"/>
  <c r="K118" i="1"/>
  <c r="K117" i="1"/>
  <c r="K74" i="1"/>
  <c r="K73" i="1"/>
  <c r="K37" i="1"/>
  <c r="K36" i="1"/>
  <c r="K31" i="1"/>
  <c r="K29" i="1"/>
  <c r="K28" i="1"/>
  <c r="K16" i="1"/>
  <c r="K13" i="1"/>
  <c r="K91" i="1"/>
  <c r="K90" i="1"/>
  <c r="K70" i="1"/>
  <c r="K55" i="1"/>
  <c r="K147" i="1"/>
  <c r="K148" i="1"/>
  <c r="K154" i="1"/>
  <c r="K153" i="1"/>
  <c r="K152" i="1"/>
  <c r="K151" i="1"/>
  <c r="K150" i="1"/>
  <c r="K149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3" i="1"/>
  <c r="X141" i="1"/>
  <c r="K141" i="1" s="1"/>
  <c r="X140" i="1"/>
  <c r="K140" i="1" s="1"/>
  <c r="X93" i="1"/>
  <c r="K93" i="1" s="1"/>
  <c r="X95" i="1"/>
  <c r="W95" i="1" s="1"/>
  <c r="B138" i="1"/>
  <c r="C138" i="1"/>
  <c r="D138" i="1"/>
  <c r="F138" i="1"/>
  <c r="J138" i="1"/>
  <c r="M138" i="1"/>
  <c r="O138" i="1" s="1"/>
  <c r="N138" i="1"/>
  <c r="W138" i="1"/>
  <c r="B139" i="1"/>
  <c r="C139" i="1"/>
  <c r="D139" i="1"/>
  <c r="F139" i="1"/>
  <c r="J139" i="1"/>
  <c r="M139" i="1"/>
  <c r="O139" i="1" s="1"/>
  <c r="N139" i="1"/>
  <c r="K139" i="1" s="1"/>
  <c r="W139" i="1"/>
  <c r="B140" i="1"/>
  <c r="C140" i="1"/>
  <c r="D140" i="1"/>
  <c r="F140" i="1"/>
  <c r="J140" i="1"/>
  <c r="M140" i="1"/>
  <c r="O140" i="1" s="1"/>
  <c r="N140" i="1"/>
  <c r="W140" i="1"/>
  <c r="B141" i="1"/>
  <c r="C141" i="1"/>
  <c r="D141" i="1"/>
  <c r="F141" i="1"/>
  <c r="J141" i="1"/>
  <c r="M141" i="1"/>
  <c r="O141" i="1" s="1"/>
  <c r="N141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6" i="1"/>
  <c r="W27" i="1"/>
  <c r="W28" i="1"/>
  <c r="W29" i="1"/>
  <c r="W30" i="1"/>
  <c r="W31" i="1"/>
  <c r="W32" i="1"/>
  <c r="W33" i="1"/>
  <c r="W34" i="1"/>
  <c r="W35" i="1"/>
  <c r="W38" i="1"/>
  <c r="W39" i="1"/>
  <c r="W40" i="1"/>
  <c r="W41" i="1"/>
  <c r="W42" i="1"/>
  <c r="W43" i="1"/>
  <c r="W44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3" i="1"/>
  <c r="S4" i="6"/>
  <c r="X4" i="6"/>
  <c r="X3" i="6"/>
  <c r="L1" i="1"/>
  <c r="K1" i="1"/>
  <c r="J137" i="1"/>
  <c r="J136" i="1"/>
  <c r="K136" i="1" s="1"/>
  <c r="J135" i="1"/>
  <c r="J134" i="1"/>
  <c r="J133" i="1"/>
  <c r="J132" i="1"/>
  <c r="K132" i="1" s="1"/>
  <c r="J131" i="1"/>
  <c r="K131" i="1" s="1"/>
  <c r="J130" i="1"/>
  <c r="J129" i="1"/>
  <c r="J128" i="1"/>
  <c r="J127" i="1"/>
  <c r="J126" i="1"/>
  <c r="J125" i="1"/>
  <c r="J124" i="1"/>
  <c r="K124" i="1" s="1"/>
  <c r="J123" i="1"/>
  <c r="K123" i="1" s="1"/>
  <c r="J122" i="1"/>
  <c r="K122" i="1" s="1"/>
  <c r="J121" i="1"/>
  <c r="J120" i="1"/>
  <c r="J119" i="1"/>
  <c r="K119" i="1" s="1"/>
  <c r="J118" i="1"/>
  <c r="J117" i="1"/>
  <c r="J116" i="1"/>
  <c r="J115" i="1"/>
  <c r="J114" i="1"/>
  <c r="K114" i="1" s="1"/>
  <c r="J113" i="1"/>
  <c r="J112" i="1"/>
  <c r="K112" i="1" s="1"/>
  <c r="J111" i="1"/>
  <c r="K111" i="1" s="1"/>
  <c r="J110" i="1"/>
  <c r="K110" i="1" s="1"/>
  <c r="J109" i="1"/>
  <c r="K109" i="1" s="1"/>
  <c r="J108" i="1"/>
  <c r="K108" i="1" s="1"/>
  <c r="J107" i="1"/>
  <c r="K107" i="1" s="1"/>
  <c r="J106" i="1"/>
  <c r="J105" i="1"/>
  <c r="J104" i="1"/>
  <c r="J103" i="1"/>
  <c r="J102" i="1"/>
  <c r="J101" i="1"/>
  <c r="J100" i="1"/>
  <c r="K100" i="1" s="1"/>
  <c r="J99" i="1"/>
  <c r="K99" i="1" s="1"/>
  <c r="J98" i="1"/>
  <c r="K98" i="1" s="1"/>
  <c r="J97" i="1"/>
  <c r="K97" i="1" s="1"/>
  <c r="J96" i="1"/>
  <c r="K96" i="1" s="1"/>
  <c r="J95" i="1"/>
  <c r="J94" i="1"/>
  <c r="J93" i="1"/>
  <c r="J92" i="1"/>
  <c r="J91" i="1"/>
  <c r="J90" i="1"/>
  <c r="J89" i="1"/>
  <c r="J88" i="1"/>
  <c r="K88" i="1" s="1"/>
  <c r="J87" i="1"/>
  <c r="K87" i="1" s="1"/>
  <c r="J86" i="1"/>
  <c r="J85" i="1"/>
  <c r="K85" i="1" s="1"/>
  <c r="J84" i="1"/>
  <c r="K84" i="1" s="1"/>
  <c r="J83" i="1"/>
  <c r="K83" i="1" s="1"/>
  <c r="J82" i="1"/>
  <c r="J81" i="1"/>
  <c r="J80" i="1"/>
  <c r="J79" i="1"/>
  <c r="J78" i="1"/>
  <c r="J77" i="1"/>
  <c r="J76" i="1"/>
  <c r="K76" i="1" s="1"/>
  <c r="J75" i="1"/>
  <c r="J74" i="1"/>
  <c r="J73" i="1"/>
  <c r="J72" i="1"/>
  <c r="K72" i="1" s="1"/>
  <c r="J71" i="1"/>
  <c r="K71" i="1" s="1"/>
  <c r="J70" i="1"/>
  <c r="J69" i="1"/>
  <c r="J68" i="1"/>
  <c r="J67" i="1"/>
  <c r="J66" i="1"/>
  <c r="K66" i="1" s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K50" i="1" s="1"/>
  <c r="J49" i="1"/>
  <c r="K49" i="1" s="1"/>
  <c r="J48" i="1"/>
  <c r="K48" i="1" s="1"/>
  <c r="J47" i="1"/>
  <c r="K47" i="1" s="1"/>
  <c r="J46" i="1"/>
  <c r="J45" i="1"/>
  <c r="J44" i="1"/>
  <c r="J43" i="1"/>
  <c r="K43" i="1" s="1"/>
  <c r="J42" i="1"/>
  <c r="K42" i="1" s="1"/>
  <c r="J41" i="1"/>
  <c r="J40" i="1"/>
  <c r="J39" i="1"/>
  <c r="J38" i="1"/>
  <c r="J37" i="1"/>
  <c r="J36" i="1"/>
  <c r="J35" i="1"/>
  <c r="K35" i="1" s="1"/>
  <c r="J34" i="1"/>
  <c r="J33" i="1"/>
  <c r="J32" i="1"/>
  <c r="J31" i="1"/>
  <c r="J30" i="1"/>
  <c r="J29" i="1"/>
  <c r="J28" i="1"/>
  <c r="J27" i="1"/>
  <c r="K27" i="1" s="1"/>
  <c r="J26" i="1"/>
  <c r="J25" i="1"/>
  <c r="J24" i="1"/>
  <c r="J23" i="1"/>
  <c r="J22" i="1"/>
  <c r="J21" i="1"/>
  <c r="J20" i="1"/>
  <c r="J19" i="1"/>
  <c r="K19" i="1" s="1"/>
  <c r="J18" i="1"/>
  <c r="K18" i="1" s="1"/>
  <c r="J17" i="1"/>
  <c r="J16" i="1"/>
  <c r="J15" i="1"/>
  <c r="J14" i="1"/>
  <c r="J13" i="1"/>
  <c r="J12" i="1"/>
  <c r="J11" i="1"/>
  <c r="J10" i="1"/>
  <c r="J8" i="1"/>
  <c r="J7" i="1"/>
  <c r="J6" i="1"/>
  <c r="J5" i="1"/>
  <c r="J4" i="1"/>
  <c r="J3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M34" i="1"/>
  <c r="O34" i="1" s="1"/>
  <c r="M44" i="1"/>
  <c r="O44" i="1" s="1"/>
  <c r="C45" i="1"/>
  <c r="C55" i="1"/>
  <c r="M66" i="1"/>
  <c r="O66" i="1" s="1"/>
  <c r="N67" i="1"/>
  <c r="N79" i="1"/>
  <c r="C89" i="1"/>
  <c r="C93" i="1"/>
  <c r="C99" i="1"/>
  <c r="M110" i="1"/>
  <c r="O110" i="1" s="1"/>
  <c r="N120" i="1"/>
  <c r="N127" i="1"/>
  <c r="D128" i="1"/>
  <c r="N129" i="1"/>
  <c r="D131" i="1"/>
  <c r="N132" i="1"/>
  <c r="M133" i="1"/>
  <c r="O133" i="1" s="1"/>
  <c r="D134" i="1"/>
  <c r="C135" i="1"/>
  <c r="C136" i="1"/>
  <c r="D137" i="1"/>
  <c r="M3" i="1"/>
  <c r="O3" i="1" s="1"/>
  <c r="A4" i="6"/>
  <c r="A3" i="6"/>
  <c r="S3" i="6" s="1"/>
  <c r="C4" i="6"/>
  <c r="C3" i="6"/>
  <c r="C4" i="1"/>
  <c r="D4" i="1"/>
  <c r="F4" i="1"/>
  <c r="C5" i="1"/>
  <c r="D5" i="1"/>
  <c r="F5" i="1"/>
  <c r="C6" i="1"/>
  <c r="D6" i="1"/>
  <c r="F6" i="1"/>
  <c r="C7" i="1"/>
  <c r="D7" i="1"/>
  <c r="F7" i="1"/>
  <c r="C8" i="1"/>
  <c r="D8" i="1"/>
  <c r="F8" i="1"/>
  <c r="C9" i="1"/>
  <c r="D9" i="1"/>
  <c r="F9" i="1"/>
  <c r="C10" i="1"/>
  <c r="D10" i="1"/>
  <c r="F10" i="1"/>
  <c r="C13" i="1"/>
  <c r="D13" i="1"/>
  <c r="F13" i="1"/>
  <c r="C14" i="1"/>
  <c r="D14" i="1"/>
  <c r="F14" i="1"/>
  <c r="C15" i="1"/>
  <c r="D15" i="1"/>
  <c r="F15" i="1"/>
  <c r="C16" i="1"/>
  <c r="D16" i="1"/>
  <c r="F16" i="1"/>
  <c r="C18" i="1"/>
  <c r="D18" i="1"/>
  <c r="F18" i="1"/>
  <c r="C19" i="1"/>
  <c r="D19" i="1"/>
  <c r="F19" i="1"/>
  <c r="C20" i="1"/>
  <c r="D20" i="1"/>
  <c r="F20" i="1"/>
  <c r="C21" i="1"/>
  <c r="D21" i="1"/>
  <c r="F21" i="1"/>
  <c r="C22" i="1"/>
  <c r="D22" i="1"/>
  <c r="F22" i="1"/>
  <c r="C24" i="1"/>
  <c r="D24" i="1"/>
  <c r="F24" i="1"/>
  <c r="C25" i="1"/>
  <c r="D25" i="1"/>
  <c r="F25" i="1"/>
  <c r="C26" i="1"/>
  <c r="D26" i="1"/>
  <c r="F26" i="1"/>
  <c r="C27" i="1"/>
  <c r="D27" i="1"/>
  <c r="F27" i="1"/>
  <c r="C28" i="1"/>
  <c r="D28" i="1"/>
  <c r="F28" i="1"/>
  <c r="C29" i="1"/>
  <c r="D29" i="1"/>
  <c r="F29" i="1"/>
  <c r="C30" i="1"/>
  <c r="D30" i="1"/>
  <c r="F30" i="1"/>
  <c r="C31" i="1"/>
  <c r="D31" i="1"/>
  <c r="F31" i="1"/>
  <c r="C32" i="1"/>
  <c r="D32" i="1"/>
  <c r="F32" i="1"/>
  <c r="C35" i="1"/>
  <c r="D35" i="1"/>
  <c r="F35" i="1"/>
  <c r="C36" i="1"/>
  <c r="D36" i="1"/>
  <c r="F36" i="1"/>
  <c r="C37" i="1"/>
  <c r="D37" i="1"/>
  <c r="F37" i="1"/>
  <c r="C38" i="1"/>
  <c r="D38" i="1"/>
  <c r="F38" i="1"/>
  <c r="C39" i="1"/>
  <c r="D39" i="1"/>
  <c r="F39" i="1"/>
  <c r="C40" i="1"/>
  <c r="D40" i="1"/>
  <c r="F40" i="1"/>
  <c r="C41" i="1"/>
  <c r="D41" i="1"/>
  <c r="F41" i="1"/>
  <c r="C42" i="1"/>
  <c r="D42" i="1"/>
  <c r="F42" i="1"/>
  <c r="C43" i="1"/>
  <c r="D43" i="1"/>
  <c r="F43" i="1"/>
  <c r="D45" i="1"/>
  <c r="C46" i="1"/>
  <c r="D46" i="1"/>
  <c r="F46" i="1"/>
  <c r="C47" i="1"/>
  <c r="D47" i="1"/>
  <c r="F47" i="1"/>
  <c r="C48" i="1"/>
  <c r="D48" i="1"/>
  <c r="F48" i="1"/>
  <c r="C49" i="1"/>
  <c r="D49" i="1"/>
  <c r="F49" i="1"/>
  <c r="C50" i="1"/>
  <c r="D50" i="1"/>
  <c r="F50" i="1"/>
  <c r="C51" i="1"/>
  <c r="D51" i="1"/>
  <c r="F51" i="1"/>
  <c r="C52" i="1"/>
  <c r="D52" i="1"/>
  <c r="F52" i="1"/>
  <c r="C53" i="1"/>
  <c r="D53" i="1"/>
  <c r="F53" i="1"/>
  <c r="C54" i="1"/>
  <c r="D54" i="1"/>
  <c r="F54" i="1"/>
  <c r="C56" i="1"/>
  <c r="D56" i="1"/>
  <c r="F56" i="1"/>
  <c r="C57" i="1"/>
  <c r="D57" i="1"/>
  <c r="F57" i="1"/>
  <c r="C58" i="1"/>
  <c r="D58" i="1"/>
  <c r="F58" i="1"/>
  <c r="C59" i="1"/>
  <c r="D59" i="1"/>
  <c r="F59" i="1"/>
  <c r="C60" i="1"/>
  <c r="D60" i="1"/>
  <c r="F60" i="1"/>
  <c r="C61" i="1"/>
  <c r="D61" i="1"/>
  <c r="F61" i="1"/>
  <c r="C62" i="1"/>
  <c r="D62" i="1"/>
  <c r="F62" i="1"/>
  <c r="C63" i="1"/>
  <c r="D63" i="1"/>
  <c r="F63" i="1"/>
  <c r="C64" i="1"/>
  <c r="D64" i="1"/>
  <c r="F64" i="1"/>
  <c r="C65" i="1"/>
  <c r="D65" i="1"/>
  <c r="F65" i="1"/>
  <c r="C68" i="1"/>
  <c r="D68" i="1"/>
  <c r="F68" i="1"/>
  <c r="C69" i="1"/>
  <c r="D69" i="1"/>
  <c r="F69" i="1"/>
  <c r="C70" i="1"/>
  <c r="D70" i="1"/>
  <c r="F70" i="1"/>
  <c r="C71" i="1"/>
  <c r="D71" i="1"/>
  <c r="F71" i="1"/>
  <c r="C72" i="1"/>
  <c r="D72" i="1"/>
  <c r="F72" i="1"/>
  <c r="C73" i="1"/>
  <c r="D73" i="1"/>
  <c r="F73" i="1"/>
  <c r="C74" i="1"/>
  <c r="D74" i="1"/>
  <c r="F74" i="1"/>
  <c r="C75" i="1"/>
  <c r="D75" i="1"/>
  <c r="F75" i="1"/>
  <c r="C76" i="1"/>
  <c r="D76" i="1"/>
  <c r="F76" i="1"/>
  <c r="C77" i="1"/>
  <c r="D77" i="1"/>
  <c r="F77" i="1"/>
  <c r="C78" i="1"/>
  <c r="D78" i="1"/>
  <c r="F78" i="1"/>
  <c r="C80" i="1"/>
  <c r="D80" i="1"/>
  <c r="F80" i="1"/>
  <c r="C81" i="1"/>
  <c r="D81" i="1"/>
  <c r="F81" i="1"/>
  <c r="C82" i="1"/>
  <c r="D82" i="1"/>
  <c r="F82" i="1"/>
  <c r="C83" i="1"/>
  <c r="D83" i="1"/>
  <c r="F83" i="1"/>
  <c r="C84" i="1"/>
  <c r="D84" i="1"/>
  <c r="F84" i="1"/>
  <c r="C86" i="1"/>
  <c r="D86" i="1"/>
  <c r="F86" i="1"/>
  <c r="C87" i="1"/>
  <c r="D87" i="1"/>
  <c r="F87" i="1"/>
  <c r="C88" i="1"/>
  <c r="D88" i="1"/>
  <c r="F88" i="1"/>
  <c r="C90" i="1"/>
  <c r="D90" i="1"/>
  <c r="F90" i="1"/>
  <c r="C91" i="1"/>
  <c r="D91" i="1"/>
  <c r="F91" i="1"/>
  <c r="C92" i="1"/>
  <c r="D92" i="1"/>
  <c r="F92" i="1"/>
  <c r="C94" i="1"/>
  <c r="D94" i="1"/>
  <c r="F94" i="1"/>
  <c r="C95" i="1"/>
  <c r="D95" i="1"/>
  <c r="F95" i="1"/>
  <c r="C96" i="1"/>
  <c r="D96" i="1"/>
  <c r="F96" i="1"/>
  <c r="C97" i="1"/>
  <c r="D97" i="1"/>
  <c r="F97" i="1"/>
  <c r="C98" i="1"/>
  <c r="D98" i="1"/>
  <c r="F98" i="1"/>
  <c r="C100" i="1"/>
  <c r="D100" i="1"/>
  <c r="F100" i="1"/>
  <c r="C102" i="1"/>
  <c r="D102" i="1"/>
  <c r="F102" i="1"/>
  <c r="C103" i="1"/>
  <c r="D103" i="1"/>
  <c r="F103" i="1"/>
  <c r="C104" i="1"/>
  <c r="D104" i="1"/>
  <c r="F104" i="1"/>
  <c r="C105" i="1"/>
  <c r="D105" i="1"/>
  <c r="F105" i="1"/>
  <c r="C106" i="1"/>
  <c r="D106" i="1"/>
  <c r="F106" i="1"/>
  <c r="C107" i="1"/>
  <c r="D107" i="1"/>
  <c r="F107" i="1"/>
  <c r="C108" i="1"/>
  <c r="D108" i="1"/>
  <c r="F108" i="1"/>
  <c r="C109" i="1"/>
  <c r="D109" i="1"/>
  <c r="F109" i="1"/>
  <c r="C111" i="1"/>
  <c r="D111" i="1"/>
  <c r="F111" i="1"/>
  <c r="C112" i="1"/>
  <c r="D112" i="1"/>
  <c r="F112" i="1"/>
  <c r="C113" i="1"/>
  <c r="D113" i="1"/>
  <c r="F113" i="1"/>
  <c r="C114" i="1"/>
  <c r="D114" i="1"/>
  <c r="F114" i="1"/>
  <c r="C115" i="1"/>
  <c r="D115" i="1"/>
  <c r="F115" i="1"/>
  <c r="C116" i="1"/>
  <c r="D116" i="1"/>
  <c r="F116" i="1"/>
  <c r="C117" i="1"/>
  <c r="D117" i="1"/>
  <c r="F117" i="1"/>
  <c r="C118" i="1"/>
  <c r="D118" i="1"/>
  <c r="F118" i="1"/>
  <c r="C119" i="1"/>
  <c r="D119" i="1"/>
  <c r="F119" i="1"/>
  <c r="C121" i="1"/>
  <c r="D121" i="1"/>
  <c r="F121" i="1"/>
  <c r="C122" i="1"/>
  <c r="D122" i="1"/>
  <c r="F122" i="1"/>
  <c r="C123" i="1"/>
  <c r="D123" i="1"/>
  <c r="F123" i="1"/>
  <c r="C124" i="1"/>
  <c r="D124" i="1"/>
  <c r="F124" i="1"/>
  <c r="C125" i="1"/>
  <c r="D125" i="1"/>
  <c r="F125" i="1"/>
  <c r="D130" i="1"/>
  <c r="F133" i="1"/>
  <c r="C134" i="1"/>
  <c r="F134" i="1"/>
  <c r="M136" i="1"/>
  <c r="O136" i="1" s="1"/>
  <c r="N134" i="1"/>
  <c r="M134" i="1"/>
  <c r="O134" i="1" s="1"/>
  <c r="N133" i="1"/>
  <c r="N125" i="1"/>
  <c r="M125" i="1"/>
  <c r="O125" i="1" s="1"/>
  <c r="N124" i="1"/>
  <c r="M124" i="1"/>
  <c r="O124" i="1" s="1"/>
  <c r="N123" i="1"/>
  <c r="M123" i="1"/>
  <c r="O123" i="1" s="1"/>
  <c r="N122" i="1"/>
  <c r="M122" i="1"/>
  <c r="O122" i="1" s="1"/>
  <c r="N121" i="1"/>
  <c r="M121" i="1"/>
  <c r="O121" i="1" s="1"/>
  <c r="N119" i="1"/>
  <c r="M119" i="1"/>
  <c r="O119" i="1" s="1"/>
  <c r="N118" i="1"/>
  <c r="M118" i="1"/>
  <c r="O118" i="1" s="1"/>
  <c r="N117" i="1"/>
  <c r="M117" i="1"/>
  <c r="O117" i="1" s="1"/>
  <c r="N116" i="1"/>
  <c r="M116" i="1"/>
  <c r="O116" i="1" s="1"/>
  <c r="N115" i="1"/>
  <c r="M115" i="1"/>
  <c r="O115" i="1" s="1"/>
  <c r="N114" i="1"/>
  <c r="M114" i="1"/>
  <c r="O114" i="1" s="1"/>
  <c r="N113" i="1"/>
  <c r="M113" i="1"/>
  <c r="O113" i="1" s="1"/>
  <c r="N112" i="1"/>
  <c r="M112" i="1"/>
  <c r="O112" i="1" s="1"/>
  <c r="N111" i="1"/>
  <c r="M111" i="1"/>
  <c r="O111" i="1" s="1"/>
  <c r="N109" i="1"/>
  <c r="M109" i="1"/>
  <c r="O109" i="1" s="1"/>
  <c r="N108" i="1"/>
  <c r="M108" i="1"/>
  <c r="O108" i="1" s="1"/>
  <c r="N107" i="1"/>
  <c r="M107" i="1"/>
  <c r="O107" i="1" s="1"/>
  <c r="N106" i="1"/>
  <c r="M106" i="1"/>
  <c r="O106" i="1" s="1"/>
  <c r="N105" i="1"/>
  <c r="M105" i="1"/>
  <c r="O105" i="1" s="1"/>
  <c r="N104" i="1"/>
  <c r="M104" i="1"/>
  <c r="O104" i="1" s="1"/>
  <c r="N103" i="1"/>
  <c r="M103" i="1"/>
  <c r="O103" i="1" s="1"/>
  <c r="N102" i="1"/>
  <c r="M102" i="1"/>
  <c r="O102" i="1" s="1"/>
  <c r="N100" i="1"/>
  <c r="M100" i="1"/>
  <c r="O100" i="1" s="1"/>
  <c r="N98" i="1"/>
  <c r="M98" i="1"/>
  <c r="O98" i="1" s="1"/>
  <c r="N97" i="1"/>
  <c r="M97" i="1"/>
  <c r="O97" i="1" s="1"/>
  <c r="N96" i="1"/>
  <c r="M96" i="1"/>
  <c r="O96" i="1" s="1"/>
  <c r="N95" i="1"/>
  <c r="M95" i="1"/>
  <c r="O95" i="1" s="1"/>
  <c r="N94" i="1"/>
  <c r="M94" i="1"/>
  <c r="O94" i="1" s="1"/>
  <c r="N92" i="1"/>
  <c r="M92" i="1"/>
  <c r="O92" i="1" s="1"/>
  <c r="N91" i="1"/>
  <c r="M91" i="1"/>
  <c r="O91" i="1" s="1"/>
  <c r="N90" i="1"/>
  <c r="M90" i="1"/>
  <c r="O90" i="1" s="1"/>
  <c r="N88" i="1"/>
  <c r="M88" i="1"/>
  <c r="O88" i="1" s="1"/>
  <c r="N87" i="1"/>
  <c r="M87" i="1"/>
  <c r="O87" i="1" s="1"/>
  <c r="N86" i="1"/>
  <c r="M86" i="1"/>
  <c r="O86" i="1" s="1"/>
  <c r="N84" i="1"/>
  <c r="M84" i="1"/>
  <c r="O84" i="1" s="1"/>
  <c r="N83" i="1"/>
  <c r="M83" i="1"/>
  <c r="O83" i="1" s="1"/>
  <c r="N82" i="1"/>
  <c r="M82" i="1"/>
  <c r="O82" i="1" s="1"/>
  <c r="N81" i="1"/>
  <c r="M81" i="1"/>
  <c r="O81" i="1" s="1"/>
  <c r="N80" i="1"/>
  <c r="M80" i="1"/>
  <c r="O80" i="1" s="1"/>
  <c r="N78" i="1"/>
  <c r="M78" i="1"/>
  <c r="O78" i="1" s="1"/>
  <c r="N77" i="1"/>
  <c r="M77" i="1"/>
  <c r="O77" i="1" s="1"/>
  <c r="N76" i="1"/>
  <c r="M76" i="1"/>
  <c r="O76" i="1" s="1"/>
  <c r="N75" i="1"/>
  <c r="M75" i="1"/>
  <c r="O75" i="1" s="1"/>
  <c r="N74" i="1"/>
  <c r="M74" i="1"/>
  <c r="O74" i="1" s="1"/>
  <c r="N73" i="1"/>
  <c r="M73" i="1"/>
  <c r="O73" i="1" s="1"/>
  <c r="N72" i="1"/>
  <c r="M72" i="1"/>
  <c r="O72" i="1" s="1"/>
  <c r="N71" i="1"/>
  <c r="M71" i="1"/>
  <c r="O71" i="1" s="1"/>
  <c r="N70" i="1"/>
  <c r="M70" i="1"/>
  <c r="O70" i="1" s="1"/>
  <c r="N69" i="1"/>
  <c r="M69" i="1"/>
  <c r="O69" i="1" s="1"/>
  <c r="N68" i="1"/>
  <c r="M68" i="1"/>
  <c r="O68" i="1" s="1"/>
  <c r="N65" i="1"/>
  <c r="M65" i="1"/>
  <c r="O65" i="1" s="1"/>
  <c r="N64" i="1"/>
  <c r="M64" i="1"/>
  <c r="O64" i="1" s="1"/>
  <c r="N63" i="1"/>
  <c r="M63" i="1"/>
  <c r="O63" i="1" s="1"/>
  <c r="N62" i="1"/>
  <c r="M62" i="1"/>
  <c r="O62" i="1" s="1"/>
  <c r="N61" i="1"/>
  <c r="M61" i="1"/>
  <c r="O61" i="1" s="1"/>
  <c r="N60" i="1"/>
  <c r="M60" i="1"/>
  <c r="O60" i="1" s="1"/>
  <c r="N59" i="1"/>
  <c r="M59" i="1"/>
  <c r="O59" i="1" s="1"/>
  <c r="N58" i="1"/>
  <c r="M58" i="1"/>
  <c r="O58" i="1" s="1"/>
  <c r="N57" i="1"/>
  <c r="M57" i="1"/>
  <c r="O57" i="1" s="1"/>
  <c r="N56" i="1"/>
  <c r="M56" i="1"/>
  <c r="O56" i="1" s="1"/>
  <c r="N54" i="1"/>
  <c r="M54" i="1"/>
  <c r="O54" i="1" s="1"/>
  <c r="N53" i="1"/>
  <c r="M53" i="1"/>
  <c r="O53" i="1" s="1"/>
  <c r="N52" i="1"/>
  <c r="M52" i="1"/>
  <c r="O52" i="1" s="1"/>
  <c r="N51" i="1"/>
  <c r="M51" i="1"/>
  <c r="O51" i="1" s="1"/>
  <c r="N50" i="1"/>
  <c r="M50" i="1"/>
  <c r="O50" i="1" s="1"/>
  <c r="N49" i="1"/>
  <c r="M49" i="1"/>
  <c r="O49" i="1" s="1"/>
  <c r="N48" i="1"/>
  <c r="M48" i="1"/>
  <c r="O48" i="1" s="1"/>
  <c r="N47" i="1"/>
  <c r="M47" i="1"/>
  <c r="O47" i="1" s="1"/>
  <c r="N46" i="1"/>
  <c r="M46" i="1"/>
  <c r="O46" i="1" s="1"/>
  <c r="N43" i="1"/>
  <c r="M43" i="1"/>
  <c r="O43" i="1" s="1"/>
  <c r="N42" i="1"/>
  <c r="M42" i="1"/>
  <c r="O42" i="1" s="1"/>
  <c r="N41" i="1"/>
  <c r="M41" i="1"/>
  <c r="O41" i="1" s="1"/>
  <c r="N40" i="1"/>
  <c r="M40" i="1"/>
  <c r="O40" i="1" s="1"/>
  <c r="N39" i="1"/>
  <c r="M39" i="1"/>
  <c r="O39" i="1" s="1"/>
  <c r="N38" i="1"/>
  <c r="M38" i="1"/>
  <c r="O38" i="1" s="1"/>
  <c r="N37" i="1"/>
  <c r="M37" i="1"/>
  <c r="O37" i="1" s="1"/>
  <c r="N36" i="1"/>
  <c r="M36" i="1"/>
  <c r="O36" i="1" s="1"/>
  <c r="N35" i="1"/>
  <c r="M35" i="1"/>
  <c r="O35" i="1" s="1"/>
  <c r="N32" i="1"/>
  <c r="M32" i="1"/>
  <c r="O32" i="1" s="1"/>
  <c r="N31" i="1"/>
  <c r="M31" i="1"/>
  <c r="O31" i="1" s="1"/>
  <c r="N30" i="1"/>
  <c r="M30" i="1"/>
  <c r="O30" i="1" s="1"/>
  <c r="N29" i="1"/>
  <c r="M29" i="1"/>
  <c r="O29" i="1" s="1"/>
  <c r="N28" i="1"/>
  <c r="M28" i="1"/>
  <c r="O28" i="1" s="1"/>
  <c r="N27" i="1"/>
  <c r="M27" i="1"/>
  <c r="O27" i="1" s="1"/>
  <c r="N26" i="1"/>
  <c r="M26" i="1"/>
  <c r="O26" i="1" s="1"/>
  <c r="N25" i="1"/>
  <c r="M25" i="1"/>
  <c r="O25" i="1" s="1"/>
  <c r="N24" i="1"/>
  <c r="M24" i="1"/>
  <c r="O24" i="1" s="1"/>
  <c r="N22" i="1"/>
  <c r="M22" i="1"/>
  <c r="O22" i="1" s="1"/>
  <c r="N21" i="1"/>
  <c r="M21" i="1"/>
  <c r="O21" i="1" s="1"/>
  <c r="N20" i="1"/>
  <c r="M20" i="1"/>
  <c r="O20" i="1" s="1"/>
  <c r="N19" i="1"/>
  <c r="M19" i="1"/>
  <c r="O19" i="1" s="1"/>
  <c r="N18" i="1"/>
  <c r="M18" i="1"/>
  <c r="O18" i="1" s="1"/>
  <c r="M17" i="1"/>
  <c r="O17" i="1" s="1"/>
  <c r="N16" i="1"/>
  <c r="M16" i="1"/>
  <c r="O16" i="1" s="1"/>
  <c r="N15" i="1"/>
  <c r="M15" i="1"/>
  <c r="O15" i="1" s="1"/>
  <c r="N14" i="1"/>
  <c r="M14" i="1"/>
  <c r="O14" i="1" s="1"/>
  <c r="N13" i="1"/>
  <c r="M13" i="1"/>
  <c r="O13" i="1" s="1"/>
  <c r="N10" i="1"/>
  <c r="M10" i="1"/>
  <c r="O10" i="1" s="1"/>
  <c r="N9" i="1"/>
  <c r="M9" i="1"/>
  <c r="O9" i="1" s="1"/>
  <c r="N8" i="1"/>
  <c r="M8" i="1"/>
  <c r="O8" i="1" s="1"/>
  <c r="N7" i="1"/>
  <c r="M7" i="1"/>
  <c r="O7" i="1" s="1"/>
  <c r="N6" i="1"/>
  <c r="K6" i="1" s="1"/>
  <c r="M6" i="1"/>
  <c r="O6" i="1" s="1"/>
  <c r="N5" i="1"/>
  <c r="K5" i="1" s="1"/>
  <c r="M5" i="1"/>
  <c r="O5" i="1" s="1"/>
  <c r="N4" i="1"/>
  <c r="K4" i="1" s="1"/>
  <c r="M4" i="1"/>
  <c r="O4" i="1" s="1"/>
  <c r="N3" i="1"/>
  <c r="K3" i="1" s="1"/>
  <c r="N3" i="4"/>
  <c r="E109" i="1" s="1"/>
  <c r="N4" i="4"/>
  <c r="E138" i="1" s="1"/>
  <c r="N5" i="4"/>
  <c r="E84" i="1" s="1"/>
  <c r="N6" i="4"/>
  <c r="E104" i="1" s="1"/>
  <c r="N7" i="4"/>
  <c r="E82" i="1" s="1"/>
  <c r="N8" i="4"/>
  <c r="E102" i="1" s="1"/>
  <c r="N9" i="4"/>
  <c r="E92" i="1" s="1"/>
  <c r="N10" i="4"/>
  <c r="E115" i="1" s="1"/>
  <c r="N11" i="4"/>
  <c r="E105" i="1" s="1"/>
  <c r="N12" i="4"/>
  <c r="N13" i="4"/>
  <c r="N14" i="4"/>
  <c r="E103" i="1" s="1"/>
  <c r="N15" i="4"/>
  <c r="E83" i="1" s="1"/>
  <c r="N16" i="4"/>
  <c r="N17" i="4"/>
  <c r="N18" i="4"/>
  <c r="N19" i="4"/>
  <c r="E106" i="1" s="1"/>
  <c r="N20" i="4"/>
  <c r="N21" i="4"/>
  <c r="N22" i="4"/>
  <c r="N23" i="4"/>
  <c r="N24" i="4"/>
  <c r="N25" i="4"/>
  <c r="N26" i="4"/>
  <c r="E81" i="1" s="1"/>
  <c r="N27" i="4"/>
  <c r="E100" i="1" s="1"/>
  <c r="N28" i="4"/>
  <c r="E87" i="1" s="1"/>
  <c r="N29" i="4"/>
  <c r="E107" i="1" s="1"/>
  <c r="N30" i="4"/>
  <c r="N31" i="4"/>
  <c r="E114" i="1" s="1"/>
  <c r="N32" i="4"/>
  <c r="N33" i="4"/>
  <c r="E58" i="1" s="1"/>
  <c r="N34" i="4"/>
  <c r="E63" i="1" s="1"/>
  <c r="N35" i="4"/>
  <c r="E60" i="1" s="1"/>
  <c r="N36" i="4"/>
  <c r="E62" i="1" s="1"/>
  <c r="N37" i="4"/>
  <c r="E59" i="1" s="1"/>
  <c r="N38" i="4"/>
  <c r="E64" i="1" s="1"/>
  <c r="N39" i="4"/>
  <c r="E61" i="1" s="1"/>
  <c r="N40" i="4"/>
  <c r="E69" i="1" s="1"/>
  <c r="N41" i="4"/>
  <c r="E97" i="1" s="1"/>
  <c r="N42" i="4"/>
  <c r="E88" i="1" s="1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E10" i="1" s="1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E4" i="1" s="1"/>
  <c r="N140" i="4"/>
  <c r="N2" i="4"/>
  <c r="E112" i="1" s="1"/>
  <c r="O3" i="5"/>
  <c r="O2" i="5"/>
  <c r="D4" i="6"/>
  <c r="E4" i="6"/>
  <c r="G4" i="6"/>
  <c r="O4" i="6"/>
  <c r="N4" i="6"/>
  <c r="P4" i="6" s="1"/>
  <c r="Q5" i="6" l="1"/>
  <c r="Q8" i="6"/>
  <c r="Q7" i="6"/>
  <c r="V5" i="6"/>
  <c r="W5" i="6"/>
  <c r="W8" i="6"/>
  <c r="V8" i="6"/>
  <c r="V7" i="6"/>
  <c r="W7" i="6"/>
  <c r="Q6" i="6"/>
  <c r="R6" i="6"/>
  <c r="K95" i="1"/>
  <c r="L95" i="1" s="1"/>
  <c r="Q95" i="1" s="1"/>
  <c r="U95" i="1" s="1"/>
  <c r="E53" i="1"/>
  <c r="E14" i="1"/>
  <c r="E39" i="1"/>
  <c r="E133" i="1"/>
  <c r="E51" i="1"/>
  <c r="E65" i="1"/>
  <c r="L8" i="1"/>
  <c r="Q8" i="1" s="1"/>
  <c r="U8" i="1" s="1"/>
  <c r="L129" i="1"/>
  <c r="Q129" i="1" s="1"/>
  <c r="U129" i="1" s="1"/>
  <c r="L90" i="1"/>
  <c r="Q90" i="1" s="1"/>
  <c r="U90" i="1" s="1"/>
  <c r="L114" i="1"/>
  <c r="Q114" i="1" s="1"/>
  <c r="V114" i="1" s="1"/>
  <c r="K41" i="1"/>
  <c r="L41" i="1" s="1"/>
  <c r="Q41" i="1" s="1"/>
  <c r="K53" i="1"/>
  <c r="L53" i="1" s="1"/>
  <c r="Q53" i="1" s="1"/>
  <c r="K65" i="1"/>
  <c r="L65" i="1" s="1"/>
  <c r="Q65" i="1" s="1"/>
  <c r="K89" i="1"/>
  <c r="L89" i="1" s="1"/>
  <c r="Q89" i="1" s="1"/>
  <c r="K101" i="1"/>
  <c r="L101" i="1" s="1"/>
  <c r="Q101" i="1" s="1"/>
  <c r="K113" i="1"/>
  <c r="L113" i="1" s="1"/>
  <c r="Q113" i="1" s="1"/>
  <c r="K125" i="1"/>
  <c r="L125" i="1" s="1"/>
  <c r="Q125" i="1" s="1"/>
  <c r="K137" i="1"/>
  <c r="L137" i="1" s="1"/>
  <c r="Q137" i="1" s="1"/>
  <c r="L48" i="1"/>
  <c r="Q48" i="1" s="1"/>
  <c r="V48" i="1" s="1"/>
  <c r="L72" i="1"/>
  <c r="Q72" i="1" s="1"/>
  <c r="U72" i="1" s="1"/>
  <c r="L84" i="1"/>
  <c r="Q84" i="1" s="1"/>
  <c r="V84" i="1" s="1"/>
  <c r="L96" i="1"/>
  <c r="Q96" i="1" s="1"/>
  <c r="V96" i="1" s="1"/>
  <c r="L108" i="1"/>
  <c r="Q108" i="1" s="1"/>
  <c r="U108" i="1" s="1"/>
  <c r="L132" i="1"/>
  <c r="Q132" i="1" s="1"/>
  <c r="V132" i="1" s="1"/>
  <c r="L30" i="1"/>
  <c r="Q30" i="1" s="1"/>
  <c r="K102" i="1"/>
  <c r="L102" i="1" s="1"/>
  <c r="Q102" i="1" s="1"/>
  <c r="K126" i="1"/>
  <c r="L126" i="1" s="1"/>
  <c r="Q126" i="1" s="1"/>
  <c r="K138" i="1"/>
  <c r="L138" i="1" s="1"/>
  <c r="L49" i="1"/>
  <c r="Q49" i="1" s="1"/>
  <c r="U49" i="1" s="1"/>
  <c r="L85" i="1"/>
  <c r="Q85" i="1" s="1"/>
  <c r="U85" i="1" s="1"/>
  <c r="L97" i="1"/>
  <c r="Q97" i="1" s="1"/>
  <c r="V97" i="1" s="1"/>
  <c r="L109" i="1"/>
  <c r="Q109" i="1" s="1"/>
  <c r="U109" i="1" s="1"/>
  <c r="L7" i="1"/>
  <c r="Q7" i="1" s="1"/>
  <c r="U7" i="1" s="1"/>
  <c r="L19" i="1"/>
  <c r="Q19" i="1" s="1"/>
  <c r="V19" i="1" s="1"/>
  <c r="L31" i="1"/>
  <c r="Q31" i="1" s="1"/>
  <c r="L43" i="1"/>
  <c r="Q43" i="1" s="1"/>
  <c r="L79" i="1"/>
  <c r="Q79" i="1" s="1"/>
  <c r="K103" i="1"/>
  <c r="L103" i="1" s="1"/>
  <c r="Q103" i="1" s="1"/>
  <c r="K115" i="1"/>
  <c r="L115" i="1" s="1"/>
  <c r="Q115" i="1" s="1"/>
  <c r="K127" i="1"/>
  <c r="L127" i="1" s="1"/>
  <c r="Q127" i="1" s="1"/>
  <c r="L18" i="1"/>
  <c r="Q18" i="1" s="1"/>
  <c r="U18" i="1" s="1"/>
  <c r="L50" i="1"/>
  <c r="Q50" i="1" s="1"/>
  <c r="U50" i="1" s="1"/>
  <c r="L98" i="1"/>
  <c r="Q98" i="1" s="1"/>
  <c r="U98" i="1" s="1"/>
  <c r="L110" i="1"/>
  <c r="Q110" i="1" s="1"/>
  <c r="V110" i="1" s="1"/>
  <c r="L122" i="1"/>
  <c r="Q122" i="1" s="1"/>
  <c r="U122" i="1" s="1"/>
  <c r="L32" i="1"/>
  <c r="Q32" i="1" s="1"/>
  <c r="K44" i="1"/>
  <c r="L44" i="1" s="1"/>
  <c r="Q44" i="1" s="1"/>
  <c r="K56" i="1"/>
  <c r="L56" i="1" s="1"/>
  <c r="Q56" i="1" s="1"/>
  <c r="L68" i="1"/>
  <c r="Q68" i="1" s="1"/>
  <c r="K80" i="1"/>
  <c r="L80" i="1" s="1"/>
  <c r="Q80" i="1" s="1"/>
  <c r="U80" i="1" s="1"/>
  <c r="K92" i="1"/>
  <c r="L92" i="1" s="1"/>
  <c r="Q92" i="1" s="1"/>
  <c r="U92" i="1" s="1"/>
  <c r="K104" i="1"/>
  <c r="L104" i="1" s="1"/>
  <c r="Q104" i="1" s="1"/>
  <c r="K116" i="1"/>
  <c r="L116" i="1" s="1"/>
  <c r="Q116" i="1" s="1"/>
  <c r="K128" i="1"/>
  <c r="L128" i="1" s="1"/>
  <c r="Q128" i="1" s="1"/>
  <c r="L42" i="1"/>
  <c r="Q42" i="1" s="1"/>
  <c r="U42" i="1" s="1"/>
  <c r="L27" i="1"/>
  <c r="Q27" i="1" s="1"/>
  <c r="U27" i="1" s="1"/>
  <c r="L75" i="1"/>
  <c r="Q75" i="1" s="1"/>
  <c r="V75" i="1" s="1"/>
  <c r="L87" i="1"/>
  <c r="Q87" i="1" s="1"/>
  <c r="U87" i="1" s="1"/>
  <c r="L99" i="1"/>
  <c r="Q99" i="1" s="1"/>
  <c r="V99" i="1" s="1"/>
  <c r="L111" i="1"/>
  <c r="Q111" i="1" s="1"/>
  <c r="U111" i="1" s="1"/>
  <c r="L123" i="1"/>
  <c r="Q123" i="1" s="1"/>
  <c r="U123" i="1" s="1"/>
  <c r="K21" i="1"/>
  <c r="L21" i="1" s="1"/>
  <c r="Q21" i="1" s="1"/>
  <c r="K33" i="1"/>
  <c r="L33" i="1" s="1"/>
  <c r="Q33" i="1" s="1"/>
  <c r="L45" i="1"/>
  <c r="Q45" i="1" s="1"/>
  <c r="U45" i="1" s="1"/>
  <c r="K57" i="1"/>
  <c r="L57" i="1" s="1"/>
  <c r="Q57" i="1" s="1"/>
  <c r="L81" i="1"/>
  <c r="Q81" i="1" s="1"/>
  <c r="K105" i="1"/>
  <c r="L105" i="1" s="1"/>
  <c r="Q105" i="1" s="1"/>
  <c r="L66" i="1"/>
  <c r="Q66" i="1" s="1"/>
  <c r="U66" i="1" s="1"/>
  <c r="L76" i="1"/>
  <c r="Q76" i="1" s="1"/>
  <c r="V76" i="1" s="1"/>
  <c r="L88" i="1"/>
  <c r="Q88" i="1" s="1"/>
  <c r="U88" i="1" s="1"/>
  <c r="L100" i="1"/>
  <c r="Q100" i="1" s="1"/>
  <c r="U100" i="1" s="1"/>
  <c r="L112" i="1"/>
  <c r="Q112" i="1" s="1"/>
  <c r="V112" i="1" s="1"/>
  <c r="L124" i="1"/>
  <c r="Q124" i="1" s="1"/>
  <c r="V124" i="1" s="1"/>
  <c r="L136" i="1"/>
  <c r="Q136" i="1" s="1"/>
  <c r="V136" i="1" s="1"/>
  <c r="K46" i="1"/>
  <c r="L46" i="1" s="1"/>
  <c r="Q46" i="1" s="1"/>
  <c r="K82" i="1"/>
  <c r="L82" i="1" s="1"/>
  <c r="Q82" i="1" s="1"/>
  <c r="K94" i="1"/>
  <c r="L94" i="1" s="1"/>
  <c r="Q94" i="1" s="1"/>
  <c r="K106" i="1"/>
  <c r="L106" i="1" s="1"/>
  <c r="Q106" i="1" s="1"/>
  <c r="K130" i="1"/>
  <c r="L130" i="1" s="1"/>
  <c r="Q130" i="1" s="1"/>
  <c r="L35" i="1"/>
  <c r="Q35" i="1" s="1"/>
  <c r="U35" i="1" s="1"/>
  <c r="L47" i="1"/>
  <c r="Q47" i="1" s="1"/>
  <c r="U47" i="1" s="1"/>
  <c r="L71" i="1"/>
  <c r="Q71" i="1" s="1"/>
  <c r="V71" i="1" s="1"/>
  <c r="L83" i="1"/>
  <c r="Q83" i="1" s="1"/>
  <c r="U83" i="1" s="1"/>
  <c r="L107" i="1"/>
  <c r="Q107" i="1" s="1"/>
  <c r="V107" i="1" s="1"/>
  <c r="L119" i="1"/>
  <c r="Q119" i="1" s="1"/>
  <c r="U119" i="1" s="1"/>
  <c r="L131" i="1"/>
  <c r="Q131" i="1" s="1"/>
  <c r="U131" i="1" s="1"/>
  <c r="W141" i="1"/>
  <c r="L60" i="1"/>
  <c r="Q60" i="1" s="1"/>
  <c r="U60" i="1" s="1"/>
  <c r="L16" i="1"/>
  <c r="Q16" i="1" s="1"/>
  <c r="V16" i="1" s="1"/>
  <c r="L86" i="1"/>
  <c r="Q86" i="1" s="1"/>
  <c r="U86" i="1" s="1"/>
  <c r="L78" i="1"/>
  <c r="Q78" i="1" s="1"/>
  <c r="U78" i="1" s="1"/>
  <c r="E117" i="1"/>
  <c r="E86" i="1"/>
  <c r="E95" i="1"/>
  <c r="E5" i="1"/>
  <c r="E121" i="1"/>
  <c r="E56" i="1"/>
  <c r="E42" i="1"/>
  <c r="E116" i="1"/>
  <c r="E35" i="1"/>
  <c r="E77" i="1"/>
  <c r="E41" i="1"/>
  <c r="E20" i="1"/>
  <c r="E124" i="1"/>
  <c r="E91" i="1"/>
  <c r="E118" i="1"/>
  <c r="E18" i="1"/>
  <c r="E54" i="1"/>
  <c r="E78" i="1"/>
  <c r="E70" i="1"/>
  <c r="E111" i="1"/>
  <c r="E7" i="1"/>
  <c r="E119" i="1"/>
  <c r="E130" i="1"/>
  <c r="E90" i="1"/>
  <c r="L22" i="1"/>
  <c r="Q22" i="1" s="1"/>
  <c r="U22" i="1" s="1"/>
  <c r="L121" i="1"/>
  <c r="Q121" i="1" s="1"/>
  <c r="U121" i="1" s="1"/>
  <c r="L120" i="1"/>
  <c r="Q120" i="1" s="1"/>
  <c r="U120" i="1" s="1"/>
  <c r="L14" i="1"/>
  <c r="Q14" i="1" s="1"/>
  <c r="V14" i="1" s="1"/>
  <c r="L39" i="1"/>
  <c r="Q39" i="1" s="1"/>
  <c r="U39" i="1" s="1"/>
  <c r="L118" i="1"/>
  <c r="Q118" i="1" s="1"/>
  <c r="U118" i="1" s="1"/>
  <c r="L26" i="1"/>
  <c r="Q26" i="1" s="1"/>
  <c r="V26" i="1" s="1"/>
  <c r="L38" i="1"/>
  <c r="Q38" i="1" s="1"/>
  <c r="U38" i="1" s="1"/>
  <c r="L51" i="1"/>
  <c r="Q51" i="1" s="1"/>
  <c r="V51" i="1" s="1"/>
  <c r="L36" i="1"/>
  <c r="Q36" i="1" s="1"/>
  <c r="U36" i="1" s="1"/>
  <c r="L134" i="1"/>
  <c r="Q134" i="1" s="1"/>
  <c r="U134" i="1" s="1"/>
  <c r="L77" i="1"/>
  <c r="Q77" i="1" s="1"/>
  <c r="U77" i="1" s="1"/>
  <c r="L133" i="1"/>
  <c r="Q133" i="1" s="1"/>
  <c r="U133" i="1" s="1"/>
  <c r="L91" i="1"/>
  <c r="Q91" i="1" s="1"/>
  <c r="V91" i="1" s="1"/>
  <c r="L34" i="1"/>
  <c r="Q34" i="1" s="1"/>
  <c r="V34" i="1" s="1"/>
  <c r="L17" i="1"/>
  <c r="Q17" i="1" s="1"/>
  <c r="U17" i="1" s="1"/>
  <c r="L64" i="1"/>
  <c r="Q64" i="1" s="1"/>
  <c r="U64" i="1" s="1"/>
  <c r="L15" i="1"/>
  <c r="Q15" i="1" s="1"/>
  <c r="U15" i="1" s="1"/>
  <c r="L20" i="1"/>
  <c r="Q20" i="1" s="1"/>
  <c r="U20" i="1" s="1"/>
  <c r="L10" i="1"/>
  <c r="Q10" i="1" s="1"/>
  <c r="U10" i="1" s="1"/>
  <c r="L61" i="1"/>
  <c r="Q61" i="1" s="1"/>
  <c r="V61" i="1" s="1"/>
  <c r="L62" i="1"/>
  <c r="Q62" i="1" s="1"/>
  <c r="U62" i="1" s="1"/>
  <c r="L59" i="1"/>
  <c r="Q59" i="1" s="1"/>
  <c r="V59" i="1" s="1"/>
  <c r="L135" i="1"/>
  <c r="Q135" i="1" s="1"/>
  <c r="U135" i="1" s="1"/>
  <c r="L140" i="1"/>
  <c r="Q140" i="1" s="1"/>
  <c r="L37" i="1"/>
  <c r="Q37" i="1" s="1"/>
  <c r="U37" i="1" s="1"/>
  <c r="L63" i="1"/>
  <c r="Q63" i="1" s="1"/>
  <c r="V63" i="1" s="1"/>
  <c r="L40" i="1"/>
  <c r="Q40" i="1" s="1"/>
  <c r="U40" i="1" s="1"/>
  <c r="L67" i="1"/>
  <c r="Q67" i="1" s="1"/>
  <c r="U67" i="1" s="1"/>
  <c r="L23" i="1"/>
  <c r="Q23" i="1" s="1"/>
  <c r="V23" i="1" s="1"/>
  <c r="L74" i="1"/>
  <c r="Q74" i="1" s="1"/>
  <c r="U74" i="1" s="1"/>
  <c r="L29" i="1"/>
  <c r="Q29" i="1" s="1"/>
  <c r="U29" i="1" s="1"/>
  <c r="L55" i="1"/>
  <c r="Q55" i="1" s="1"/>
  <c r="U55" i="1" s="1"/>
  <c r="L58" i="1"/>
  <c r="Q58" i="1" s="1"/>
  <c r="V58" i="1" s="1"/>
  <c r="L117" i="1"/>
  <c r="Q117" i="1" s="1"/>
  <c r="U117" i="1" s="1"/>
  <c r="L13" i="1"/>
  <c r="Q13" i="1" s="1"/>
  <c r="U13" i="1" s="1"/>
  <c r="L73" i="1"/>
  <c r="Q73" i="1" s="1"/>
  <c r="U73" i="1" s="1"/>
  <c r="L28" i="1"/>
  <c r="Q28" i="1" s="1"/>
  <c r="U28" i="1" s="1"/>
  <c r="L52" i="1"/>
  <c r="Q52" i="1" s="1"/>
  <c r="U52" i="1" s="1"/>
  <c r="L54" i="1"/>
  <c r="Q54" i="1" s="1"/>
  <c r="U54" i="1" s="1"/>
  <c r="L69" i="1"/>
  <c r="Q69" i="1" s="1"/>
  <c r="U69" i="1" s="1"/>
  <c r="L11" i="1"/>
  <c r="Q11" i="1" s="1"/>
  <c r="U11" i="1" s="1"/>
  <c r="L70" i="1"/>
  <c r="Q70" i="1" s="1"/>
  <c r="V70" i="1" s="1"/>
  <c r="L93" i="1"/>
  <c r="Q93" i="1" s="1"/>
  <c r="V93" i="1" s="1"/>
  <c r="L12" i="1"/>
  <c r="Q12" i="1" s="1"/>
  <c r="V12" i="1" s="1"/>
  <c r="E40" i="1"/>
  <c r="E38" i="1"/>
  <c r="E52" i="1"/>
  <c r="E23" i="1"/>
  <c r="E29" i="1"/>
  <c r="E140" i="1"/>
  <c r="E27" i="1"/>
  <c r="E101" i="1"/>
  <c r="E24" i="1"/>
  <c r="E108" i="1"/>
  <c r="E50" i="1"/>
  <c r="E96" i="1"/>
  <c r="E80" i="1"/>
  <c r="E22" i="1"/>
  <c r="E76" i="1"/>
  <c r="E47" i="1"/>
  <c r="E26" i="1"/>
  <c r="E98" i="1"/>
  <c r="E9" i="1"/>
  <c r="E49" i="1"/>
  <c r="E16" i="1"/>
  <c r="E21" i="1"/>
  <c r="E48" i="1"/>
  <c r="E43" i="1"/>
  <c r="E46" i="1"/>
  <c r="E122" i="1"/>
  <c r="E113" i="1"/>
  <c r="E31" i="1"/>
  <c r="E15" i="1"/>
  <c r="E68" i="1"/>
  <c r="E30" i="1"/>
  <c r="E57" i="1"/>
  <c r="E19" i="1"/>
  <c r="E123" i="1"/>
  <c r="E6" i="1"/>
  <c r="E37" i="1"/>
  <c r="E74" i="1"/>
  <c r="E125" i="1"/>
  <c r="E75" i="1"/>
  <c r="E13" i="1"/>
  <c r="E32" i="1"/>
  <c r="E141" i="1"/>
  <c r="E73" i="1"/>
  <c r="E139" i="1"/>
  <c r="E72" i="1"/>
  <c r="E28" i="1"/>
  <c r="E36" i="1"/>
  <c r="E8" i="1"/>
  <c r="E25" i="1"/>
  <c r="E71" i="1"/>
  <c r="E94" i="1"/>
  <c r="X1" i="6"/>
  <c r="L139" i="1"/>
  <c r="Q139" i="1" s="1"/>
  <c r="L141" i="1"/>
  <c r="Q141" i="1" s="1"/>
  <c r="L5" i="1"/>
  <c r="Q5" i="1" s="1"/>
  <c r="L6" i="1"/>
  <c r="Q6" i="1" s="1"/>
  <c r="L3" i="1"/>
  <c r="Q3" i="1" s="1"/>
  <c r="L4" i="1"/>
  <c r="Q4" i="1" s="1"/>
  <c r="N110" i="1"/>
  <c r="D23" i="1"/>
  <c r="M12" i="1"/>
  <c r="O12" i="1" s="1"/>
  <c r="F67" i="1"/>
  <c r="F110" i="1"/>
  <c r="F79" i="1"/>
  <c r="D12" i="1"/>
  <c r="N44" i="1"/>
  <c r="E55" i="1"/>
  <c r="N34" i="1"/>
  <c r="F99" i="1"/>
  <c r="M23" i="1"/>
  <c r="O23" i="1" s="1"/>
  <c r="M99" i="1"/>
  <c r="O99" i="1" s="1"/>
  <c r="N136" i="1"/>
  <c r="E110" i="1"/>
  <c r="E79" i="1"/>
  <c r="E67" i="1"/>
  <c r="C23" i="1"/>
  <c r="D110" i="1"/>
  <c r="D79" i="1"/>
  <c r="D67" i="1"/>
  <c r="F44" i="1"/>
  <c r="F34" i="1"/>
  <c r="C79" i="1"/>
  <c r="C67" i="1"/>
  <c r="E44" i="1"/>
  <c r="E34" i="1"/>
  <c r="N23" i="1"/>
  <c r="C110" i="1"/>
  <c r="N89" i="1"/>
  <c r="F120" i="1"/>
  <c r="F89" i="1"/>
  <c r="D44" i="1"/>
  <c r="D34" i="1"/>
  <c r="N99" i="1"/>
  <c r="N12" i="1"/>
  <c r="M89" i="1"/>
  <c r="O89" i="1" s="1"/>
  <c r="M67" i="1"/>
  <c r="O67" i="1" s="1"/>
  <c r="M79" i="1"/>
  <c r="O79" i="1" s="1"/>
  <c r="E120" i="1"/>
  <c r="E89" i="1"/>
  <c r="C44" i="1"/>
  <c r="C34" i="1"/>
  <c r="D120" i="1"/>
  <c r="D89" i="1"/>
  <c r="F12" i="1"/>
  <c r="C120" i="1"/>
  <c r="E12" i="1"/>
  <c r="M120" i="1"/>
  <c r="O120" i="1" s="1"/>
  <c r="E99" i="1"/>
  <c r="C12" i="1"/>
  <c r="D99" i="1"/>
  <c r="F23" i="1"/>
  <c r="O9" i="4"/>
  <c r="M137" i="1"/>
  <c r="E127" i="1"/>
  <c r="O111" i="4"/>
  <c r="O93" i="4"/>
  <c r="O72" i="4"/>
  <c r="N137" i="1"/>
  <c r="C130" i="1"/>
  <c r="D127" i="1"/>
  <c r="M129" i="1"/>
  <c r="O129" i="1" s="1"/>
  <c r="O7" i="4"/>
  <c r="F127" i="1"/>
  <c r="F137" i="1"/>
  <c r="E132" i="1"/>
  <c r="C127" i="1"/>
  <c r="O120" i="4"/>
  <c r="O110" i="4"/>
  <c r="O101" i="4"/>
  <c r="O80" i="4"/>
  <c r="O48" i="4"/>
  <c r="E137" i="1"/>
  <c r="D132" i="1"/>
  <c r="C128" i="1"/>
  <c r="M131" i="1"/>
  <c r="O131" i="1" s="1"/>
  <c r="C137" i="1"/>
  <c r="C132" i="1"/>
  <c r="O139" i="4"/>
  <c r="O100" i="4"/>
  <c r="O79" i="4"/>
  <c r="O36" i="4"/>
  <c r="C3" i="1"/>
  <c r="N131" i="1"/>
  <c r="F136" i="1"/>
  <c r="F131" i="1"/>
  <c r="D3" i="1"/>
  <c r="M127" i="1"/>
  <c r="O127" i="1" s="1"/>
  <c r="M132" i="1"/>
  <c r="O132" i="1" s="1"/>
  <c r="E136" i="1"/>
  <c r="C131" i="1"/>
  <c r="E129" i="1"/>
  <c r="O138" i="4"/>
  <c r="O127" i="4"/>
  <c r="O107" i="4"/>
  <c r="E3" i="1"/>
  <c r="D136" i="1"/>
  <c r="D129" i="1"/>
  <c r="O54" i="4"/>
  <c r="F3" i="1"/>
  <c r="M128" i="1"/>
  <c r="O128" i="1" s="1"/>
  <c r="C129" i="1"/>
  <c r="O106" i="4"/>
  <c r="O43" i="4"/>
  <c r="N128" i="1"/>
  <c r="E135" i="1"/>
  <c r="F128" i="1"/>
  <c r="O112" i="4"/>
  <c r="O85" i="4"/>
  <c r="O64" i="4"/>
  <c r="O57" i="4"/>
  <c r="O28" i="4"/>
  <c r="O21" i="4"/>
  <c r="M11" i="1"/>
  <c r="O11" i="1" s="1"/>
  <c r="D135" i="1"/>
  <c r="E66" i="1"/>
  <c r="D55" i="1"/>
  <c r="F45" i="1"/>
  <c r="N45" i="1"/>
  <c r="O133" i="4"/>
  <c r="O126" i="4"/>
  <c r="O99" i="4"/>
  <c r="O78" i="4"/>
  <c r="O49" i="4"/>
  <c r="O42" i="4"/>
  <c r="O13" i="4"/>
  <c r="O6" i="4"/>
  <c r="M101" i="1"/>
  <c r="O101" i="1" s="1"/>
  <c r="D66" i="1"/>
  <c r="F126" i="1"/>
  <c r="N126" i="1"/>
  <c r="M126" i="1"/>
  <c r="O126" i="1" s="1"/>
  <c r="F85" i="1"/>
  <c r="N85" i="1"/>
  <c r="O118" i="4"/>
  <c r="O105" i="4"/>
  <c r="O91" i="4"/>
  <c r="O84" i="4"/>
  <c r="O70" i="4"/>
  <c r="O63" i="4"/>
  <c r="O34" i="4"/>
  <c r="O27" i="4"/>
  <c r="M93" i="1"/>
  <c r="O93" i="1" s="1"/>
  <c r="E85" i="1"/>
  <c r="C66" i="1"/>
  <c r="F17" i="1"/>
  <c r="N17" i="1"/>
  <c r="O132" i="4"/>
  <c r="O55" i="4"/>
  <c r="O19" i="4"/>
  <c r="O12" i="4"/>
  <c r="M85" i="1"/>
  <c r="O85" i="1" s="1"/>
  <c r="E93" i="1"/>
  <c r="D85" i="1"/>
  <c r="O124" i="4"/>
  <c r="O117" i="4"/>
  <c r="O97" i="4"/>
  <c r="O90" i="4"/>
  <c r="O76" i="4"/>
  <c r="O69" i="4"/>
  <c r="O40" i="4"/>
  <c r="O33" i="4"/>
  <c r="O4" i="4"/>
  <c r="D93" i="1"/>
  <c r="C85" i="1"/>
  <c r="F101" i="1"/>
  <c r="N101" i="1"/>
  <c r="F33" i="1"/>
  <c r="N33" i="1"/>
  <c r="O103" i="4"/>
  <c r="O82" i="4"/>
  <c r="O61" i="4"/>
  <c r="O25" i="4"/>
  <c r="O18" i="4"/>
  <c r="D101" i="1"/>
  <c r="E11" i="1"/>
  <c r="F55" i="1"/>
  <c r="N55" i="1"/>
  <c r="O130" i="4"/>
  <c r="O123" i="4"/>
  <c r="O109" i="4"/>
  <c r="O96" i="4"/>
  <c r="O75" i="4"/>
  <c r="O46" i="4"/>
  <c r="O39" i="4"/>
  <c r="O10" i="4"/>
  <c r="O3" i="4"/>
  <c r="M55" i="1"/>
  <c r="O55" i="1" s="1"/>
  <c r="C101" i="1"/>
  <c r="E17" i="1"/>
  <c r="D11" i="1"/>
  <c r="O102" i="4"/>
  <c r="O81" i="4"/>
  <c r="O67" i="4"/>
  <c r="O60" i="4"/>
  <c r="O31" i="4"/>
  <c r="O24" i="4"/>
  <c r="M45" i="1"/>
  <c r="O45" i="1" s="1"/>
  <c r="E126" i="1"/>
  <c r="D17" i="1"/>
  <c r="C11" i="1"/>
  <c r="F93" i="1"/>
  <c r="N93" i="1"/>
  <c r="F66" i="1"/>
  <c r="N66" i="1"/>
  <c r="O136" i="4"/>
  <c r="O129" i="4"/>
  <c r="O108" i="4"/>
  <c r="O52" i="4"/>
  <c r="O45" i="4"/>
  <c r="O16" i="4"/>
  <c r="D126" i="1"/>
  <c r="E33" i="1"/>
  <c r="C17" i="1"/>
  <c r="O8" i="4"/>
  <c r="O14" i="4"/>
  <c r="O20" i="4"/>
  <c r="O26" i="4"/>
  <c r="O32" i="4"/>
  <c r="O38" i="4"/>
  <c r="O44" i="4"/>
  <c r="O50" i="4"/>
  <c r="O56" i="4"/>
  <c r="O62" i="4"/>
  <c r="O68" i="4"/>
  <c r="O74" i="4"/>
  <c r="O86" i="4"/>
  <c r="O92" i="4"/>
  <c r="O98" i="4"/>
  <c r="O104" i="4"/>
  <c r="O116" i="4"/>
  <c r="O122" i="4"/>
  <c r="O128" i="4"/>
  <c r="O134" i="4"/>
  <c r="O140" i="4"/>
  <c r="F11" i="1"/>
  <c r="O5" i="4"/>
  <c r="O11" i="4"/>
  <c r="O17" i="4"/>
  <c r="O23" i="4"/>
  <c r="O29" i="4"/>
  <c r="O35" i="4"/>
  <c r="O41" i="4"/>
  <c r="O47" i="4"/>
  <c r="O53" i="4"/>
  <c r="O59" i="4"/>
  <c r="O65" i="4"/>
  <c r="O71" i="4"/>
  <c r="O77" i="4"/>
  <c r="O83" i="4"/>
  <c r="O89" i="4"/>
  <c r="O95" i="4"/>
  <c r="O113" i="4"/>
  <c r="O119" i="4"/>
  <c r="O125" i="4"/>
  <c r="O131" i="4"/>
  <c r="O137" i="4"/>
  <c r="N11" i="1"/>
  <c r="O114" i="4"/>
  <c r="O87" i="4"/>
  <c r="O66" i="4"/>
  <c r="O30" i="4"/>
  <c r="M33" i="1"/>
  <c r="O33" i="1" s="1"/>
  <c r="C126" i="1"/>
  <c r="D33" i="1"/>
  <c r="F135" i="1"/>
  <c r="N135" i="1"/>
  <c r="M135" i="1"/>
  <c r="O135" i="1" s="1"/>
  <c r="O115" i="4"/>
  <c r="O88" i="4"/>
  <c r="O121" i="4"/>
  <c r="O94" i="4"/>
  <c r="O73" i="4"/>
  <c r="O37" i="4"/>
  <c r="O2" i="4"/>
  <c r="O135" i="4"/>
  <c r="O58" i="4"/>
  <c r="O51" i="4"/>
  <c r="O22" i="4"/>
  <c r="O15" i="4"/>
  <c r="E45" i="1"/>
  <c r="C33" i="1"/>
  <c r="M130" i="1"/>
  <c r="O130" i="1" s="1"/>
  <c r="D133" i="1"/>
  <c r="N130" i="1"/>
  <c r="C133" i="1"/>
  <c r="F132" i="1"/>
  <c r="F130" i="1"/>
  <c r="F129" i="1"/>
  <c r="E134" i="1"/>
  <c r="E131" i="1"/>
  <c r="E128" i="1"/>
  <c r="U14" i="1" l="1"/>
  <c r="U110" i="1"/>
  <c r="V131" i="1"/>
  <c r="V27" i="1"/>
  <c r="V109" i="1"/>
  <c r="V78" i="1"/>
  <c r="U75" i="1"/>
  <c r="V122" i="1"/>
  <c r="U112" i="1"/>
  <c r="U132" i="1"/>
  <c r="W6" i="6"/>
  <c r="V6" i="6"/>
  <c r="U96" i="1"/>
  <c r="V100" i="1"/>
  <c r="V108" i="1"/>
  <c r="U124" i="1"/>
  <c r="U107" i="1"/>
  <c r="V123" i="1"/>
  <c r="U71" i="1"/>
  <c r="V83" i="1"/>
  <c r="U76" i="1"/>
  <c r="V66" i="1"/>
  <c r="V119" i="1"/>
  <c r="U136" i="1"/>
  <c r="V87" i="1"/>
  <c r="V18" i="1"/>
  <c r="U114" i="1"/>
  <c r="V49" i="1"/>
  <c r="U48" i="1"/>
  <c r="V85" i="1"/>
  <c r="U113" i="1"/>
  <c r="V113" i="1"/>
  <c r="U125" i="1"/>
  <c r="V125" i="1"/>
  <c r="U104" i="1"/>
  <c r="V104" i="1"/>
  <c r="U103" i="1"/>
  <c r="V103" i="1"/>
  <c r="U126" i="1"/>
  <c r="V126" i="1"/>
  <c r="U84" i="1"/>
  <c r="V98" i="1"/>
  <c r="V42" i="1"/>
  <c r="V50" i="1"/>
  <c r="V60" i="1"/>
  <c r="U97" i="1"/>
  <c r="V72" i="1"/>
  <c r="U16" i="1"/>
  <c r="U130" i="1"/>
  <c r="V130" i="1"/>
  <c r="V106" i="1"/>
  <c r="U106" i="1"/>
  <c r="V128" i="1"/>
  <c r="U128" i="1"/>
  <c r="V82" i="1"/>
  <c r="U82" i="1"/>
  <c r="U57" i="1"/>
  <c r="V57" i="1"/>
  <c r="U116" i="1"/>
  <c r="V116" i="1"/>
  <c r="U46" i="1"/>
  <c r="V46" i="1"/>
  <c r="U127" i="1"/>
  <c r="V127" i="1"/>
  <c r="Q138" i="1"/>
  <c r="U138" i="1" s="1"/>
  <c r="P138" i="1"/>
  <c r="U137" i="1"/>
  <c r="V137" i="1"/>
  <c r="U33" i="1"/>
  <c r="V33" i="1"/>
  <c r="U115" i="1"/>
  <c r="V115" i="1"/>
  <c r="U21" i="1"/>
  <c r="V21" i="1"/>
  <c r="V68" i="1"/>
  <c r="U68" i="1"/>
  <c r="V79" i="1"/>
  <c r="U79" i="1"/>
  <c r="V102" i="1"/>
  <c r="U102" i="1"/>
  <c r="U101" i="1"/>
  <c r="V101" i="1"/>
  <c r="U81" i="1"/>
  <c r="V81" i="1"/>
  <c r="U56" i="1"/>
  <c r="V56" i="1"/>
  <c r="U43" i="1"/>
  <c r="V43" i="1"/>
  <c r="V89" i="1"/>
  <c r="U89" i="1"/>
  <c r="V44" i="1"/>
  <c r="U44" i="1"/>
  <c r="U31" i="1"/>
  <c r="V31" i="1"/>
  <c r="V30" i="1"/>
  <c r="U30" i="1"/>
  <c r="U65" i="1"/>
  <c r="V65" i="1"/>
  <c r="U94" i="1"/>
  <c r="V94" i="1"/>
  <c r="U32" i="1"/>
  <c r="V32" i="1"/>
  <c r="U53" i="1"/>
  <c r="V53" i="1"/>
  <c r="V105" i="1"/>
  <c r="U105" i="1"/>
  <c r="U41" i="1"/>
  <c r="V41" i="1"/>
  <c r="V47" i="1"/>
  <c r="V35" i="1"/>
  <c r="V111" i="1"/>
  <c r="U19" i="1"/>
  <c r="V88" i="1"/>
  <c r="V7" i="1"/>
  <c r="U99" i="1"/>
  <c r="V129" i="1"/>
  <c r="V22" i="1"/>
  <c r="V80" i="1"/>
  <c r="V92" i="1"/>
  <c r="V90" i="1"/>
  <c r="V86" i="1"/>
  <c r="V39" i="1"/>
  <c r="V15" i="1"/>
  <c r="V118" i="1"/>
  <c r="V38" i="1"/>
  <c r="U26" i="1"/>
  <c r="V55" i="1"/>
  <c r="U51" i="1"/>
  <c r="V134" i="1"/>
  <c r="V117" i="1"/>
  <c r="V77" i="1"/>
  <c r="P140" i="1"/>
  <c r="V133" i="1"/>
  <c r="U91" i="1"/>
  <c r="U34" i="1"/>
  <c r="V67" i="1"/>
  <c r="V54" i="1"/>
  <c r="U93" i="1"/>
  <c r="V64" i="1"/>
  <c r="V17" i="1"/>
  <c r="V40" i="1"/>
  <c r="U23" i="1"/>
  <c r="V11" i="1"/>
  <c r="V69" i="1"/>
  <c r="V74" i="1"/>
  <c r="V62" i="1"/>
  <c r="V20" i="1"/>
  <c r="U61" i="1"/>
  <c r="V10" i="1"/>
  <c r="U70" i="1"/>
  <c r="V29" i="1"/>
  <c r="V135" i="1"/>
  <c r="U63" i="1"/>
  <c r="U59" i="1"/>
  <c r="U58" i="1"/>
  <c r="V8" i="1"/>
  <c r="V13" i="1"/>
  <c r="V73" i="1"/>
  <c r="V52" i="1"/>
  <c r="V28" i="1"/>
  <c r="U12" i="1"/>
  <c r="V95" i="1"/>
  <c r="P141" i="1"/>
  <c r="U141" i="1"/>
  <c r="V141" i="1"/>
  <c r="U139" i="1"/>
  <c r="V139" i="1"/>
  <c r="P139" i="1"/>
  <c r="XFC139" i="1" s="1"/>
  <c r="U140" i="1"/>
  <c r="V140" i="1"/>
  <c r="O137" i="1"/>
  <c r="U4" i="1"/>
  <c r="V4" i="1"/>
  <c r="U3" i="1"/>
  <c r="V3" i="1"/>
  <c r="U6" i="1"/>
  <c r="V6" i="1"/>
  <c r="U5" i="1"/>
  <c r="V5" i="1"/>
  <c r="V138" i="1" l="1"/>
  <c r="XFC138" i="1" s="1"/>
  <c r="XFC140" i="1"/>
  <c r="XFC141" i="1"/>
  <c r="V45" i="1"/>
  <c r="W45" i="1"/>
  <c r="X25" i="1"/>
  <c r="K25" i="1" s="1"/>
  <c r="X24" i="1"/>
  <c r="K24" i="1" s="1"/>
  <c r="L24" i="1" l="1"/>
  <c r="Q24" i="1" s="1"/>
  <c r="L25" i="1"/>
  <c r="Q25" i="1" s="1"/>
  <c r="W24" i="1"/>
  <c r="H1" i="1"/>
  <c r="V37" i="1"/>
  <c r="W37" i="1"/>
  <c r="W25" i="1"/>
  <c r="V36" i="1"/>
  <c r="W36" i="1"/>
  <c r="V120" i="1"/>
  <c r="W120" i="1"/>
  <c r="V121" i="1"/>
  <c r="W121" i="1"/>
  <c r="P8" i="1"/>
  <c r="U25" i="1" l="1"/>
  <c r="V25" i="1"/>
  <c r="U24" i="1"/>
  <c r="V24" i="1"/>
  <c r="W1" i="1"/>
  <c r="P49" i="1"/>
  <c r="P134" i="1"/>
  <c r="P120" i="1"/>
  <c r="P129" i="1"/>
  <c r="P20" i="1"/>
  <c r="P13" i="1"/>
  <c r="P90" i="1"/>
  <c r="P97" i="1"/>
  <c r="P135" i="1"/>
  <c r="P17" i="1"/>
  <c r="P121" i="1"/>
  <c r="P91" i="1"/>
  <c r="P133" i="1"/>
  <c r="P11" i="1"/>
  <c r="P109" i="1"/>
  <c r="P78" i="1"/>
  <c r="P77" i="1"/>
  <c r="P86" i="1"/>
  <c r="P33" i="1"/>
  <c r="P32" i="1"/>
  <c r="P30" i="1"/>
  <c r="J9" i="1"/>
  <c r="K4" i="6"/>
  <c r="L4" i="6" s="1"/>
  <c r="M4" i="6" s="1"/>
  <c r="R4" i="6" s="1"/>
  <c r="K3" i="6"/>
  <c r="P4" i="1"/>
  <c r="V4" i="6" l="1"/>
  <c r="W4" i="6"/>
  <c r="L3" i="6"/>
  <c r="M3" i="6" s="1"/>
  <c r="R3" i="6" s="1"/>
  <c r="Q4" i="6"/>
  <c r="P12" i="1"/>
  <c r="P36" i="1"/>
  <c r="P37" i="1"/>
  <c r="P15" i="1"/>
  <c r="P24" i="1"/>
  <c r="P39" i="1"/>
  <c r="P46" i="1"/>
  <c r="P60" i="1"/>
  <c r="P80" i="1"/>
  <c r="P92" i="1"/>
  <c r="P117" i="1"/>
  <c r="P40" i="1"/>
  <c r="P114" i="1"/>
  <c r="P26" i="1"/>
  <c r="P83" i="1"/>
  <c r="P27" i="1"/>
  <c r="P38" i="1"/>
  <c r="P41" i="1"/>
  <c r="P51" i="1"/>
  <c r="P63" i="1"/>
  <c r="P71" i="1"/>
  <c r="P95" i="1"/>
  <c r="P100" i="1"/>
  <c r="P132" i="1"/>
  <c r="P25" i="1"/>
  <c r="P93" i="1"/>
  <c r="P62" i="1"/>
  <c r="P94" i="1"/>
  <c r="P118" i="1"/>
  <c r="P10" i="1"/>
  <c r="P18" i="1"/>
  <c r="P34" i="1"/>
  <c r="P42" i="1"/>
  <c r="P52" i="1"/>
  <c r="P64" i="1"/>
  <c r="P72" i="1"/>
  <c r="P101" i="1"/>
  <c r="P16" i="1"/>
  <c r="P102" i="1"/>
  <c r="P131" i="1"/>
  <c r="P19" i="1"/>
  <c r="P28" i="1"/>
  <c r="P53" i="1"/>
  <c r="P65" i="1"/>
  <c r="P73" i="1"/>
  <c r="P89" i="1"/>
  <c r="P110" i="1"/>
  <c r="P137" i="1"/>
  <c r="P70" i="1"/>
  <c r="P29" i="1"/>
  <c r="P54" i="1"/>
  <c r="P74" i="1"/>
  <c r="P111" i="1"/>
  <c r="P21" i="1"/>
  <c r="P43" i="1"/>
  <c r="P55" i="1"/>
  <c r="P96" i="1"/>
  <c r="P130" i="1"/>
  <c r="P31" i="1"/>
  <c r="P56" i="1"/>
  <c r="P67" i="1"/>
  <c r="P112" i="1"/>
  <c r="L9" i="1"/>
  <c r="Q9" i="1" s="1"/>
  <c r="P61" i="1"/>
  <c r="P22" i="1"/>
  <c r="P14" i="1"/>
  <c r="P23" i="1"/>
  <c r="P44" i="1"/>
  <c r="P57" i="1"/>
  <c r="P68" i="1"/>
  <c r="P87" i="1"/>
  <c r="P113" i="1"/>
  <c r="P82" i="1"/>
  <c r="P45" i="1"/>
  <c r="P58" i="1"/>
  <c r="P69" i="1"/>
  <c r="P105" i="1"/>
  <c r="P115" i="1"/>
  <c r="P50" i="1"/>
  <c r="P59" i="1"/>
  <c r="P79" i="1"/>
  <c r="P76" i="1"/>
  <c r="P88" i="1"/>
  <c r="P106" i="1"/>
  <c r="P116" i="1"/>
  <c r="P128" i="1"/>
  <c r="P7" i="1"/>
  <c r="P5" i="1"/>
  <c r="P6" i="1"/>
  <c r="W3" i="6" l="1"/>
  <c r="W1" i="6" s="1"/>
  <c r="V3" i="6"/>
  <c r="V1" i="6" s="1"/>
  <c r="U9" i="1"/>
  <c r="V9" i="1"/>
  <c r="XFC137" i="1"/>
  <c r="P9" i="1"/>
  <c r="P108" i="1"/>
  <c r="P84" i="1"/>
  <c r="P125" i="1"/>
  <c r="P103" i="1"/>
  <c r="P122" i="1"/>
  <c r="P104" i="1"/>
  <c r="P85" i="1"/>
  <c r="P35" i="1"/>
  <c r="P66" i="1"/>
  <c r="P81" i="1"/>
  <c r="P126" i="1"/>
  <c r="P47" i="1"/>
  <c r="P98" i="1"/>
  <c r="P107" i="1"/>
  <c r="P123" i="1"/>
  <c r="P136" i="1"/>
  <c r="P127" i="1"/>
  <c r="P99" i="1"/>
  <c r="P75" i="1"/>
  <c r="P124" i="1"/>
  <c r="P119" i="1"/>
  <c r="P48" i="1"/>
  <c r="P3" i="1" l="1"/>
  <c r="V1" i="1"/>
  <c r="U1" i="1" l="1"/>
  <c r="I2" i="3" l="1"/>
  <c r="I1" i="3"/>
  <c r="D3" i="6"/>
  <c r="E3" i="6"/>
  <c r="P2" i="5"/>
  <c r="P3" i="5"/>
  <c r="F4" i="6" s="1"/>
  <c r="G3" i="6"/>
  <c r="N3" i="6"/>
  <c r="P3" i="6" s="1"/>
  <c r="O3" i="6"/>
  <c r="Q3" i="6" s="1"/>
  <c r="F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X45" authorId="0" shapeId="0" xr:uid="{AD8CFA4A-E5D5-485A-9E79-F9535C6EAFC2}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https://motorring.ru/product/2791-povorotnik-al-belyy-levyy-dlya-vaz-2110-2112
https://motorring.ru/product/2792-povorotnik-al-belyy-pravyy-vaz-2110-2112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6" authorId="0" shapeId="0" xr:uid="{C1072874-CA07-49DE-8993-3865E39C1FB9}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https://motorring.ru/product/2791-povorotnik-al-belyy-levyy-dlya-vaz-2110-2112
https://motorring.ru/product/2792-povorotnik-al-belyy-pravyy-vaz-2110-2112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12EC30-53D7-45C2-A6E5-4AA54A459647}" keepAlive="1" name="Запрос — Севием" description="Соединение с запросом &quot;Севием&quot; в книге." type="5" refreshedVersion="7" background="1" saveData="1">
    <dbPr connection="Provider=Microsoft.Mashup.OleDb.1;Data Source=$Workbook$;Location=Севием;Extended Properties=&quot;&quot;" command="SELECT * FROM [Севием]"/>
  </connection>
</connections>
</file>

<file path=xl/sharedStrings.xml><?xml version="1.0" encoding="utf-8"?>
<sst xmlns="http://schemas.openxmlformats.org/spreadsheetml/2006/main" count="1622" uniqueCount="323">
  <si>
    <t>ID</t>
  </si>
  <si>
    <t>Артикул поставщика</t>
  </si>
  <si>
    <t>Поставщик</t>
  </si>
  <si>
    <t>Севием</t>
  </si>
  <si>
    <t>Подфарник левый для Лада Нива нового образца белый</t>
  </si>
  <si>
    <t>Подфарник правый для Лада Нива нового образца белый</t>
  </si>
  <si>
    <t>Катафоты в задний бампер (диодные) для Лада Приора</t>
  </si>
  <si>
    <t>1</t>
  </si>
  <si>
    <t>Стекло противотуманной фары Киржач, белое на ВАЗ 2113-2115 и Шевроле Нива</t>
  </si>
  <si>
    <t>Стекло противотуманной фары на ВАЗ 2110-2112 и ВАЗ 2113-2115 белое</t>
  </si>
  <si>
    <t>Стекла задних фонарей красно-белые для ВАЗ 2107</t>
  </si>
  <si>
    <t>Строб контроллер с пультом дистанционного управления</t>
  </si>
  <si>
    <t>Диодные задние фонари с динамическим повторителем поворота на крылья для Лада Веста</t>
  </si>
  <si>
    <t>Светодиодные противотуманные фары (4 полосы + ДХО, 40W) для ВАЗ 2110-2112, 2113-2115, Шевроле Нива (до рестайлинга)</t>
  </si>
  <si>
    <t>Диодные LED ПТФ (алюминиевый корпус радиатора, 2 режима, 6000К бело-синий, 3000K жёлтый) для Лада Приора 2</t>
  </si>
  <si>
    <t>Противотуманные фары для Лада Веста</t>
  </si>
  <si>
    <t>Передние чёрные фары с 4-мя линзами для ВАЗ 2110-2112</t>
  </si>
  <si>
    <t>Универсальный складной автомобильный подстаканник</t>
  </si>
  <si>
    <t>Комплект раздвоенных насадок на глушитель AKRAPOVIC (АНАЛОГ)</t>
  </si>
  <si>
    <t>Светодиодные ПТФ с ДХО и поворотниками для Лада Нива 4x4 Урбан, Гранта 2, Веста, XRAY</t>
  </si>
  <si>
    <t>Катафоты заднего бампера (1 режим свечения) для Лада XRAY</t>
  </si>
  <si>
    <t>Светодиодные лампы ДХО в поворотники (2 в 1)</t>
  </si>
  <si>
    <t>Задние светодиодные фонари тонированные в стиле Range Rover для Лада Нива 4x4, Нива 4х4 Урбан</t>
  </si>
  <si>
    <t>Штатные тюнингованные фары "Киржач" (черные маски) для Лада Приора, Приора 2</t>
  </si>
  <si>
    <t>Фонарь противотуманный в задний бампер с надписью "GRANTA" для Лада Гранта лифтбек, Гранта FL лифтбек</t>
  </si>
  <si>
    <t>Фонарь противотуманный (ПТФ) в задний бампер "LED Плазма" для Лада Гранта лифтбек, Гранта FL лифтбек, Веста</t>
  </si>
  <si>
    <t>Фонарь противотуманный (ПТФ) в задний бампер "LED Плазма" (красный) для Лада Гранта лифтбек, Гранта FL лифтбек, Веста</t>
  </si>
  <si>
    <t>Фонарь противотуманный (ПТФ) в задний бампер "LED Плазма" (белый) для Лада Гранта лифтбек, Гранта FL лифтбек, Веста</t>
  </si>
  <si>
    <t>Фонарь задний правый "АВТОТЕХСВЕТ" для ВАЗ 2106</t>
  </si>
  <si>
    <t>Фонарь задний левый "АВТОТЕХСВЕТ" для ВАЗ 2106</t>
  </si>
  <si>
    <t>Фары для ВАЗ 2110М, 2112 купе "Bosch"</t>
  </si>
  <si>
    <t>Универсальная губа "Samurai", фосфорная</t>
  </si>
  <si>
    <t>Универсальная губа "Samurai" (синяя, 2.6 м)</t>
  </si>
  <si>
    <t>Указатели поворота "ТехАвтоСвет" под BOSCH для ВАЗ 2110-2112</t>
  </si>
  <si>
    <t>Стекло правой фары "Киржач" для ВАЗ 2113-2115</t>
  </si>
  <si>
    <t>Стекло левой фары "Киржач" для ВАЗ 2113-2115</t>
  </si>
  <si>
    <t>Стёкла задних фонарей "ТехАвтоСвет" для ВАЗ 2108-21099</t>
  </si>
  <si>
    <t>Светодиодные фары "аналог-линза" для Лада Веста</t>
  </si>
  <si>
    <t>Салфетка микрофибра "SEM" для сушки поверхности (50х60 см, серая)</t>
  </si>
  <si>
    <t>Накладки на тормозные суппорта "Brembo" 190 мм (алюминиевые)</t>
  </si>
  <si>
    <t>Накладки на тормозные суппорта "Brembo" 190 мм</t>
  </si>
  <si>
    <t>Катафоты в задний бампер (плазма, 3 режима) для Лада Приора 2</t>
  </si>
  <si>
    <t>Камера заднего вида "AVTOSVET" (подсветка, на железном кронштейне) универсальная</t>
  </si>
  <si>
    <t>Задние фонари светодиодные "ТехАвтоСвет" для ВИС пикап</t>
  </si>
  <si>
    <t>Диодные накладки бампера в стиле Lexus, чёрные, с узором "Стрелки" (ZFT-394 (10)) для Лада Приора 2</t>
  </si>
  <si>
    <t>Диодные накладки бампера в стиле Lexus, чёрные, с узором "Скобы" (ZFT-396 (5)) для Лада Приора 2</t>
  </si>
  <si>
    <t>Диодные накладки бампера в стиле Lexus, чёрные, с узором "Y" (ZFT-393 (6)) для Лада Приора 2</t>
  </si>
  <si>
    <t>Диодные накладки бампера в стиле Lexus, чёрные, с узором "V" (ZFT-395 (3)) для Лада Приора 2</t>
  </si>
  <si>
    <t>Диодные накладки бампера в стиле Lexus, красные, с узором "Стрелки" (ZFT-394 (10)) для Лада Приора 2</t>
  </si>
  <si>
    <t>Диодные накладки бампера в стиле Lexus, красные, с узором "Скобы" (ZFT-396 (5)) для Лада Приора 2</t>
  </si>
  <si>
    <t>Диодные накладки бампера в стиле Lexus, красные, с узором "Y" (ZFT-393 (6)) для Лада Приора 2</t>
  </si>
  <si>
    <t>Диодные задние фонари "черные" с динамическим повторителем поворота на крылья для Лада Веста</t>
  </si>
  <si>
    <t>Динамические повторители поворота, с узором "стрелки широкие" в зеркала старого образца для Лада Веста</t>
  </si>
  <si>
    <t>Динамические повторители поворота "плазма" тонированные в зеркала старого образца для Лада Веста (до 2019 года выпуска)</t>
  </si>
  <si>
    <t>Динамические повторители поворота "плазма" тонированные в зеркала нового образца для Лада Веста (после 2019 года выпуска)</t>
  </si>
  <si>
    <t>Динамические повторители поворота "мульти-плазма", с узором "стрелки" в зеркала старого образца для Лада Веста</t>
  </si>
  <si>
    <t>Динамические повторители поворота "мульти-плазма", с узором "Y" в зеркала старого образца для Лада Веста</t>
  </si>
  <si>
    <t>51700-3711010-35</t>
  </si>
  <si>
    <t>5200744754</t>
  </si>
  <si>
    <t>Блок-фара "СЕВиЕМ" правая для Лада Ларгус</t>
  </si>
  <si>
    <t>5192/94-3711010-15</t>
  </si>
  <si>
    <t>Блок-фара "СЕВиЕМ" правая для Лада Калина 2</t>
  </si>
  <si>
    <t>51900 (FL)</t>
  </si>
  <si>
    <t>Блок-фара "СЕВиЕМ" правая для Лада Гранта FL</t>
  </si>
  <si>
    <t>5190-3713010-15</t>
  </si>
  <si>
    <t>Блок-фара "СЕВиЕМ" правая для Лада Гранта</t>
  </si>
  <si>
    <t>21140-3713010-15</t>
  </si>
  <si>
    <t>Блок-фара "СЕВиЕМ" правая (стеклянный рассеиватель) для ВАЗ 2113-2115</t>
  </si>
  <si>
    <t>51700-3711011-35</t>
  </si>
  <si>
    <t>5200744753</t>
  </si>
  <si>
    <t>Блок-фара "СЕВиЕМ" левая для Лада Ларгус</t>
  </si>
  <si>
    <t>5192/94-3711011-15</t>
  </si>
  <si>
    <t>Блок-фара "СЕВиЕМ" левая для Лада Калина 2</t>
  </si>
  <si>
    <t>Блок-фара "СЕВиЕМ" левая для Лада Гранта FL</t>
  </si>
  <si>
    <t>5190-3713011-15</t>
  </si>
  <si>
    <t>Блок-фара "СЕВиЕМ" левая для Лада Гранта</t>
  </si>
  <si>
    <t>51180-3711011-35</t>
  </si>
  <si>
    <t>Блок-фара "СЕВиЕМ" левая (стеклянный рассеиватель) для Лада Калина</t>
  </si>
  <si>
    <t>21140-3713011-15</t>
  </si>
  <si>
    <t>Блок-фара "СЕВиЕМ" левая (стеклянный рассеиватель) для ВАЗ 2113-2115</t>
  </si>
  <si>
    <t>"Звездное небо" для установки в обивку потолка (350 нитей)</t>
  </si>
  <si>
    <t>Под заказ</t>
  </si>
  <si>
    <t>Стекло "СЕВиЕМ" левой фары для Лада Гранта FL</t>
  </si>
  <si>
    <t>Стекло "СЕВиЕМ" правой фары для Лада Гранта FL</t>
  </si>
  <si>
    <t>Факт</t>
  </si>
  <si>
    <t>Наименование</t>
  </si>
  <si>
    <t>Закуп</t>
  </si>
  <si>
    <t>Розница</t>
  </si>
  <si>
    <t>4</t>
  </si>
  <si>
    <t>6</t>
  </si>
  <si>
    <t>Противотуманные фары для Лада Приора 2</t>
  </si>
  <si>
    <t>Ксенон "HID Ballast"</t>
  </si>
  <si>
    <t>201.3743201</t>
  </si>
  <si>
    <t>Светодиодные фары 40W, чёрные (ДХО, повторитель) для ВАЗ (2101, 2102), Лада (Нива 4х4, Нива 4х4 Урбан), УАЗ (3303, 469, Хантер), Jeep Wrangler</t>
  </si>
  <si>
    <t>Светодиодные фары 40W (чёрные) для ВАЗ (2101, 2102), Лада (Нива 4х4, Нива 4х4 Урбан), УАЗ (3303, 469, Хантер), Jeep Wrangler</t>
  </si>
  <si>
    <t>Светодиодные фары 80W, чёрные (с ДХО) для ВАЗ (2101, 2102), Лада (Нива 4х4, Нива 4х4 Урбан), УАЗ (3303, 469, Хантер), Jeep Wrangler</t>
  </si>
  <si>
    <t>D0875X</t>
  </si>
  <si>
    <t>Светодиодные фары 40W (хромированные) для ВАЗ (2101, 2102), Лада (Нива 4х4, Нива 4х4 Урбан), УАЗ (3303, 469, Хантер), Jeep Wrangler</t>
  </si>
  <si>
    <t>Заглушки в стиле двойного выхлопа "Лексус Стайл" белые, с диодами и бегающим повторителем для Лада Приора 2</t>
  </si>
  <si>
    <t>Указатели поворота "СЕВиЕМ" (тонированные) под фары BOSCH для ВАЗ 2113-2115</t>
  </si>
  <si>
    <t>Фара противотуманная "ESER" правая для Лада Гранта</t>
  </si>
  <si>
    <t>21900-3743010-15</t>
  </si>
  <si>
    <t>Фара противотуманная "ESER" левая для Лада Гранта</t>
  </si>
  <si>
    <t>21900-3743011-15</t>
  </si>
  <si>
    <t>Линзованные "Bi-Xenon" противотуманные фары (ПТФ) для Лада Гранта FL, Веста, XRAY, Ларгус FL, Нива 4х4, Нива Легенд</t>
  </si>
  <si>
    <t>Светодиодные фары 40W, хром для ВАЗ (2101, 2102), Лада (Нива 4х4, Нива 4х4 Урбан), УАЗ (3303, 469, Хантер), Jeep Wrangler</t>
  </si>
  <si>
    <t>DDL 001M</t>
  </si>
  <si>
    <t>Светодиодные фары 40W, чёрные для ВАЗ (2101, 2102), Лада (Нива 4х4, Нива 4х4 Урбан), УАЗ (3303, 469, Хантер), Jeep Wrangler</t>
  </si>
  <si>
    <t>Комплект диодных противотуманных фар "ML Auto Light Technology" (3 полосы) для Лада Приора, Шевроле Нива</t>
  </si>
  <si>
    <t>7ML19221701305</t>
  </si>
  <si>
    <t>Диодные LED ПТФ 5 линз, 2 режима (6000К бело-синий, 3000K жёлтый) для Лада Приора 2</t>
  </si>
  <si>
    <t>Повторители поворота (плавающие, RGB, без тонировки) для Лада Приора</t>
  </si>
  <si>
    <t>21060371601102</t>
  </si>
  <si>
    <t>21060371601002</t>
  </si>
  <si>
    <t>Диодные накладки бампера "Lexus Style" красные, с узором "V" для Лада Приора 2</t>
  </si>
  <si>
    <t>ZFT-395 (3))</t>
  </si>
  <si>
    <t>Фонарь "СЕВиЕМ" освещения номерного знака (светодиодный) для Лада Калина, Калина 2, Гранта</t>
  </si>
  <si>
    <t>Универсальная губа "Samurai" (под карбон, 2.6 м)</t>
  </si>
  <si>
    <t>Универсальная губа "Samurai" (красная, 2.6 м)</t>
  </si>
  <si>
    <t>Универсальная губа "Samurai" (под карбон, синяя, 2.6 м)</t>
  </si>
  <si>
    <t>171-500LED</t>
  </si>
  <si>
    <t>Универсальная губа "Samurai" (под карбон, белая, 2.6 м)</t>
  </si>
  <si>
    <t>58215B, 58214B</t>
  </si>
  <si>
    <t>Универсальная губа "Samurai" (под карбон, красная, 2.6 м)</t>
  </si>
  <si>
    <t/>
  </si>
  <si>
    <t>Повторители поворотов с анимацией "LEXUS" в зеркала нового образца для Лада Приора</t>
  </si>
  <si>
    <t>Блок-фара "СЕВиЕМ" правая (под Киржач) для Лада Приора</t>
  </si>
  <si>
    <t>Блок-фара "СЕВиЕМ" левая (под Киржач) для Лада Приора</t>
  </si>
  <si>
    <t>Сигналы звуковые "Elephant" Камрики универсальные</t>
  </si>
  <si>
    <t>DL-110S</t>
  </si>
  <si>
    <t>Тюнинг фары (ДХО линзы, LED габариты) для Лада Веста</t>
  </si>
  <si>
    <t>Блок-фара "СЕВиЕМ" левая (белый поворотник) для ВАЗ 2113-2115</t>
  </si>
  <si>
    <t>Блок-фара "СЕВиЕМ" правая (белый поворотник) для ВАЗ 2113-2115</t>
  </si>
  <si>
    <t>Повторители тонированные "СЕВиЕМ" под фары  "BOSCH" для ВАЗ 2110-2112</t>
  </si>
  <si>
    <t>Диодные LED ПТФ (3 линзы) для Лада Приора 2</t>
  </si>
  <si>
    <t>Стекло фары "СЕВиЕМ" левое, гладкое для ВАЗ 2110-2112</t>
  </si>
  <si>
    <t>Стекло фары "СЕВиЕМ" правое, гладкое для ВАЗ 2110-2112</t>
  </si>
  <si>
    <t>Шильдик "Ладья" на решетку радиатора в стиле Лада Веста (хром) для Лада Калина 2, Приора, Гранта</t>
  </si>
  <si>
    <t>Фара "СЕВиЕМ" правая, гладкое стекло (тонированный поворотник и отражатель) для ВАЗ 2110-2112</t>
  </si>
  <si>
    <t>Фара "СЕВиЕМ" левая, гладкое стекло (тонированный поворотник и отражатель) для ВАЗ 2110-2112</t>
  </si>
  <si>
    <t>Диодные задние фонари "СЕВиЕМ" тонированные для Лада Приора, Приора 2</t>
  </si>
  <si>
    <t>Артикул</t>
  </si>
  <si>
    <t>Разн</t>
  </si>
  <si>
    <t>Мин</t>
  </si>
  <si>
    <t>Макс</t>
  </si>
  <si>
    <t>Фары Black Nike для ВАЗ 2113-2115</t>
  </si>
  <si>
    <t>Стекло белое противотуманной фары на ВАЗ 2108-21099 "Киржач"</t>
  </si>
  <si>
    <t>Фары в стиле BMW (MTF-глазки) для Лада Приора</t>
  </si>
  <si>
    <t>ML165</t>
  </si>
  <si>
    <t>Указатели поворота "ТехАвтоСвет" аналог BOSCH (белые) для ВАЗ 2110-2112</t>
  </si>
  <si>
    <t>Повторители поворота бегающие, светодиодные жёлтые для Лада Калина, Калина 2, Приора, Приора 2, Гранта</t>
  </si>
  <si>
    <t>Передние блок-фары "СЕВиЕМ" в стиле AUDI для Лада Гранта</t>
  </si>
  <si>
    <t>Фара левая, аналог для Шевроле Нива</t>
  </si>
  <si>
    <t>21230371101102</t>
  </si>
  <si>
    <t>Фара правая, аналог для Шевроле Нива</t>
  </si>
  <si>
    <t>21230371101002</t>
  </si>
  <si>
    <t>Блок-фара "СЕВиЕМ" (лампа H7) левая для Лада Ларгус FL, Renault (Logan II, Sandero)</t>
  </si>
  <si>
    <t>8450092037</t>
  </si>
  <si>
    <t>Фонари задние светодиодные в стиле Mercedes AMG (красные) для Лада Веста</t>
  </si>
  <si>
    <t>Фонари задние светодиодные в стиле Mercedes AMG (серые) для Лада Веста</t>
  </si>
  <si>
    <t>Задние дополнительные диодные фонари "СЕВиЕМ" (красные) для Лада Ларгус</t>
  </si>
  <si>
    <t>Указатели поворота "ТехАвтоСвет" аналог Киржач для ВАЗ 2110-2112</t>
  </si>
  <si>
    <t>Корпус фары (левый) для Лада Веста</t>
  </si>
  <si>
    <t>8450006953/2</t>
  </si>
  <si>
    <t>Корпус фары (правый) для Лада Веста</t>
  </si>
  <si>
    <t>8450006952/2</t>
  </si>
  <si>
    <t>Корпус фары (правый) для Лада Гранта FL</t>
  </si>
  <si>
    <t>Корпус фары (левый) для Лада Гранта FL</t>
  </si>
  <si>
    <t>8450100995</t>
  </si>
  <si>
    <t>Стекла рассеиватели (гладкие) на фары для ВАЗ 2108-21099</t>
  </si>
  <si>
    <t>Стекло противотуманной фары "Освар" белое для ВАЗ 2108-21099</t>
  </si>
  <si>
    <t>Орнамент крышки багажника, черный матовый для Лада Приора</t>
  </si>
  <si>
    <t>%</t>
  </si>
  <si>
    <t>Рек</t>
  </si>
  <si>
    <t>MR</t>
  </si>
  <si>
    <t>https://motorring.ru/product/28998-svetodiodnye-zadnie-fonari-tehavtosvet-12v-dlya-vis-pikap</t>
  </si>
  <si>
    <t>https://motorring.ru/product/21731-diodnyy-fonary-osvescheniya-nomernogo-znaka-lada-kalina</t>
  </si>
  <si>
    <t>https://motorring.ru/product/2778-zadniy-fonary-pravyy-vaz-2106-lada-niva-2121</t>
  </si>
  <si>
    <t>https://motorring.ru/product/34249-zadnie-svetodiodnye-fonari-tonirovannye-stile-range-rover-niva</t>
  </si>
  <si>
    <t>https://motorring.ru/product/32757-perednie-fary-stile-granty-fl-dlya-lada-granta</t>
  </si>
  <si>
    <t>https://motorring.ru/product/32937-komplekt-osnovnyh-nighnih-zadnih-diodnyh-fonarey-largus</t>
  </si>
  <si>
    <t>https://motorring.ru/product/5256-tyuning-fary-kirghach-chernym-korpusom-lada-priora</t>
  </si>
  <si>
    <t>https://motorring.ru/product/2798-steklo-protivotumannoy-fary-kirghach-beloe-dlya-vaz-2113-15</t>
  </si>
  <si>
    <t>https://motorring.ru/product/21140-steklo-levoy-fary-vaz-2108-21099</t>
  </si>
  <si>
    <t>https://motorring.ru/product/21142-steklo-pravoy-fary-vaz-2108-21099</t>
  </si>
  <si>
    <t>https://motorring.ru/product/21163-steklo-protivotumannoy-fary-vaz-2108-21099</t>
  </si>
  <si>
    <t>https://motorring.ru/product/2543-podfarniki-novogo-obrazca-belyy-povorotnik-lada-niva</t>
  </si>
  <si>
    <t>https://motorring.ru/product/20401-universalynaya-rezinovaya-guba-samuray-karbon-peredniy</t>
  </si>
  <si>
    <t>https://motorring.ru/product/34426-universalynaya-rezinovaya-guba-samurai-krasniy-kant</t>
  </si>
  <si>
    <t>https://motorring.ru/product/34427-universalynaya-rezinovaya-guba-samurai-siniy-kant</t>
  </si>
  <si>
    <t>https://motorring.ru/product/39065-komplekt-gladkih-stekol-perednih-far-dlya-vaz-2110-2112</t>
  </si>
  <si>
    <t>https://motorring.ru/product/20174-zaglushki-stile-dvoynogo-vyhlopa-leksus-stayl-diodami-lada</t>
  </si>
  <si>
    <t>https://motorring.ru/product/28445-diodnye-katafoty-stile-dvoynogo-vyhlopa-leksus-cherniye</t>
  </si>
  <si>
    <t>https://motorring.ru/product/28443-diodnye-katafoty-stile-dvoynogo-vyhlopa-leksus-3skobki</t>
  </si>
  <si>
    <t>https://motorring.ru/product/28444-diodnye-katafoty-stile-dvoynogo-vyhlopa-leksus-5skob</t>
  </si>
  <si>
    <t>https://motorring.ru/product/14907-protivotumannye-fary-restaylingovyy-bamper-lada-priora</t>
  </si>
  <si>
    <t>https://motorring.ru/product/20175-zaglushki-stile-dvoynogo-vyhlopa-leksus-stayl-diodami</t>
  </si>
  <si>
    <t>https://motorring.ru/product/35375-povtoriteli-zerkal-plazma-obrazca-2019-goda-lada-vesta</t>
  </si>
  <si>
    <t>https://motorring.ru/product/21125-steklo-levoy-fary-lada-granta</t>
  </si>
  <si>
    <t>https://motorring.ru/product/21126-steklo-pravoe-fary-lada-granta</t>
  </si>
  <si>
    <t>https://motorring.ru/product/36553-korpus-pravoy-blok-fary-dlya-lada-granta-fl</t>
  </si>
  <si>
    <t>https://motorring.ru/product/36552-korpus-levoy-blok-fary-dlya-lada-granta-fl</t>
  </si>
  <si>
    <t>https://motorring.ru/product/21110-diodnye-ptf-lada-priora</t>
  </si>
  <si>
    <t>https://motorring.ru/product/24152-protivotumannye-fary-diodnye-polosy-dvuhcetniye-priora-2</t>
  </si>
  <si>
    <t>https://motorring.ru/product/41017-analogovie-chernye-fary-linzoy-shevrole-niva</t>
  </si>
  <si>
    <t>https://motorring.ru/product/40488-komplekt-far-stile-bmv-angelyskimi-glazkami-mtf-priora</t>
  </si>
  <si>
    <t>https://motorring.ru/product/28223-shilydik-ladyya-chrom-stile-vesta-dlya-lada-priora</t>
  </si>
  <si>
    <t>https://motorring.ru/product/13282-shilydik-laquo-ladyya-raquo-starogo-obrazca-chernyy-matovyy</t>
  </si>
  <si>
    <t>https://motorring.ru/product/2777-zadniy-fonary-levyy-vaz-2106-lada-niva-2121</t>
  </si>
  <si>
    <t>https://motorring.ru/product/5532-katafoty-diodnye-zadniy-bamper-lada-priora-sedan-hetchbek</t>
  </si>
  <si>
    <t>https://motorring.ru/product/2791-povorotnik-al-belyy-levyy-dlya-vaz-2110-2112</t>
  </si>
  <si>
    <t>https://motorring.ru/product/35129-dinamicheskie-povtoriteli-povorota-shirokie-strelki-vesta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</si>
  <si>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</si>
  <si>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</si>
  <si>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</si>
  <si>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</si>
  <si>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</si>
  <si>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</si>
  <si>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</si>
  <si>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</si>
  <si>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</si>
  <si>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</si>
  <si>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</si>
  <si>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</si>
  <si>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</si>
  <si>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</si>
  <si>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</si>
  <si>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</si>
  <si>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</si>
  <si>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</si>
  <si>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</si>
  <si>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#VALUE!</t>
  </si>
  <si>
    <t>https://docs.google.com/spreadsheets/d/1f8_y-lcqVEuKpceVw_F97NEKzue5YmQtx8GIXUS_2B8/export?format=xlsx</t>
  </si>
  <si>
    <t>//*[@id="e-curr-price"]/text()</t>
  </si>
  <si>
    <t>//*[@class="p_club_price pb5"]/text()</t>
  </si>
  <si>
    <t>Ссылка</t>
  </si>
  <si>
    <t>Цена</t>
  </si>
  <si>
    <t>Из ГУГЛа</t>
  </si>
  <si>
    <t>Кат. Номер</t>
  </si>
  <si>
    <t>Ст З</t>
  </si>
  <si>
    <t>Ст Р</t>
  </si>
  <si>
    <t>Код</t>
  </si>
  <si>
    <t>Наименование элемента</t>
  </si>
  <si>
    <t>Y / N</t>
  </si>
  <si>
    <t>Каталожный номер</t>
  </si>
  <si>
    <t>Ссылка на конкурентов</t>
  </si>
  <si>
    <t>Кол-во</t>
  </si>
  <si>
    <t>N</t>
  </si>
  <si>
    <t>0</t>
  </si>
  <si>
    <t>Y</t>
  </si>
  <si>
    <t>Блок-фара "СЕВиЕМ" (лампа H7) правая для Лада Ларгус FL, Renault (Logan II, Sandero)</t>
  </si>
  <si>
    <t>8450092036</t>
  </si>
  <si>
    <t>Комплект диодных противотуманных фар "ML Auto Light Technology" (3 полосы, 2 режима) для Лада Приора, Шевроле Нива</t>
  </si>
  <si>
    <t>Руль "Classic" экокожа, красная строчка для Лада Гранта FL, Шевроле Нива</t>
  </si>
  <si>
    <t>Светодиодные фары (ДХО, линза, повторитель) для ВАЗ (2101,2102), Лада (Нива 4х4, Нива 4х4 Урбан), УАЗ (3303, 469, Хантер), Jeep Wrangler</t>
  </si>
  <si>
    <t>G0438</t>
  </si>
  <si>
    <t>Стекло фары "СЕВиЕМ" левое, гладкое (пластик) для ВАЗ 2113-2115</t>
  </si>
  <si>
    <t>Стекло фары "СЕВиЕМ" правое, гладкое (пластик) для ВАЗ 2113-2115</t>
  </si>
  <si>
    <t>Фонари "СЕВиЕМ" основные, светодиодные (тонированные) для Лада Ларгус</t>
  </si>
  <si>
    <t>Фонари "СЕВиЕМ" основные, светодиодные для Лада Ларгус</t>
  </si>
  <si>
    <t>Элемент каталога</t>
  </si>
  <si>
    <t>Код товара</t>
  </si>
  <si>
    <t>Ряд</t>
  </si>
  <si>
    <t>Элемент</t>
  </si>
  <si>
    <t>Арт</t>
  </si>
  <si>
    <t>Коэф.</t>
  </si>
  <si>
    <t>Доп.</t>
  </si>
  <si>
    <t>Column20</t>
  </si>
  <si>
    <t>https://motorring.ru/product/38820-kolpachok-stupicy-litoy-disk-serebro-r14-17-lada</t>
  </si>
  <si>
    <t>https://motorring.ru/product/21169-steklo-protivotumannoy-fary-vaz-2110-2112</t>
  </si>
  <si>
    <t>https://motorring.ru/product/23179-diodnyy-ptf-belyy-matovii-zadniy-bamper-lada-vesta-granta-liftbek</t>
  </si>
  <si>
    <t>https://motorring.ru/product/23180-diodnyy-ptf-krasnii-matovii-zadniy-bamper-lada-vesta-granta-liftb</t>
  </si>
  <si>
    <t>не нашел</t>
  </si>
  <si>
    <t>не то</t>
  </si>
  <si>
    <t>https://motorring.ru/product/14234-povtoriteli-povorota-diodnye-tonirovannye-lada-kalina</t>
  </si>
  <si>
    <t>529 темные</t>
  </si>
  <si>
    <t>https://motorring.ru/product/31233-protivotumannyy-fonary-bamper-dlya-lada-vesta-lada-granta</t>
  </si>
  <si>
    <t>https://motorring.ru/product/31248-protivotumannyy-fonary-bamper-dlya-lada-granta-liftbek</t>
  </si>
  <si>
    <t>https://motorring.ru/product/35199-universalynaya-rezinovaya-guba-samurai-flourescentniy-kant</t>
  </si>
  <si>
    <t>649 снят</t>
  </si>
  <si>
    <t>https://motorring.ru/product/8507-zadniy-fonary-levyy-seviem-dlya-lada-largus</t>
  </si>
  <si>
    <t>https://motorring.ru/product/8146-zadniy-fonary-pravyy-seviem-lada-largus</t>
  </si>
  <si>
    <t>1249 красные</t>
  </si>
  <si>
    <t>1290 черные</t>
  </si>
  <si>
    <t>https://motorring.ru/product/8512-komplekt-far-seviem-lada-largus-reno-logan</t>
  </si>
  <si>
    <t>https://motorring.ru/product/25987-povtoriteli-povorota-leksus-stayl-miganie-priora</t>
  </si>
  <si>
    <t>1390 красные</t>
  </si>
  <si>
    <t>https://motorring.ru/product/20552-svetodiodnye-fonari-klyushki-vaz-2110</t>
  </si>
  <si>
    <t>4190 снят</t>
  </si>
  <si>
    <t>https://motorring.ru/product/23948-diodnye-zadnie-fonari-dinamicheskim-povtoritelem-povorota</t>
  </si>
  <si>
    <t>6890 снят</t>
  </si>
  <si>
    <t>https://motorring.ru/product/41509-komplekt-krasnyh-diodnyh-fonarey-stile-mersedes-vesta</t>
  </si>
  <si>
    <t>https://motorring.ru/product/41508-komplekt-chernyh-diodnyh-fonarey-stile-mersedes-vesta</t>
  </si>
  <si>
    <t>https://motorring.ru/product/34286-gladkie-stekla-far-dlya-vaz-2113-2115</t>
  </si>
  <si>
    <t>Диодные LED ПТФ "СЕВиЕМ" 3 линзы (двухцветные бело-синий 6000К и жёлтый 3000К) для Лада Приора 2</t>
  </si>
  <si>
    <t>Задние дополнительные диодные фонари "СЕВиЕМ" для Лада Ларгус</t>
  </si>
  <si>
    <t>Задние фонари клюшка "СЕВиЕМ" чёрные для ВАЗ 2110</t>
  </si>
  <si>
    <t>Передние блок-фары "СЕВиЕМ" в стиле Гранта FL для Лада Гранта</t>
  </si>
  <si>
    <t>Светодиодные задние фонари "СЕВиЕМ" с анимацией "Lexus" для ВАЗ 2110</t>
  </si>
  <si>
    <t>Фонарь задний левый "СЕВиЕМ" на Лада Ларгус RF-90</t>
  </si>
  <si>
    <t>Фонарь задний правый "СЕВиЕМ" на Лада Ларгус RF-90</t>
  </si>
  <si>
    <t>https://motorring.ru/product/22575-protivotumannye-fary-diodnye-polosy-restaylingovyy-bamper</t>
  </si>
  <si>
    <t>https://motorring.ru/product/24153-diodnye-ptf-dvuhcvetniye-analog-lada-priora-shevrole</t>
  </si>
  <si>
    <t>не такие (бэст партнер)</t>
  </si>
  <si>
    <t>https://motorring.ru/product/36558-korpus-levoy-blok-fary-dlya-lada-vesta</t>
  </si>
  <si>
    <t>https://motorring.ru/product/36559-korpus-pravoy-blok-fary-dlya-lada-vesta</t>
  </si>
  <si>
    <t>https://motorring.ru/product/41504-komplekt-gladkih-stekol-far-dlya-vaz-2108-21099</t>
  </si>
  <si>
    <t>1290 красные</t>
  </si>
  <si>
    <t>СВОД</t>
  </si>
  <si>
    <t>Данные</t>
  </si>
  <si>
    <t>Переменные</t>
  </si>
  <si>
    <t>890 серая</t>
  </si>
  <si>
    <t>https://motorring.ru/product/40485-perednie-fary-stile-audi-q8-povorotnik-dho-lada-granta</t>
  </si>
  <si>
    <t>Колпак литого диска (заглушка ступицы, серый) для Лада (Калина 2, Гранта, Ларгус, Веста, XRAY, Нива 4x4)</t>
  </si>
  <si>
    <t>https://motorring.ru/product/40485-perednie-fary-stile-audi-q8-povorotnik-dho-lada-granta;https://www.car-team.ru/collection/perednie-fary/product/fary-perednie-v-stile-audi-na-lada-granta-c-plavayuschim-povorotnikom-dho</t>
  </si>
  <si>
    <t>РЦ</t>
  </si>
  <si>
    <t>ЗЦ</t>
  </si>
  <si>
    <t>Фары Black Nike (ДХО без тонировки, Белый повторитель) для ВАЗ 2113-2115</t>
  </si>
  <si>
    <t>Фары Black Nike (ДХО без тонировки, Желтый повторитель) для ВАЗ 2113-2115</t>
  </si>
  <si>
    <t>Фары Black Nike (ДХО без тонировки, Тонированный повторитель) для ВАЗ 2113-2115</t>
  </si>
  <si>
    <t>Фары Black Nike (Тонированные ДХО, Белый повторитель) для ВАЗ 2113-2115</t>
  </si>
  <si>
    <t>Фары Black Nike (Тонированные ДХО, Желтый повторитель) для ВАЗ 2113-2115</t>
  </si>
  <si>
    <t>Фары Black Nike (Тонированные ДХО, Тонированный повторитель) для ВАЗ 2113-2115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</si>
</sst>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8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45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9" fillId="33" borderId="1" applyNumberFormat="0" applyFont="0" applyBorder="0" applyAlignment="0" applyProtection="0"/>
    <xf numFmtId="0" fontId="10" fillId="27" borderId="2" applyNumberFormat="0" applyFont="0" applyBorder="0" applyAlignment="0" applyProtection="0"/>
    <xf numFmtId="0" fontId="11" fillId="34" borderId="3" applyNumberFormat="0" applyFont="0" applyBorder="0" applyAlignment="0" applyProtection="0"/>
    <xf numFmtId="0" fontId="11" fillId="0" borderId="11" applyNumberFormat="0" applyFont="0" applyFill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7" fillId="6" borderId="4" applyNumberFormat="0" applyAlignment="0" applyProtection="0"/>
    <xf numFmtId="0" fontId="18" fillId="0" borderId="6" applyNumberFormat="0" applyFill="0" applyAlignment="0" applyProtection="0"/>
    <xf numFmtId="0" fontId="19" fillId="7" borderId="7" applyNumberFormat="0" applyAlignment="0" applyProtection="0"/>
    <xf numFmtId="0" fontId="20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4" fillId="0" borderId="15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5" fillId="0" borderId="16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6" fillId="0" borderId="17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4" fillId="30" borderId="18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3" fillId="31" borderId="19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7" fillId="3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/>
  </cellStyleXfs>
  <cellXfs count="68">
    <xf numFmtId="0" fontId="0" fillId="0" borderId="0" xfId="0"/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8" borderId="11" xfId="0" applyFill="1" applyBorder="1"/>
    <xf numFmtId="0" fontId="0" fillId="27" borderId="12" xfId="0" applyFill="1" applyBorder="1" applyAlignment="1">
      <alignment horizontal="center"/>
    </xf>
    <xf numFmtId="49" fontId="4" fillId="0" borderId="13" xfId="0" applyNumberFormat="1" applyFont="1" applyBorder="1" applyAlignment="1">
      <alignment horizontal="left" wrapText="1"/>
    </xf>
    <xf numFmtId="49" fontId="4" fillId="0" borderId="10" xfId="0" applyNumberFormat="1" applyFont="1" applyBorder="1" applyAlignment="1">
      <alignment wrapText="1"/>
    </xf>
    <xf numFmtId="49" fontId="4" fillId="0" borderId="10" xfId="0" applyNumberFormat="1" applyFont="1" applyBorder="1" applyAlignment="1">
      <alignment horizontal="left" wrapText="1"/>
    </xf>
    <xf numFmtId="0" fontId="6" fillId="0" borderId="0" xfId="44" applyAlignment="1">
      <alignment horizontal="left" vertical="top" wrapText="1"/>
    </xf>
    <xf numFmtId="0" fontId="7" fillId="0" borderId="0" xfId="44" applyFont="1" applyAlignment="1">
      <alignment horizontal="left" vertical="top" wrapText="1"/>
    </xf>
    <xf numFmtId="0" fontId="0" fillId="29" borderId="11" xfId="0" applyFill="1" applyBorder="1"/>
    <xf numFmtId="9" fontId="0" fillId="29" borderId="11" xfId="0" applyNumberFormat="1" applyFill="1" applyBorder="1"/>
    <xf numFmtId="1" fontId="4" fillId="0" borderId="11" xfId="0" applyNumberFormat="1" applyFont="1" applyBorder="1" applyAlignment="1">
      <alignment horizontal="center" vertical="center" wrapText="1"/>
    </xf>
    <xf numFmtId="1" fontId="4" fillId="0" borderId="11" xfId="1" applyNumberFormat="1" applyFont="1" applyBorder="1" applyAlignment="1">
      <alignment horizontal="center" vertical="center"/>
    </xf>
    <xf numFmtId="0" fontId="0" fillId="27" borderId="10" xfId="0" applyFill="1" applyBorder="1" applyAlignment="1">
      <alignment horizontal="center"/>
    </xf>
    <xf numFmtId="0" fontId="30" fillId="35" borderId="11" xfId="0" applyFont="1" applyFill="1" applyBorder="1" applyAlignment="1">
      <alignment horizontal="left" vertical="center"/>
    </xf>
    <xf numFmtId="0" fontId="7" fillId="36" borderId="11" xfId="0" applyFont="1" applyFill="1" applyBorder="1" applyAlignment="1">
      <alignment horizontal="left" vertical="top" wrapText="1"/>
    </xf>
    <xf numFmtId="0" fontId="0" fillId="0" borderId="11" xfId="0" applyBorder="1"/>
    <xf numFmtId="1" fontId="7" fillId="29" borderId="11" xfId="0" applyNumberFormat="1" applyFont="1" applyFill="1" applyBorder="1" applyAlignment="1">
      <alignment horizontal="left" vertical="top" wrapText="1"/>
    </xf>
    <xf numFmtId="0" fontId="7" fillId="0" borderId="11" xfId="0" applyFont="1" applyBorder="1" applyAlignment="1">
      <alignment horizontal="left" vertical="top" wrapText="1"/>
    </xf>
    <xf numFmtId="9" fontId="7" fillId="35" borderId="11" xfId="1" applyFont="1" applyFill="1" applyBorder="1" applyAlignment="1">
      <alignment horizontal="left" vertical="top" wrapText="1"/>
    </xf>
    <xf numFmtId="9" fontId="30" fillId="35" borderId="11" xfId="0" applyNumberFormat="1" applyFont="1" applyFill="1" applyBorder="1" applyAlignment="1">
      <alignment horizontal="left" vertical="center"/>
    </xf>
    <xf numFmtId="1" fontId="7" fillId="35" borderId="11" xfId="1" applyNumberFormat="1" applyFont="1" applyFill="1" applyBorder="1" applyAlignment="1">
      <alignment horizontal="left" vertical="top" wrapText="1"/>
    </xf>
    <xf numFmtId="2" fontId="30" fillId="35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9" fontId="0" fillId="0" borderId="0" xfId="1" applyFont="1" applyAlignment="1">
      <alignment horizontal="left"/>
    </xf>
    <xf numFmtId="1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13" fillId="3" borderId="10" xfId="8" applyNumberFormat="1" applyBorder="1" applyAlignment="1">
      <alignment horizontal="left" wrapText="1"/>
    </xf>
    <xf numFmtId="1" fontId="13" fillId="3" borderId="14" xfId="8" applyNumberFormat="1" applyBorder="1" applyAlignment="1">
      <alignment horizontal="left" wrapText="1"/>
    </xf>
    <xf numFmtId="9" fontId="0" fillId="27" borderId="11" xfId="0" applyNumberFormat="1" applyFill="1" applyBorder="1" applyAlignment="1">
      <alignment horizontal="left"/>
    </xf>
    <xf numFmtId="1" fontId="0" fillId="0" borderId="0" xfId="0" applyNumberFormat="1" applyAlignment="1">
      <alignment horizontal="left" vertical="center" wrapText="1"/>
    </xf>
    <xf numFmtId="1" fontId="4" fillId="27" borderId="10" xfId="0" applyNumberFormat="1" applyFont="1" applyFill="1" applyBorder="1" applyAlignment="1">
      <alignment horizontal="left" wrapText="1"/>
    </xf>
    <xf numFmtId="2" fontId="4" fillId="0" borderId="10" xfId="0" applyNumberFormat="1" applyFont="1" applyFill="1" applyBorder="1" applyAlignment="1">
      <alignment horizontal="left" wrapText="1"/>
    </xf>
    <xf numFmtId="1" fontId="4" fillId="0" borderId="10" xfId="0" applyNumberFormat="1" applyFont="1" applyFill="1" applyBorder="1" applyAlignment="1">
      <alignment horizontal="left" wrapText="1"/>
    </xf>
    <xf numFmtId="1" fontId="4" fillId="27" borderId="14" xfId="0" applyNumberFormat="1" applyFont="1" applyFill="1" applyBorder="1" applyAlignment="1">
      <alignment horizontal="left" wrapText="1"/>
    </xf>
    <xf numFmtId="0" fontId="8" fillId="0" borderId="11" xfId="0" applyFont="1" applyBorder="1" applyAlignment="1">
      <alignment horizontal="left" vertical="center" wrapText="1"/>
    </xf>
    <xf numFmtId="1" fontId="4" fillId="0" borderId="11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9" fontId="2" fillId="0" borderId="11" xfId="1" applyFont="1" applyBorder="1" applyAlignment="1">
      <alignment horizontal="left" wrapText="1"/>
    </xf>
    <xf numFmtId="1" fontId="0" fillId="0" borderId="11" xfId="0" applyNumberFormat="1" applyBorder="1" applyAlignment="1">
      <alignment horizontal="left" vertical="center"/>
    </xf>
    <xf numFmtId="0" fontId="24" fillId="0" borderId="15" xfId="19" applyAlignment="1">
      <alignment horizontal="left" vertical="center" wrapText="1"/>
    </xf>
    <xf numFmtId="1" fontId="24" fillId="0" borderId="15" xfId="19" applyNumberFormat="1" applyAlignment="1">
      <alignment horizontal="left" vertical="center"/>
    </xf>
    <xf numFmtId="1" fontId="0" fillId="0" borderId="11" xfId="0" applyNumberFormat="1" applyBorder="1" applyAlignment="1">
      <alignment horizontal="left" vertical="center" wrapText="1"/>
    </xf>
    <xf numFmtId="1" fontId="5" fillId="0" borderId="11" xfId="43" applyNumberFormat="1" applyBorder="1" applyAlignment="1">
      <alignment horizontal="left" vertical="center"/>
    </xf>
    <xf numFmtId="1" fontId="24" fillId="0" borderId="15" xfId="19" applyNumberFormat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1" fontId="30" fillId="35" borderId="11" xfId="0" applyNumberFormat="1" applyFont="1" applyFill="1" applyBorder="1" applyAlignment="1">
      <alignment horizontal="left" vertical="center"/>
    </xf>
    <xf numFmtId="1" fontId="0" fillId="35" borderId="11" xfId="0" applyNumberFormat="1" applyFill="1" applyBorder="1" applyAlignment="1">
      <alignment horizontal="left"/>
    </xf>
    <xf numFmtId="1" fontId="0" fillId="37" borderId="11" xfId="0" applyNumberFormat="1" applyFill="1" applyBorder="1" applyAlignment="1">
      <alignment horizontal="left"/>
    </xf>
    <xf numFmtId="1" fontId="0" fillId="38" borderId="11" xfId="0" applyNumberFormat="1" applyFill="1" applyBorder="1" applyAlignment="1">
      <alignment horizontal="left"/>
    </xf>
    <xf numFmtId="1" fontId="0" fillId="39" borderId="11" xfId="0" applyNumberFormat="1" applyFill="1" applyBorder="1" applyAlignment="1">
      <alignment horizontal="left"/>
    </xf>
    <xf numFmtId="1" fontId="0" fillId="40" borderId="11" xfId="0" applyNumberFormat="1" applyFill="1" applyBorder="1" applyAlignment="1">
      <alignment horizontal="left"/>
    </xf>
    <xf numFmtId="1" fontId="4" fillId="34" borderId="11" xfId="0" applyNumberFormat="1" applyFont="1" applyFill="1" applyBorder="1" applyAlignment="1">
      <alignment horizontal="left" vertical="center"/>
    </xf>
    <xf numFmtId="1" fontId="4" fillId="41" borderId="11" xfId="0" applyNumberFormat="1" applyFont="1" applyFill="1" applyBorder="1" applyAlignment="1">
      <alignment horizontal="left" vertical="center"/>
    </xf>
    <xf numFmtId="9" fontId="0" fillId="0" borderId="0" xfId="0" applyNumberFormat="1" applyAlignment="1">
      <alignment horizontal="left"/>
    </xf>
    <xf numFmtId="49" fontId="4" fillId="0" borderId="10" xfId="0" applyNumberFormat="1" applyFont="1" applyFill="1" applyBorder="1" applyAlignment="1">
      <alignment horizontal="left" wrapText="1"/>
    </xf>
    <xf numFmtId="1" fontId="4" fillId="0" borderId="11" xfId="1" applyNumberFormat="1" applyFont="1" applyBorder="1" applyAlignment="1">
      <alignment horizontal="left" vertical="center"/>
    </xf>
    <xf numFmtId="0" fontId="7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7" fillId="27" borderId="11" xfId="0" applyNumberFormat="1" applyFont="1" applyFill="1" applyBorder="1" applyAlignment="1" applyProtection="1">
      <alignment horizontal="left" vertical="top" wrapText="1"/>
    </xf>
    <xf numFmtId="0" fontId="7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7" fillId="27" borderId="11" xfId="0" applyNumberFormat="1" applyFont="1" applyFill="1" applyBorder="1" applyAlignment="1" applyProtection="1">
      <alignment horizontal="left" vertical="top" wrapText="1"/>
    </xf>
  </cellXfs>
  <cellStyles count="45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0" builtinId="20" customBuiltin="1"/>
    <cellStyle name="Вывод" xfId="11" builtinId="21" customBuiltin="1"/>
    <cellStyle name="Вычисление" xfId="12" builtinId="22" customBuiltin="1"/>
    <cellStyle name="Гиперссылка" xfId="43" builtinId="8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8" builtinId="25" customBuiltin="1"/>
    <cellStyle name="Контрольная ячейка" xfId="14" builtinId="23" customBuiltin="1"/>
    <cellStyle name="Название" xfId="2" builtinId="15" customBuiltin="1"/>
    <cellStyle name="Нейтральный" xfId="9" builtinId="28" customBuiltin="1"/>
    <cellStyle name="Обычный" xfId="0" builtinId="0" customBuiltin="1"/>
    <cellStyle name="Обычный 2" xfId="44" xr:uid="{2271D9FA-5999-4A55-8911-3AEDC3B8E490}"/>
    <cellStyle name="Плохой" xfId="8" builtinId="27" customBuiltin="1"/>
    <cellStyle name="Пояснение" xfId="17" builtinId="53" customBuiltin="1"/>
    <cellStyle name="Примечание" xfId="16" builtinId="10" customBuiltin="1"/>
    <cellStyle name="Процентный" xfId="1" builtinId="5"/>
    <cellStyle name="Связанная ячейка" xfId="13" builtinId="24" customBuiltin="1"/>
    <cellStyle name="Текст предупреждения" xfId="15" builtinId="11" customBuiltin="1"/>
    <cellStyle name="Хороший" xfId="7" builtinId="26" customBuiltin="1"/>
  </cellStyles>
  <dxfs count="16">
    <dxf>
      <fill>
        <patternFill patternType="none">
          <fgColor indexed="64"/>
          <bgColor indexed="65"/>
        </patternFill>
      </fill>
    </dxf>
    <dxf>
      <fill>
        <patternFill patternType="solid">
          <fgColor rgb="FFACB9CA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3</xdr:row>
          <xdr:rowOff>142875</xdr:rowOff>
        </xdr:from>
        <xdr:to>
          <xdr:col>8</xdr:col>
          <xdr:colOff>409575</xdr:colOff>
          <xdr:row>7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71F7F92-FFD3-400F-9A1D-4BF26FCD076E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6766EA-8487-4F37-8BE9-D0DE255A5EB0}" name="Севием" displayName="Севием" ref="A1:T148" tableType="queryTable" totalsRowShown="0">
  <autoFilter ref="A1:T148" xr:uid="{EA4FFF30-D702-4D8F-9681-EF17D5173521}"/>
  <tableColumns count="20">
    <tableColumn id="1" xr3:uid="{0AE67D6F-1A62-4A26-ACDB-3D3220899099}" uniqueName="1" name="Column1" queryTableFieldId="1"/>
    <tableColumn id="2" xr3:uid="{FAC3E50C-53C3-4A09-A041-FE0894109CDD}" uniqueName="2" name="Column2" queryTableFieldId="2"/>
    <tableColumn id="3" xr3:uid="{E2E2D472-3121-4372-B2B0-AE3DAB3CC8E0}" uniqueName="3" name="Column3" queryTableFieldId="3"/>
    <tableColumn id="4" xr3:uid="{514F1171-9B8B-4231-8471-CA36677663AA}" uniqueName="4" name="Column4" queryTableFieldId="4"/>
    <tableColumn id="5" xr3:uid="{2D919B7C-4B64-45A9-9861-A8A0AD552290}" uniqueName="5" name="Column5" queryTableFieldId="5"/>
    <tableColumn id="6" xr3:uid="{504CCA09-E5C8-4B9A-8539-DA0B7D293CAF}" uniqueName="6" name="Column6" queryTableFieldId="6"/>
    <tableColumn id="7" xr3:uid="{F07371D5-A9AA-4201-8AC6-DCEAC634364D}" uniqueName="7" name="Column7" queryTableFieldId="7"/>
    <tableColumn id="8" xr3:uid="{49CE3D8F-680B-4DDD-B521-5B517B5234D0}" uniqueName="8" name="Column8" queryTableFieldId="8"/>
    <tableColumn id="9" xr3:uid="{097589EA-1E32-444D-9785-FDB73E469664}" uniqueName="9" name="Column9" queryTableFieldId="9"/>
    <tableColumn id="10" xr3:uid="{D1688D9C-AB42-4613-80EA-3CE2F5FBF17E}" uniqueName="10" name="Column10" queryTableFieldId="10"/>
    <tableColumn id="11" xr3:uid="{487EEAB6-3DB6-471D-BB53-2FD6861E67FA}" uniqueName="11" name="Column11" queryTableFieldId="11"/>
    <tableColumn id="12" xr3:uid="{9325D19A-CA20-4D36-BAD5-40C920265254}" uniqueName="12" name="Column12" queryTableFieldId="12"/>
    <tableColumn id="13" xr3:uid="{B82800A4-0E3E-404B-AFE7-3848D78D8595}" uniqueName="13" name="Column13" queryTableFieldId="13"/>
    <tableColumn id="14" xr3:uid="{D10C0723-5943-467B-A883-A045C951C4E1}" uniqueName="14" name="Column14" queryTableFieldId="14"/>
    <tableColumn id="15" xr3:uid="{26099047-22E5-48B7-AFCB-CFF36962F8BE}" uniqueName="15" name="Column15" queryTableFieldId="15"/>
    <tableColumn id="16" xr3:uid="{2E1E33BC-807D-4CCE-9D45-47603F9C6E30}" uniqueName="16" name="Column16" queryTableFieldId="16"/>
    <tableColumn id="17" xr3:uid="{5181774B-B053-489E-B642-B6295CBC9F9C}" uniqueName="17" name="Column17" queryTableFieldId="17"/>
    <tableColumn id="18" xr3:uid="{E076AFA2-6D4A-4499-9D24-CC919C005FCD}" uniqueName="18" name="Column18" queryTableFieldId="18"/>
    <tableColumn id="19" xr3:uid="{BC64697E-21F3-4E82-B154-7FCC2B2B4890}" uniqueName="19" name="Column19" queryTableFieldId="19"/>
    <tableColumn id="20" xr3:uid="{BEBD1753-E741-4888-9C5F-64629C010F35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motorring.ru/product/2543-podfarniki-novogo-obrazca-belyy-povorotnik-lada-niva" TargetMode="External"/><Relationship Id="rId18" Type="http://schemas.openxmlformats.org/officeDocument/2006/relationships/hyperlink" Target="https://motorring.ru/product/39065-komplekt-gladkih-stekol-perednih-far-dlya-vaz-2110-2112" TargetMode="External"/><Relationship Id="rId26" Type="http://schemas.openxmlformats.org/officeDocument/2006/relationships/hyperlink" Target="https://motorring.ru/product/21125-steklo-levoy-fary-lada-granta" TargetMode="External"/><Relationship Id="rId39" Type="http://schemas.openxmlformats.org/officeDocument/2006/relationships/hyperlink" Target="https://motorring.ru/product/35129-dinamicheskie-povtoriteli-povorota-shirokie-strelki-vesta" TargetMode="External"/><Relationship Id="rId21" Type="http://schemas.openxmlformats.org/officeDocument/2006/relationships/hyperlink" Target="https://motorring.ru/product/28443-diodnye-katafoty-stile-dvoynogo-vyhlopa-leksus-3skobki" TargetMode="External"/><Relationship Id="rId34" Type="http://schemas.openxmlformats.org/officeDocument/2006/relationships/hyperlink" Target="https://motorring.ru/product/28223-shilydik-ladyya-chrom-stile-vesta-dlya-lada-priora" TargetMode="External"/><Relationship Id="rId42" Type="http://schemas.openxmlformats.org/officeDocument/2006/relationships/comments" Target="../comments1.xml"/><Relationship Id="rId7" Type="http://schemas.openxmlformats.org/officeDocument/2006/relationships/hyperlink" Target="https://motorring.ru/product/5256-tyuning-fary-kirghach-chernym-korpusom-lada-priora" TargetMode="External"/><Relationship Id="rId2" Type="http://schemas.openxmlformats.org/officeDocument/2006/relationships/hyperlink" Target="https://motorring.ru/product/21731-diodnyy-fonary-osvescheniya-nomernogo-znaka-lada-kalina" TargetMode="External"/><Relationship Id="rId16" Type="http://schemas.openxmlformats.org/officeDocument/2006/relationships/hyperlink" Target="https://motorring.ru/product/34427-universalynaya-rezinovaya-guba-samurai-siniy-kant" TargetMode="External"/><Relationship Id="rId20" Type="http://schemas.openxmlformats.org/officeDocument/2006/relationships/hyperlink" Target="https://motorring.ru/product/28445-diodnye-katafoty-stile-dvoynogo-vyhlopa-leksus-cherniye" TargetMode="External"/><Relationship Id="rId29" Type="http://schemas.openxmlformats.org/officeDocument/2006/relationships/hyperlink" Target="https://motorring.ru/product/36552-korpus-levoy-blok-fary-dlya-lada-granta-fl" TargetMode="External"/><Relationship Id="rId41" Type="http://schemas.openxmlformats.org/officeDocument/2006/relationships/vmlDrawing" Target="../drawings/vmlDrawing1.vml"/><Relationship Id="rId1" Type="http://schemas.openxmlformats.org/officeDocument/2006/relationships/hyperlink" Target="https://motorring.ru/product/28998-svetodiodnye-zadnie-fonari-tehavtosvet-12v-dlya-vis-pikap" TargetMode="External"/><Relationship Id="rId6" Type="http://schemas.openxmlformats.org/officeDocument/2006/relationships/hyperlink" Target="https://motorring.ru/product/32937-komplekt-osnovnyh-nighnih-zadnih-diodnyh-fonarey-largus" TargetMode="External"/><Relationship Id="rId11" Type="http://schemas.openxmlformats.org/officeDocument/2006/relationships/hyperlink" Target="https://motorring.ru/product/21163-steklo-protivotumannoy-fary-vaz-2108-21099" TargetMode="External"/><Relationship Id="rId24" Type="http://schemas.openxmlformats.org/officeDocument/2006/relationships/hyperlink" Target="https://motorring.ru/product/20175-zaglushki-stile-dvoynogo-vyhlopa-leksus-stayl-diodami" TargetMode="External"/><Relationship Id="rId32" Type="http://schemas.openxmlformats.org/officeDocument/2006/relationships/hyperlink" Target="https://motorring.ru/product/41017-analogovie-chernye-fary-linzoy-shevrole-niva" TargetMode="External"/><Relationship Id="rId37" Type="http://schemas.openxmlformats.org/officeDocument/2006/relationships/hyperlink" Target="https://motorring.ru/product/5532-katafoty-diodnye-zadniy-bamper-lada-priora-sedan-hetchbek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s://motorring.ru/product/32757-perednie-fary-stile-granty-fl-dlya-lada-granta" TargetMode="External"/><Relationship Id="rId15" Type="http://schemas.openxmlformats.org/officeDocument/2006/relationships/hyperlink" Target="https://motorring.ru/product/34426-universalynaya-rezinovaya-guba-samurai-krasniy-kant" TargetMode="External"/><Relationship Id="rId23" Type="http://schemas.openxmlformats.org/officeDocument/2006/relationships/hyperlink" Target="https://motorring.ru/product/14907-protivotumannye-fary-restaylingovyy-bamper-lada-priora" TargetMode="External"/><Relationship Id="rId28" Type="http://schemas.openxmlformats.org/officeDocument/2006/relationships/hyperlink" Target="https://motorring.ru/product/36553-korpus-pravoy-blok-fary-dlya-lada-granta-fl" TargetMode="External"/><Relationship Id="rId36" Type="http://schemas.openxmlformats.org/officeDocument/2006/relationships/hyperlink" Target="https://motorring.ru/product/2777-zadniy-fonary-levyy-vaz-2106-lada-niva-2121" TargetMode="External"/><Relationship Id="rId10" Type="http://schemas.openxmlformats.org/officeDocument/2006/relationships/hyperlink" Target="https://motorring.ru/product/21142-steklo-pravoy-fary-vaz-2108-21099" TargetMode="External"/><Relationship Id="rId19" Type="http://schemas.openxmlformats.org/officeDocument/2006/relationships/hyperlink" Target="https://motorring.ru/product/20174-zaglushki-stile-dvoynogo-vyhlopa-leksus-stayl-diodami-lada" TargetMode="External"/><Relationship Id="rId31" Type="http://schemas.openxmlformats.org/officeDocument/2006/relationships/hyperlink" Target="https://motorring.ru/product/41017-analogovie-chernye-fary-linzoy-shevrole-niva" TargetMode="External"/><Relationship Id="rId4" Type="http://schemas.openxmlformats.org/officeDocument/2006/relationships/hyperlink" Target="https://motorring.ru/product/34249-zadnie-svetodiodnye-fonari-tonirovannye-stile-range-rover-niva" TargetMode="External"/><Relationship Id="rId9" Type="http://schemas.openxmlformats.org/officeDocument/2006/relationships/hyperlink" Target="https://motorring.ru/product/21140-steklo-levoy-fary-vaz-2108-21099" TargetMode="External"/><Relationship Id="rId14" Type="http://schemas.openxmlformats.org/officeDocument/2006/relationships/hyperlink" Target="https://motorring.ru/product/20401-universalynaya-rezinovaya-guba-samuray-karbon-peredniy" TargetMode="External"/><Relationship Id="rId22" Type="http://schemas.openxmlformats.org/officeDocument/2006/relationships/hyperlink" Target="https://motorring.ru/product/28444-diodnye-katafoty-stile-dvoynogo-vyhlopa-leksus-5skob" TargetMode="External"/><Relationship Id="rId27" Type="http://schemas.openxmlformats.org/officeDocument/2006/relationships/hyperlink" Target="https://motorring.ru/product/21126-steklo-pravoe-fary-lada-granta" TargetMode="External"/><Relationship Id="rId30" Type="http://schemas.openxmlformats.org/officeDocument/2006/relationships/hyperlink" Target="https://motorring.ru/product/21110-diodnye-ptf-lada-priora" TargetMode="External"/><Relationship Id="rId35" Type="http://schemas.openxmlformats.org/officeDocument/2006/relationships/hyperlink" Target="https://motorring.ru/product/13282-shilydik-laquo-ladyya-raquo-starogo-obrazca-chernyy-matovyy" TargetMode="External"/><Relationship Id="rId8" Type="http://schemas.openxmlformats.org/officeDocument/2006/relationships/hyperlink" Target="https://motorring.ru/product/2798-steklo-protivotumannoy-fary-kirghach-beloe-dlya-vaz-2113-15" TargetMode="External"/><Relationship Id="rId3" Type="http://schemas.openxmlformats.org/officeDocument/2006/relationships/hyperlink" Target="https://motorring.ru/product/2778-zadniy-fonary-pravyy-vaz-2106-lada-niva-2121" TargetMode="External"/><Relationship Id="rId12" Type="http://schemas.openxmlformats.org/officeDocument/2006/relationships/hyperlink" Target="https://motorring.ru/product/2543-podfarniki-novogo-obrazca-belyy-povorotnik-lada-niva" TargetMode="External"/><Relationship Id="rId17" Type="http://schemas.openxmlformats.org/officeDocument/2006/relationships/hyperlink" Target="https://motorring.ru/product/39065-komplekt-gladkih-stekol-perednih-far-dlya-vaz-2110-2112" TargetMode="External"/><Relationship Id="rId25" Type="http://schemas.openxmlformats.org/officeDocument/2006/relationships/hyperlink" Target="https://motorring.ru/product/35375-povtoriteli-zerkal-plazma-obrazca-2019-goda-lada-vesta" TargetMode="External"/><Relationship Id="rId33" Type="http://schemas.openxmlformats.org/officeDocument/2006/relationships/hyperlink" Target="https://motorring.ru/product/40488-komplekt-far-stile-bmv-angelyskimi-glazkami-mtf-priora" TargetMode="External"/><Relationship Id="rId38" Type="http://schemas.openxmlformats.org/officeDocument/2006/relationships/hyperlink" Target="https://motorring.ru/product/2791-povorotnik-al-belyy-levyy-dlya-vaz-2110-211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otorring.ru/product/2543-podfarniki-novogo-obrazca-belyy-povorotnik-lada-niva" TargetMode="External"/><Relationship Id="rId18" Type="http://schemas.openxmlformats.org/officeDocument/2006/relationships/hyperlink" Target="https://motorring.ru/product/39065-komplekt-gladkih-stekol-perednih-far-dlya-vaz-2110-2112" TargetMode="External"/><Relationship Id="rId26" Type="http://schemas.openxmlformats.org/officeDocument/2006/relationships/hyperlink" Target="https://motorring.ru/product/21125-steklo-levoy-fary-lada-granta" TargetMode="External"/><Relationship Id="rId39" Type="http://schemas.openxmlformats.org/officeDocument/2006/relationships/hyperlink" Target="https://motorring.ru/product/35129-dinamicheskie-povtoriteli-povorota-shirokie-strelki-vesta" TargetMode="External"/><Relationship Id="rId21" Type="http://schemas.openxmlformats.org/officeDocument/2006/relationships/hyperlink" Target="https://motorring.ru/product/28443-diodnye-katafoty-stile-dvoynogo-vyhlopa-leksus-3skobki" TargetMode="External"/><Relationship Id="rId34" Type="http://schemas.openxmlformats.org/officeDocument/2006/relationships/hyperlink" Target="https://motorring.ru/product/28223-shilydik-ladyya-chrom-stile-vesta-dlya-lada-priora" TargetMode="External"/><Relationship Id="rId42" Type="http://schemas.openxmlformats.org/officeDocument/2006/relationships/vmlDrawing" Target="../drawings/vmlDrawing2.vml"/><Relationship Id="rId7" Type="http://schemas.openxmlformats.org/officeDocument/2006/relationships/hyperlink" Target="https://motorring.ru/product/5256-tyuning-fary-kirghach-chernym-korpusom-lada-priora" TargetMode="External"/><Relationship Id="rId2" Type="http://schemas.openxmlformats.org/officeDocument/2006/relationships/hyperlink" Target="https://motorring.ru/product/21731-diodnyy-fonary-osvescheniya-nomernogo-znaka-lada-kalina" TargetMode="External"/><Relationship Id="rId16" Type="http://schemas.openxmlformats.org/officeDocument/2006/relationships/hyperlink" Target="https://motorring.ru/product/34427-universalynaya-rezinovaya-guba-samurai-siniy-kant" TargetMode="External"/><Relationship Id="rId29" Type="http://schemas.openxmlformats.org/officeDocument/2006/relationships/hyperlink" Target="https://motorring.ru/product/36552-korpus-levoy-blok-fary-dlya-lada-granta-fl" TargetMode="External"/><Relationship Id="rId1" Type="http://schemas.openxmlformats.org/officeDocument/2006/relationships/hyperlink" Target="https://motorring.ru/product/28998-svetodiodnye-zadnie-fonari-tehavtosvet-12v-dlya-vis-pikap" TargetMode="External"/><Relationship Id="rId6" Type="http://schemas.openxmlformats.org/officeDocument/2006/relationships/hyperlink" Target="https://motorring.ru/product/32937-komplekt-osnovnyh-nighnih-zadnih-diodnyh-fonarey-largus" TargetMode="External"/><Relationship Id="rId11" Type="http://schemas.openxmlformats.org/officeDocument/2006/relationships/hyperlink" Target="https://motorring.ru/product/21163-steklo-protivotumannoy-fary-vaz-2108-21099" TargetMode="External"/><Relationship Id="rId24" Type="http://schemas.openxmlformats.org/officeDocument/2006/relationships/hyperlink" Target="https://motorring.ru/product/20175-zaglushki-stile-dvoynogo-vyhlopa-leksus-stayl-diodami" TargetMode="External"/><Relationship Id="rId32" Type="http://schemas.openxmlformats.org/officeDocument/2006/relationships/hyperlink" Target="https://motorring.ru/product/41017-analogovie-chernye-fary-linzoy-shevrole-niva" TargetMode="External"/><Relationship Id="rId37" Type="http://schemas.openxmlformats.org/officeDocument/2006/relationships/hyperlink" Target="https://motorring.ru/product/5532-katafoty-diodnye-zadniy-bamper-lada-priora-sedan-hetchbek" TargetMode="External"/><Relationship Id="rId40" Type="http://schemas.openxmlformats.org/officeDocument/2006/relationships/printerSettings" Target="../printerSettings/printerSettings4.bin"/><Relationship Id="rId45" Type="http://schemas.openxmlformats.org/officeDocument/2006/relationships/comments" Target="../comments2.xml"/><Relationship Id="rId5" Type="http://schemas.openxmlformats.org/officeDocument/2006/relationships/hyperlink" Target="https://motorring.ru/product/32757-perednie-fary-stile-granty-fl-dlya-lada-granta" TargetMode="External"/><Relationship Id="rId15" Type="http://schemas.openxmlformats.org/officeDocument/2006/relationships/hyperlink" Target="https://motorring.ru/product/34426-universalynaya-rezinovaya-guba-samurai-krasniy-kant" TargetMode="External"/><Relationship Id="rId23" Type="http://schemas.openxmlformats.org/officeDocument/2006/relationships/hyperlink" Target="https://motorring.ru/product/14907-protivotumannye-fary-restaylingovyy-bamper-lada-priora" TargetMode="External"/><Relationship Id="rId28" Type="http://schemas.openxmlformats.org/officeDocument/2006/relationships/hyperlink" Target="https://motorring.ru/product/36553-korpus-pravoy-blok-fary-dlya-lada-granta-fl" TargetMode="External"/><Relationship Id="rId36" Type="http://schemas.openxmlformats.org/officeDocument/2006/relationships/hyperlink" Target="https://motorring.ru/product/2777-zadniy-fonary-levyy-vaz-2106-lada-niva-2121" TargetMode="External"/><Relationship Id="rId10" Type="http://schemas.openxmlformats.org/officeDocument/2006/relationships/hyperlink" Target="https://motorring.ru/product/21142-steklo-pravoy-fary-vaz-2108-21099" TargetMode="External"/><Relationship Id="rId19" Type="http://schemas.openxmlformats.org/officeDocument/2006/relationships/hyperlink" Target="https://motorring.ru/product/20174-zaglushki-stile-dvoynogo-vyhlopa-leksus-stayl-diodami-lada" TargetMode="External"/><Relationship Id="rId31" Type="http://schemas.openxmlformats.org/officeDocument/2006/relationships/hyperlink" Target="https://motorring.ru/product/41017-analogovie-chernye-fary-linzoy-shevrole-niva" TargetMode="External"/><Relationship Id="rId44" Type="http://schemas.openxmlformats.org/officeDocument/2006/relationships/image" Target="../media/image1.emf"/><Relationship Id="rId4" Type="http://schemas.openxmlformats.org/officeDocument/2006/relationships/hyperlink" Target="https://motorring.ru/product/34249-zadnie-svetodiodnye-fonari-tonirovannye-stile-range-rover-niva" TargetMode="External"/><Relationship Id="rId9" Type="http://schemas.openxmlformats.org/officeDocument/2006/relationships/hyperlink" Target="https://motorring.ru/product/21140-steklo-levoy-fary-vaz-2108-21099" TargetMode="External"/><Relationship Id="rId14" Type="http://schemas.openxmlformats.org/officeDocument/2006/relationships/hyperlink" Target="https://motorring.ru/product/20401-universalynaya-rezinovaya-guba-samuray-karbon-peredniy" TargetMode="External"/><Relationship Id="rId22" Type="http://schemas.openxmlformats.org/officeDocument/2006/relationships/hyperlink" Target="https://motorring.ru/product/28444-diodnye-katafoty-stile-dvoynogo-vyhlopa-leksus-5skob" TargetMode="External"/><Relationship Id="rId27" Type="http://schemas.openxmlformats.org/officeDocument/2006/relationships/hyperlink" Target="https://motorring.ru/product/21126-steklo-pravoe-fary-lada-granta" TargetMode="External"/><Relationship Id="rId30" Type="http://schemas.openxmlformats.org/officeDocument/2006/relationships/hyperlink" Target="https://motorring.ru/product/21110-diodnye-ptf-lada-priora" TargetMode="External"/><Relationship Id="rId35" Type="http://schemas.openxmlformats.org/officeDocument/2006/relationships/hyperlink" Target="https://motorring.ru/product/13282-shilydik-laquo-ladyya-raquo-starogo-obrazca-chernyy-matovyy" TargetMode="External"/><Relationship Id="rId43" Type="http://schemas.openxmlformats.org/officeDocument/2006/relationships/control" Target="../activeX/activeX1.xml"/><Relationship Id="rId8" Type="http://schemas.openxmlformats.org/officeDocument/2006/relationships/hyperlink" Target="https://motorring.ru/product/2798-steklo-protivotumannoy-fary-kirghach-beloe-dlya-vaz-2113-15" TargetMode="External"/><Relationship Id="rId3" Type="http://schemas.openxmlformats.org/officeDocument/2006/relationships/hyperlink" Target="https://motorring.ru/product/2778-zadniy-fonary-pravyy-vaz-2106-lada-niva-2121" TargetMode="External"/><Relationship Id="rId12" Type="http://schemas.openxmlformats.org/officeDocument/2006/relationships/hyperlink" Target="https://motorring.ru/product/2543-podfarniki-novogo-obrazca-belyy-povorotnik-lada-niva" TargetMode="External"/><Relationship Id="rId17" Type="http://schemas.openxmlformats.org/officeDocument/2006/relationships/hyperlink" Target="https://motorring.ru/product/39065-komplekt-gladkih-stekol-perednih-far-dlya-vaz-2110-2112" TargetMode="External"/><Relationship Id="rId25" Type="http://schemas.openxmlformats.org/officeDocument/2006/relationships/hyperlink" Target="https://motorring.ru/product/35375-povtoriteli-zerkal-plazma-obrazca-2019-goda-lada-vesta" TargetMode="External"/><Relationship Id="rId33" Type="http://schemas.openxmlformats.org/officeDocument/2006/relationships/hyperlink" Target="https://motorring.ru/product/40488-komplekt-far-stile-bmv-angelyskimi-glazkami-mtf-priora" TargetMode="External"/><Relationship Id="rId38" Type="http://schemas.openxmlformats.org/officeDocument/2006/relationships/hyperlink" Target="https://motorring.ru/product/2791-povorotnik-al-belyy-levyy-dlya-vaz-2110-2112" TargetMode="External"/><Relationship Id="rId20" Type="http://schemas.openxmlformats.org/officeDocument/2006/relationships/hyperlink" Target="https://motorring.ru/product/28445-diodnye-katafoty-stile-dvoynogo-vyhlopa-leksus-cherniye" TargetMode="External"/><Relationship Id="rId4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XFC155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N8" sqref="N8"/>
    </sheetView>
  </sheetViews>
  <sheetFormatPr defaultRowHeight="15" outlineLevelCol="1" x14ac:dyDescent="0.25"/>
  <cols>
    <col min="1" max="2" width="7" style="24" bestFit="1" customWidth="1"/>
    <col min="3" max="3" width="36.5703125" style="24" customWidth="1"/>
    <col min="4" max="4" width="2.42578125" style="24" bestFit="1" customWidth="1"/>
    <col min="5" max="5" width="4.85546875" style="24" bestFit="1" customWidth="1"/>
    <col min="6" max="6" width="18.5703125" style="24" bestFit="1" customWidth="1" outlineLevel="1"/>
    <col min="7" max="7" width="6" style="24" bestFit="1" customWidth="1" outlineLevel="1"/>
    <col min="8" max="8" width="6.85546875" style="24" bestFit="1" customWidth="1" outlineLevel="1"/>
    <col min="9" max="9" width="6" style="27" bestFit="1" customWidth="1"/>
    <col min="10" max="10" width="4.85546875" style="28" customWidth="1"/>
    <col min="11" max="12" width="6" style="27" bestFit="1" customWidth="1"/>
    <col min="13" max="13" width="6.7109375" style="28" bestFit="1" customWidth="1" outlineLevel="1"/>
    <col min="14" max="14" width="6.85546875" style="28" bestFit="1" customWidth="1" outlineLevel="1"/>
    <col min="15" max="16" width="7.42578125" style="28" bestFit="1" customWidth="1" outlineLevel="1"/>
    <col min="17" max="17" width="6" style="28" bestFit="1" customWidth="1"/>
    <col min="18" max="18" width="11.140625" style="27" bestFit="1" customWidth="1"/>
    <col min="19" max="19" width="4" style="28" bestFit="1" customWidth="1"/>
    <col min="20" max="20" width="7.5703125" style="28" bestFit="1" customWidth="1"/>
    <col min="21" max="21" width="8.28515625" style="28" bestFit="1" customWidth="1"/>
    <col min="22" max="22" width="7.85546875" style="28" bestFit="1" customWidth="1"/>
    <col min="23" max="23" width="8.140625" style="28" bestFit="1" customWidth="1"/>
    <col min="24" max="24" width="9.7109375" style="48" bestFit="1" customWidth="1"/>
    <col min="25" max="25" width="15.28515625" style="24" customWidth="1"/>
    <col min="26" max="16382" width="9.140625" style="24"/>
    <col min="16383" max="16383" width="12" style="24" bestFit="1" customWidth="1"/>
    <col min="16384" max="16384" width="12" style="24" customWidth="1"/>
  </cols>
  <sheetData>
    <row r="1" spans="1:25" x14ac:dyDescent="0.25">
      <c r="B1" s="25">
        <v>2</v>
      </c>
      <c r="C1" s="25">
        <v>3</v>
      </c>
      <c r="D1" s="24">
        <v>4</v>
      </c>
      <c r="E1" s="24">
        <v>14</v>
      </c>
      <c r="F1" s="24">
        <v>5</v>
      </c>
      <c r="H1" s="26">
        <f>COUNT($X:$X)/COUNT($A:$A)</f>
        <v>0.4460431654676259</v>
      </c>
      <c r="K1" s="29">
        <f>N1</f>
        <v>9</v>
      </c>
      <c r="L1" s="30">
        <f>N1</f>
        <v>9</v>
      </c>
      <c r="M1" s="24">
        <v>8</v>
      </c>
      <c r="N1" s="24">
        <v>9</v>
      </c>
      <c r="O1" s="27"/>
      <c r="P1" s="27"/>
      <c r="Q1" s="57">
        <v>0.2</v>
      </c>
      <c r="S1" s="24"/>
      <c r="T1" s="24"/>
      <c r="U1" s="31" t="str">
        <f>_xlfn.CONCAT(ROUND(MIN(U3:U8984)*100,0),"-",ROUND(MAX(U3:U8984)*100,0),"%")</f>
        <v>20-382%</v>
      </c>
      <c r="V1" s="31" t="str">
        <f>_xlfn.CONCAT(ROUND(SUBTOTAL(5,V3:V8984)*100,0)," - ",ROUND(SUBTOTAL(4,V3:V8984)*100,0),"%")</f>
        <v>-58 - 32%</v>
      </c>
      <c r="W1" s="31" t="str">
        <f>_xlfn.CONCAT(ROUND(SUBTOTAL(5,W3:W89984)*100,0)," - ",ROUND(SUBTOTAL(4,W3:W89984)*100,0),"%")</f>
        <v>3 - 552%</v>
      </c>
      <c r="X1" s="32"/>
    </row>
    <row r="2" spans="1:25" x14ac:dyDescent="0.25">
      <c r="A2" s="7" t="s">
        <v>0</v>
      </c>
      <c r="B2" s="16" t="s">
        <v>241</v>
      </c>
      <c r="C2" s="16" t="s">
        <v>85</v>
      </c>
      <c r="D2" s="16"/>
      <c r="E2" s="16"/>
      <c r="F2" s="16" t="s">
        <v>238</v>
      </c>
      <c r="G2" s="7" t="s">
        <v>264</v>
      </c>
      <c r="H2" s="7"/>
      <c r="I2" s="33" t="s">
        <v>316</v>
      </c>
      <c r="J2" s="34"/>
      <c r="K2" s="35"/>
      <c r="L2" s="36" t="s">
        <v>315</v>
      </c>
      <c r="M2" s="16" t="s">
        <v>239</v>
      </c>
      <c r="N2" s="16" t="s">
        <v>240</v>
      </c>
      <c r="O2" s="18" t="s">
        <v>142</v>
      </c>
      <c r="P2" s="18" t="s">
        <v>142</v>
      </c>
      <c r="Q2" s="20">
        <v>7.0000000000000007E-2</v>
      </c>
      <c r="R2" s="49" t="s">
        <v>237</v>
      </c>
      <c r="S2" s="21"/>
      <c r="T2" s="21" t="s">
        <v>266</v>
      </c>
      <c r="U2" s="37" t="s">
        <v>84</v>
      </c>
      <c r="V2" s="37" t="s">
        <v>172</v>
      </c>
      <c r="W2" s="37" t="s">
        <v>173</v>
      </c>
      <c r="X2" s="38" t="s">
        <v>174</v>
      </c>
    </row>
    <row r="3" spans="1:25" ht="30" x14ac:dyDescent="0.25">
      <c r="A3" s="39">
        <v>223936</v>
      </c>
      <c r="B3" s="39">
        <f>VLOOKUP($A3,'Выгр Кат'!$A:$R,B$1,0)</f>
        <v>5025</v>
      </c>
      <c r="C3" s="40" t="str">
        <f>VLOOKUP($A3,'Выгр Кат'!$A:$R,C$1,0)</f>
        <v>Фары для ВАЗ 2110М, 2112 купе "Bosch"</v>
      </c>
      <c r="D3" s="39" t="str">
        <f>VLOOKUP($A3,'Выгр Кат'!$A:$R,D$1,0)</f>
        <v>Y</v>
      </c>
      <c r="E3" s="39" t="str">
        <f>VLOOKUP($A3,'Выгр Кат'!$A:$R,E$1,0)</f>
        <v>0</v>
      </c>
      <c r="F3" s="39">
        <f>VLOOKUP($A3,'Выгр Кат'!$A:$R,F$1,0)</f>
        <v>0</v>
      </c>
      <c r="G3" s="7"/>
      <c r="H3" s="7" t="s">
        <v>3</v>
      </c>
      <c r="I3" s="33">
        <v>0</v>
      </c>
      <c r="J3" s="34" t="e">
        <f>VLOOKUP(I3,Наценка!$A$1:$B$8,2,1)</f>
        <v>#N/A</v>
      </c>
      <c r="K3" s="29">
        <f>N3</f>
        <v>6590</v>
      </c>
      <c r="L3" s="36">
        <f t="shared" ref="L3:L7" si="0">IF(K3&lt;=1000,(ROUNDUP(K3,-1)-1),(ROUNDUP(K3,-2)-10))</f>
        <v>6590</v>
      </c>
      <c r="M3" s="39">
        <f>VLOOKUP($A3,'Выгр Кат'!$A:$R,M$1,0)</f>
        <v>0</v>
      </c>
      <c r="N3" s="39">
        <f>VLOOKUP($A3,'Выгр Кат'!$A:$R,N$1,0)</f>
        <v>6590</v>
      </c>
      <c r="O3" s="18">
        <f>M3-I3</f>
        <v>0</v>
      </c>
      <c r="P3" s="18">
        <f>N3-L3</f>
        <v>0</v>
      </c>
      <c r="Q3" s="22">
        <f>IFERROR(L3*(1-$Q$2),"")</f>
        <v>6128.7</v>
      </c>
      <c r="R3" s="49" t="str">
        <f>IFERROR((VLOOKUP($A3,'Из ГУГЛа'!$B:$G,6,0)+T3)*S3,VLOOKUP($A3,'Из ГУГЛа'!$B:$G,6,0))</f>
        <v/>
      </c>
      <c r="S3" s="15">
        <v>1</v>
      </c>
      <c r="T3" s="15">
        <v>0</v>
      </c>
      <c r="U3" s="41" t="str">
        <f>IFERROR(Q3/I3-1,"")</f>
        <v/>
      </c>
      <c r="V3" s="41" t="str">
        <f>IFERROR((X3-Q3)/X3,"")</f>
        <v/>
      </c>
      <c r="W3" s="41" t="str">
        <f>IFERROR(IF(X3="","",X3/I3-1),"")</f>
        <v/>
      </c>
      <c r="X3" s="42"/>
    </row>
    <row r="4" spans="1:25" ht="30" x14ac:dyDescent="0.25">
      <c r="A4" s="39">
        <v>223864</v>
      </c>
      <c r="B4" s="39">
        <f>VLOOKUP($A4,'Выгр Кат'!$A:$R,B$1,0)</f>
        <v>17857</v>
      </c>
      <c r="C4" s="40" t="str">
        <f>VLOOKUP($A4,'Выгр Кат'!$A:$R,C$1,0)</f>
        <v>Фара противотуманная "ESER" правая для Лада Гранта</v>
      </c>
      <c r="D4" s="39" t="str">
        <f>VLOOKUP($A4,'Выгр Кат'!$A:$R,D$1,0)</f>
        <v>Y</v>
      </c>
      <c r="E4" s="39" t="str">
        <f>VLOOKUP($A4,'Выгр Кат'!$A:$R,E$1,0)</f>
        <v>0</v>
      </c>
      <c r="F4" s="39" t="str">
        <f>VLOOKUP($A4,'Выгр Кат'!$A:$R,F$1,0)</f>
        <v>21900-3743010-15</v>
      </c>
      <c r="G4" s="7"/>
      <c r="H4" s="7" t="s">
        <v>3</v>
      </c>
      <c r="I4" s="33">
        <v>0</v>
      </c>
      <c r="J4" s="34" t="e">
        <f>VLOOKUP(I4,Наценка!$A$1:$B$8,2,1)</f>
        <v>#N/A</v>
      </c>
      <c r="K4" s="29">
        <f t="shared" ref="K4:K6" si="1">N4</f>
        <v>449</v>
      </c>
      <c r="L4" s="36">
        <f t="shared" si="0"/>
        <v>449</v>
      </c>
      <c r="M4" s="39">
        <f>VLOOKUP($A4,'Выгр Кат'!$A:$R,M$1,0)</f>
        <v>0</v>
      </c>
      <c r="N4" s="39">
        <f>VLOOKUP($A4,'Выгр Кат'!$A:$R,N$1,0)</f>
        <v>449</v>
      </c>
      <c r="O4" s="18">
        <f t="shared" ref="O4:O40" si="2">M4-I4</f>
        <v>0</v>
      </c>
      <c r="P4" s="18">
        <f t="shared" ref="P4:P40" si="3">N4-L4</f>
        <v>0</v>
      </c>
      <c r="Q4" s="22">
        <f t="shared" ref="Q4:Q59" si="4">IFERROR(L4*(1-$Q$2),"")</f>
        <v>417.57</v>
      </c>
      <c r="R4" s="49" t="str">
        <f>IFERROR((VLOOKUP($A4,'Из ГУГЛа'!$B:$G,6,0)+T4)*S4,VLOOKUP($A4,'Из ГУГЛа'!$B:$G,6,0))</f>
        <v/>
      </c>
      <c r="S4" s="15">
        <v>1</v>
      </c>
      <c r="T4" s="15">
        <v>0</v>
      </c>
      <c r="U4" s="41" t="str">
        <f t="shared" ref="U4:U59" si="5">IFERROR(Q4/I4-1,"")</f>
        <v/>
      </c>
      <c r="V4" s="41" t="str">
        <f t="shared" ref="V4:V59" si="6">IFERROR((X4-Q4)/X4,"")</f>
        <v/>
      </c>
      <c r="W4" s="41" t="str">
        <f t="shared" ref="W4:W59" si="7">IFERROR(IF(X4="","",X4/I4-1),"")</f>
        <v/>
      </c>
      <c r="X4" s="42"/>
    </row>
    <row r="5" spans="1:25" ht="30" x14ac:dyDescent="0.25">
      <c r="A5" s="39">
        <v>223863</v>
      </c>
      <c r="B5" s="39">
        <f>VLOOKUP($A5,'Выгр Кат'!$A:$R,B$1,0)</f>
        <v>17858</v>
      </c>
      <c r="C5" s="40" t="str">
        <f>VLOOKUP($A5,'Выгр Кат'!$A:$R,C$1,0)</f>
        <v>Фара противотуманная "ESER" левая для Лада Гранта</v>
      </c>
      <c r="D5" s="39" t="str">
        <f>VLOOKUP($A5,'Выгр Кат'!$A:$R,D$1,0)</f>
        <v>Y</v>
      </c>
      <c r="E5" s="39" t="str">
        <f>VLOOKUP($A5,'Выгр Кат'!$A:$R,E$1,0)</f>
        <v>0</v>
      </c>
      <c r="F5" s="39" t="str">
        <f>VLOOKUP($A5,'Выгр Кат'!$A:$R,F$1,0)</f>
        <v>21900-3743011-15</v>
      </c>
      <c r="G5" s="7"/>
      <c r="H5" s="7" t="s">
        <v>3</v>
      </c>
      <c r="I5" s="33">
        <v>0</v>
      </c>
      <c r="J5" s="34" t="e">
        <f>VLOOKUP(I5,Наценка!$A$1:$B$8,2,1)</f>
        <v>#N/A</v>
      </c>
      <c r="K5" s="29">
        <f t="shared" si="1"/>
        <v>449</v>
      </c>
      <c r="L5" s="36">
        <f t="shared" si="0"/>
        <v>449</v>
      </c>
      <c r="M5" s="39">
        <f>VLOOKUP($A5,'Выгр Кат'!$A:$R,M$1,0)</f>
        <v>0</v>
      </c>
      <c r="N5" s="39">
        <f>VLOOKUP($A5,'Выгр Кат'!$A:$R,N$1,0)</f>
        <v>449</v>
      </c>
      <c r="O5" s="18">
        <f t="shared" si="2"/>
        <v>0</v>
      </c>
      <c r="P5" s="18">
        <f t="shared" si="3"/>
        <v>0</v>
      </c>
      <c r="Q5" s="22">
        <f t="shared" si="4"/>
        <v>417.57</v>
      </c>
      <c r="R5" s="49" t="str">
        <f>IFERROR((VLOOKUP($A5,'Из ГУГЛа'!$B:$G,6,0)+T5)*S5,VLOOKUP($A5,'Из ГУГЛа'!$B:$G,6,0))</f>
        <v/>
      </c>
      <c r="S5" s="15">
        <v>1</v>
      </c>
      <c r="T5" s="15">
        <v>0</v>
      </c>
      <c r="U5" s="41" t="str">
        <f t="shared" si="5"/>
        <v/>
      </c>
      <c r="V5" s="41" t="str">
        <f t="shared" si="6"/>
        <v/>
      </c>
      <c r="W5" s="41" t="str">
        <f t="shared" si="7"/>
        <v/>
      </c>
      <c r="X5" s="42"/>
    </row>
    <row r="6" spans="1:25" ht="30" x14ac:dyDescent="0.25">
      <c r="A6" s="39">
        <v>201803</v>
      </c>
      <c r="B6" s="39">
        <f>VLOOKUP($A6,'Выгр Кат'!$A:$R,B$1,0)</f>
        <v>23973</v>
      </c>
      <c r="C6" s="40" t="str">
        <f>VLOOKUP($A6,'Выгр Кат'!$A:$R,C$1,0)</f>
        <v>Противотуманные фары для Лада Веста</v>
      </c>
      <c r="D6" s="39" t="str">
        <f>VLOOKUP($A6,'Выгр Кат'!$A:$R,D$1,0)</f>
        <v>Y</v>
      </c>
      <c r="E6" s="39" t="str">
        <f>VLOOKUP($A6,'Выгр Кат'!$A:$R,E$1,0)</f>
        <v>0</v>
      </c>
      <c r="F6" s="39">
        <f>VLOOKUP($A6,'Выгр Кат'!$A:$R,F$1,0)</f>
        <v>0</v>
      </c>
      <c r="G6" s="7"/>
      <c r="H6" s="7" t="s">
        <v>3</v>
      </c>
      <c r="I6" s="33">
        <v>0</v>
      </c>
      <c r="J6" s="34" t="e">
        <f>VLOOKUP(I6,Наценка!$A$1:$B$8,2,1)</f>
        <v>#N/A</v>
      </c>
      <c r="K6" s="29">
        <f t="shared" si="1"/>
        <v>3790</v>
      </c>
      <c r="L6" s="36">
        <f t="shared" si="0"/>
        <v>3790</v>
      </c>
      <c r="M6" s="39">
        <f>VLOOKUP($A6,'Выгр Кат'!$A:$R,M$1,0)</f>
        <v>0</v>
      </c>
      <c r="N6" s="39">
        <f>VLOOKUP($A6,'Выгр Кат'!$A:$R,N$1,0)</f>
        <v>3790</v>
      </c>
      <c r="O6" s="18">
        <f t="shared" si="2"/>
        <v>0</v>
      </c>
      <c r="P6" s="18">
        <f t="shared" si="3"/>
        <v>0</v>
      </c>
      <c r="Q6" s="22">
        <f t="shared" si="4"/>
        <v>3524.7</v>
      </c>
      <c r="R6" s="49" t="str">
        <f>IFERROR((VLOOKUP($A6,'Из ГУГЛа'!$B:$G,6,0)+T6)*S6,VLOOKUP($A6,'Из ГУГЛа'!$B:$G,6,0))</f>
        <v/>
      </c>
      <c r="S6" s="15">
        <v>1</v>
      </c>
      <c r="T6" s="15">
        <v>0</v>
      </c>
      <c r="U6" s="41" t="str">
        <f t="shared" si="5"/>
        <v/>
      </c>
      <c r="V6" s="41" t="str">
        <f t="shared" si="6"/>
        <v/>
      </c>
      <c r="W6" s="41" t="str">
        <f t="shared" si="7"/>
        <v/>
      </c>
      <c r="X6" s="42"/>
    </row>
    <row r="7" spans="1:25" ht="30.75" thickBot="1" x14ac:dyDescent="0.3">
      <c r="A7" s="39">
        <v>145575</v>
      </c>
      <c r="B7" s="39">
        <f>VLOOKUP($A7,'Выгр Кат'!$A:$R,B$1,0)</f>
        <v>32820</v>
      </c>
      <c r="C7" s="40" t="str">
        <f>VLOOKUP($A7,'Выгр Кат'!$A:$R,C$1,0)</f>
        <v>Задние фонари светодиодные "ТехАвтоСвет" для ВИС пикап</v>
      </c>
      <c r="D7" s="39" t="str">
        <f>VLOOKUP($A7,'Выгр Кат'!$A:$R,D$1,0)</f>
        <v>Y</v>
      </c>
      <c r="E7" s="39" t="str">
        <f>VLOOKUP($A7,'Выгр Кат'!$A:$R,E$1,0)</f>
        <v>1</v>
      </c>
      <c r="F7" s="39" t="str">
        <f>VLOOKUP($A7,'Выгр Кат'!$A:$R,F$1,0)</f>
        <v>171-500LED</v>
      </c>
      <c r="G7" s="7"/>
      <c r="H7" s="7" t="s">
        <v>3</v>
      </c>
      <c r="I7" s="33">
        <v>2700</v>
      </c>
      <c r="J7" s="34">
        <f>VLOOKUP(I7,Наценка!$A$1:$B$8,2,1)</f>
        <v>1.35</v>
      </c>
      <c r="K7" s="53">
        <f t="shared" ref="K7" si="8">X7*1.05</f>
        <v>4084.5</v>
      </c>
      <c r="L7" s="36">
        <f t="shared" si="0"/>
        <v>4090</v>
      </c>
      <c r="M7" s="39">
        <f>VLOOKUP($A7,'Выгр Кат'!$A:$R,M$1,0)</f>
        <v>2700</v>
      </c>
      <c r="N7" s="39">
        <f>VLOOKUP($A7,'Выгр Кат'!$A:$R,N$1,0)</f>
        <v>4090</v>
      </c>
      <c r="O7" s="18">
        <f t="shared" si="2"/>
        <v>0</v>
      </c>
      <c r="P7" s="18">
        <f t="shared" si="3"/>
        <v>0</v>
      </c>
      <c r="Q7" s="22">
        <f t="shared" si="4"/>
        <v>3803.7</v>
      </c>
      <c r="R7" s="49">
        <f>IFERROR((VLOOKUP($A7,'Из ГУГЛа'!$B:$G,6,0)+T7)*S7,VLOOKUP($A7,'Из ГУГЛа'!$B:$G,6,0))</f>
        <v>3890</v>
      </c>
      <c r="S7" s="15">
        <v>1</v>
      </c>
      <c r="T7" s="15">
        <v>0</v>
      </c>
      <c r="U7" s="41">
        <f t="shared" si="5"/>
        <v>0.40877777777777768</v>
      </c>
      <c r="V7" s="41">
        <f t="shared" si="6"/>
        <v>2.2185089974293106E-2</v>
      </c>
      <c r="W7" s="41">
        <f t="shared" si="7"/>
        <v>0.44074074074074066</v>
      </c>
      <c r="X7" s="43">
        <v>3890</v>
      </c>
      <c r="Y7" s="24" t="s">
        <v>175</v>
      </c>
    </row>
    <row r="8" spans="1:25" ht="30.75" thickTop="1" x14ac:dyDescent="0.25">
      <c r="A8" s="39">
        <v>256559</v>
      </c>
      <c r="B8" s="39">
        <f>VLOOKUP($A8,'Выгр Кат'!$A:$R,B$1,0)</f>
        <v>182300</v>
      </c>
      <c r="C8" s="40" t="str">
        <f>VLOOKUP($A8,'Выгр Кат'!$A:$R,C$1,0)</f>
        <v>Стекла рассеиватели (гладкие) на фары для ВАЗ 2108-21099</v>
      </c>
      <c r="D8" s="39" t="str">
        <f>VLOOKUP($A8,'Выгр Кат'!$A:$R,D$1,0)</f>
        <v>Y</v>
      </c>
      <c r="E8" s="39" t="str">
        <f>VLOOKUP($A8,'Выгр Кат'!$A:$R,E$1,0)</f>
        <v>0</v>
      </c>
      <c r="F8" s="39">
        <f>VLOOKUP($A8,'Выгр Кат'!$A:$R,F$1,0)</f>
        <v>0</v>
      </c>
      <c r="G8" s="7"/>
      <c r="H8" s="7" t="s">
        <v>3</v>
      </c>
      <c r="I8" s="33">
        <v>0</v>
      </c>
      <c r="J8" s="34" t="e">
        <f>VLOOKUP(I8,Наценка!$A$1:$B$8,2,1)</f>
        <v>#N/A</v>
      </c>
      <c r="K8" s="50">
        <f>X8*1</f>
        <v>1190</v>
      </c>
      <c r="L8" s="36">
        <f t="shared" ref="L8:L9" si="9">IF(K8&lt;=1000,(ROUNDUP(K8,-1)-1),(ROUNDUP(K8,-2)-10))</f>
        <v>1190</v>
      </c>
      <c r="M8" s="39">
        <f>VLOOKUP($A8,'Выгр Кат'!$A:$R,M$1,0)</f>
        <v>0</v>
      </c>
      <c r="N8" s="39">
        <f>VLOOKUP($A8,'Выгр Кат'!$A:$R,N$1,0)</f>
        <v>1190</v>
      </c>
      <c r="O8" s="18">
        <f t="shared" si="2"/>
        <v>0</v>
      </c>
      <c r="P8" s="18">
        <f t="shared" si="3"/>
        <v>0</v>
      </c>
      <c r="Q8" s="22">
        <f t="shared" si="4"/>
        <v>1106.6999999999998</v>
      </c>
      <c r="R8" s="49">
        <f>IFERROR((VLOOKUP($A8,'Из ГУГЛа'!$B:$G,6,0)+T8)*S8,VLOOKUP($A8,'Из ГУГЛа'!$B:$G,6,0))</f>
        <v>1190</v>
      </c>
      <c r="S8" s="15">
        <v>1</v>
      </c>
      <c r="T8" s="15">
        <v>0</v>
      </c>
      <c r="U8" s="41" t="str">
        <f t="shared" si="5"/>
        <v/>
      </c>
      <c r="V8" s="41">
        <f t="shared" si="6"/>
        <v>7.0000000000000159E-2</v>
      </c>
      <c r="W8" s="41" t="str">
        <f t="shared" si="7"/>
        <v/>
      </c>
      <c r="X8" s="42">
        <v>1190</v>
      </c>
      <c r="Y8" s="24" t="s">
        <v>306</v>
      </c>
    </row>
    <row r="9" spans="1:25" ht="45.75" thickBot="1" x14ac:dyDescent="0.3">
      <c r="A9" s="39">
        <v>217463</v>
      </c>
      <c r="B9" s="39">
        <f>VLOOKUP($A9,'Выгр Кат'!$A:$R,B$1,0)</f>
        <v>8037</v>
      </c>
      <c r="C9" s="40" t="str">
        <f>VLOOKUP($A9,'Выгр Кат'!$A:$R,C$1,0)</f>
        <v>Стекло противотуманной фары Киржач, белое на ВАЗ 2113-2115 и Шевроле Нива</v>
      </c>
      <c r="D9" s="39" t="str">
        <f>VLOOKUP($A9,'Выгр Кат'!$A:$R,D$1,0)</f>
        <v>Y</v>
      </c>
      <c r="E9" s="39" t="str">
        <f>VLOOKUP($A9,'Выгр Кат'!$A:$R,E$1,0)</f>
        <v>1</v>
      </c>
      <c r="F9" s="39" t="str">
        <f>VLOOKUP($A9,'Выгр Кат'!$A:$R,F$1,0)</f>
        <v>201.3743201</v>
      </c>
      <c r="G9" s="7"/>
      <c r="H9" s="7" t="s">
        <v>3</v>
      </c>
      <c r="I9" s="33">
        <v>29</v>
      </c>
      <c r="J9" s="34">
        <f>VLOOKUP(I9,Наценка!$A$1:$B$8,2,1)</f>
        <v>3</v>
      </c>
      <c r="K9" s="50">
        <v>140</v>
      </c>
      <c r="L9" s="36">
        <f t="shared" si="9"/>
        <v>139</v>
      </c>
      <c r="M9" s="39">
        <f>VLOOKUP($A9,'Выгр Кат'!$A:$R,M$1,0)</f>
        <v>29</v>
      </c>
      <c r="N9" s="39">
        <f>VLOOKUP($A9,'Выгр Кат'!$A:$R,N$1,0)</f>
        <v>139</v>
      </c>
      <c r="O9" s="18">
        <f t="shared" si="2"/>
        <v>0</v>
      </c>
      <c r="P9" s="18">
        <f t="shared" si="3"/>
        <v>0</v>
      </c>
      <c r="Q9" s="22">
        <f t="shared" si="4"/>
        <v>129.26999999999998</v>
      </c>
      <c r="R9" s="49">
        <f>IFERROR((VLOOKUP($A9,'Из ГУГЛа'!$B:$G,6,0)+T9)*S9,VLOOKUP($A9,'Из ГУГЛа'!$B:$G,6,0))</f>
        <v>189</v>
      </c>
      <c r="S9" s="15">
        <v>1</v>
      </c>
      <c r="T9" s="15">
        <v>0</v>
      </c>
      <c r="U9" s="41">
        <f t="shared" si="5"/>
        <v>3.4575862068965515</v>
      </c>
      <c r="V9" s="41">
        <f t="shared" si="6"/>
        <v>0.31603174603174611</v>
      </c>
      <c r="W9" s="41">
        <f t="shared" si="7"/>
        <v>5.5172413793103452</v>
      </c>
      <c r="X9" s="44">
        <v>189</v>
      </c>
      <c r="Y9" s="24" t="s">
        <v>182</v>
      </c>
    </row>
    <row r="10" spans="1:25" ht="30.75" thickTop="1" x14ac:dyDescent="0.25">
      <c r="A10" s="39">
        <v>217465</v>
      </c>
      <c r="B10" s="39">
        <f>VLOOKUP($A10,'Выгр Кат'!$A:$R,B$1,0)</f>
        <v>8038</v>
      </c>
      <c r="C10" s="40" t="str">
        <f>VLOOKUP($A10,'Выгр Кат'!$A:$R,C$1,0)</f>
        <v>Стекло противотуманной фары на ВАЗ 2110-2112 и ВАЗ 2113-2115 белое</v>
      </c>
      <c r="D10" s="39" t="str">
        <f>VLOOKUP($A10,'Выгр Кат'!$A:$R,D$1,0)</f>
        <v>Y</v>
      </c>
      <c r="E10" s="39" t="str">
        <f>VLOOKUP($A10,'Выгр Кат'!$A:$R,E$1,0)</f>
        <v>1</v>
      </c>
      <c r="F10" s="39">
        <f>VLOOKUP($A10,'Выгр Кат'!$A:$R,F$1,0)</f>
        <v>0</v>
      </c>
      <c r="G10" s="7"/>
      <c r="H10" s="7" t="s">
        <v>3</v>
      </c>
      <c r="I10" s="33">
        <v>50</v>
      </c>
      <c r="J10" s="34">
        <f>VLOOKUP(I10,Наценка!$A$1:$B$8,2,1)</f>
        <v>3</v>
      </c>
      <c r="K10" s="50">
        <f>X10*1</f>
        <v>129</v>
      </c>
      <c r="L10" s="36">
        <f t="shared" ref="L10:L65" si="10">IF(K10&lt;=1000,(ROUNDUP(K10,-1)-1),(ROUNDUP(K10,-2)-10))</f>
        <v>129</v>
      </c>
      <c r="M10" s="39">
        <f>VLOOKUP($A10,'Выгр Кат'!$A:$R,M$1,0)</f>
        <v>50</v>
      </c>
      <c r="N10" s="39">
        <f>VLOOKUP($A10,'Выгр Кат'!$A:$R,N$1,0)</f>
        <v>129</v>
      </c>
      <c r="O10" s="18">
        <f t="shared" si="2"/>
        <v>0</v>
      </c>
      <c r="P10" s="18">
        <f t="shared" si="3"/>
        <v>0</v>
      </c>
      <c r="Q10" s="22">
        <f t="shared" si="4"/>
        <v>119.97</v>
      </c>
      <c r="R10" s="49">
        <f>IFERROR((VLOOKUP($A10,'Из ГУГЛа'!$B:$G,6,0)+T10)*S10,VLOOKUP($A10,'Из ГУГЛа'!$B:$G,6,0))</f>
        <v>129</v>
      </c>
      <c r="S10" s="15">
        <v>1</v>
      </c>
      <c r="T10" s="15">
        <v>0</v>
      </c>
      <c r="U10" s="41">
        <f t="shared" si="5"/>
        <v>1.3994</v>
      </c>
      <c r="V10" s="41">
        <f t="shared" si="6"/>
        <v>7.0000000000000007E-2</v>
      </c>
      <c r="W10" s="41">
        <f t="shared" si="7"/>
        <v>1.58</v>
      </c>
      <c r="X10" s="42">
        <v>129</v>
      </c>
      <c r="Y10" s="24" t="s">
        <v>269</v>
      </c>
    </row>
    <row r="11" spans="1:25" ht="45" x14ac:dyDescent="0.25">
      <c r="A11" s="39">
        <v>247407</v>
      </c>
      <c r="B11" s="39">
        <f>VLOOKUP($A11,'Выгр Кат'!$A:$R,B$1,0)</f>
        <v>180365</v>
      </c>
      <c r="C11" s="40" t="str">
        <f>VLOOKUP($A11,'Выгр Кат'!$A:$R,C$1,0)</f>
        <v>Колпак литого диска (заглушка ступицы, серый) для Лада (Калина 2, Гранта, Ларгус, Веста, XRAY, Нива 4x4)</v>
      </c>
      <c r="D11" s="39" t="str">
        <f>VLOOKUP($A11,'Выгр Кат'!$A:$R,D$1,0)</f>
        <v>Y</v>
      </c>
      <c r="E11" s="39" t="str">
        <f>VLOOKUP($A11,'Выгр Кат'!$A:$R,E$1,0)</f>
        <v>1</v>
      </c>
      <c r="F11" s="39" t="str">
        <f>VLOOKUP($A11,'Выгр Кат'!$A:$R,F$1,0)</f>
        <v>8450100995</v>
      </c>
      <c r="G11" s="7"/>
      <c r="H11" s="7" t="s">
        <v>3</v>
      </c>
      <c r="I11" s="33">
        <v>50</v>
      </c>
      <c r="J11" s="34">
        <f>VLOOKUP(I11,Наценка!$A$1:$B$8,2,1)</f>
        <v>3</v>
      </c>
      <c r="K11" s="50">
        <v>259</v>
      </c>
      <c r="L11" s="36">
        <f t="shared" si="10"/>
        <v>259</v>
      </c>
      <c r="M11" s="39">
        <f>VLOOKUP($A11,'Выгр Кат'!$A:$R,M$1,0)</f>
        <v>50</v>
      </c>
      <c r="N11" s="39">
        <f>VLOOKUP($A11,'Выгр Кат'!$A:$R,N$1,0)</f>
        <v>259</v>
      </c>
      <c r="O11" s="18">
        <f t="shared" si="2"/>
        <v>0</v>
      </c>
      <c r="P11" s="18">
        <f t="shared" si="3"/>
        <v>0</v>
      </c>
      <c r="Q11" s="22">
        <f t="shared" si="4"/>
        <v>240.86999999999998</v>
      </c>
      <c r="R11" s="49">
        <f>IFERROR((VLOOKUP($A11,'Из ГУГЛа'!$B:$G,6,0)+T11)*S11,VLOOKUP($A11,'Из ГУГЛа'!$B:$G,6,0))</f>
        <v>290</v>
      </c>
      <c r="S11" s="15">
        <v>1</v>
      </c>
      <c r="T11" s="15">
        <v>0</v>
      </c>
      <c r="U11" s="41">
        <f t="shared" si="5"/>
        <v>3.8173999999999992</v>
      </c>
      <c r="V11" s="41">
        <f t="shared" si="6"/>
        <v>0.16941379310344837</v>
      </c>
      <c r="W11" s="41">
        <f t="shared" si="7"/>
        <v>4.8</v>
      </c>
      <c r="X11" s="42">
        <v>290</v>
      </c>
      <c r="Y11" s="24" t="s">
        <v>268</v>
      </c>
    </row>
    <row r="12" spans="1:25" ht="45.75" thickBot="1" x14ac:dyDescent="0.3">
      <c r="A12" s="39">
        <v>225818</v>
      </c>
      <c r="B12" s="39">
        <f>VLOOKUP($A12,'Выгр Кат'!$A:$R,B$1,0)</f>
        <v>69191</v>
      </c>
      <c r="C12" s="40" t="str">
        <f>VLOOKUP($A12,'Выгр Кат'!$A:$R,C$1,0)</f>
        <v>Шильдик "Ладья" на решетку радиатора в стиле Лада Веста (хром) для Лада Калина 2, Приора, Гранта</v>
      </c>
      <c r="D12" s="39" t="str">
        <f>VLOOKUP($A12,'Выгр Кат'!$A:$R,D$1,0)</f>
        <v>Y</v>
      </c>
      <c r="E12" s="39" t="str">
        <f>VLOOKUP($A12,'Выгр Кат'!$A:$R,E$1,0)</f>
        <v>1ск4</v>
      </c>
      <c r="F12" s="39">
        <f>VLOOKUP($A12,'Выгр Кат'!$A:$R,F$1,0)</f>
        <v>0</v>
      </c>
      <c r="G12" s="7"/>
      <c r="H12" s="7" t="s">
        <v>3</v>
      </c>
      <c r="I12" s="33">
        <v>70</v>
      </c>
      <c r="J12" s="34">
        <f>VLOOKUP(I12,Наценка!$A$1:$B$8,2,1)</f>
        <v>3</v>
      </c>
      <c r="K12" s="50">
        <f>X12*1</f>
        <v>229</v>
      </c>
      <c r="L12" s="36">
        <f t="shared" si="10"/>
        <v>229</v>
      </c>
      <c r="M12" s="39">
        <f>VLOOKUP($A12,'Выгр Кат'!$A:$R,M$1,0)</f>
        <v>70</v>
      </c>
      <c r="N12" s="39">
        <f>VLOOKUP($A12,'Выгр Кат'!$A:$R,N$1,0)</f>
        <v>309</v>
      </c>
      <c r="O12" s="18">
        <f t="shared" si="2"/>
        <v>0</v>
      </c>
      <c r="P12" s="18">
        <f t="shared" si="3"/>
        <v>80</v>
      </c>
      <c r="Q12" s="22">
        <f t="shared" si="4"/>
        <v>212.97</v>
      </c>
      <c r="R12" s="49">
        <f>IFERROR((VLOOKUP($A12,'Из ГУГЛа'!$B:$G,6,0)+T12)*S12,VLOOKUP($A12,'Из ГУГЛа'!$B:$G,6,0))</f>
        <v>229</v>
      </c>
      <c r="S12" s="15">
        <v>1</v>
      </c>
      <c r="T12" s="15">
        <v>0</v>
      </c>
      <c r="U12" s="41">
        <f t="shared" si="5"/>
        <v>2.0424285714285713</v>
      </c>
      <c r="V12" s="41">
        <f t="shared" si="6"/>
        <v>7.0000000000000007E-2</v>
      </c>
      <c r="W12" s="41">
        <f t="shared" si="7"/>
        <v>2.2714285714285714</v>
      </c>
      <c r="X12" s="44">
        <v>229</v>
      </c>
      <c r="Y12" s="24" t="s">
        <v>206</v>
      </c>
    </row>
    <row r="13" spans="1:25" ht="31.5" thickTop="1" thickBot="1" x14ac:dyDescent="0.3">
      <c r="A13" s="39">
        <v>250385</v>
      </c>
      <c r="B13" s="39">
        <f>VLOOKUP($A13,'Выгр Кат'!$A:$R,B$1,0)</f>
        <v>196471</v>
      </c>
      <c r="C13" s="40" t="str">
        <f>VLOOKUP($A13,'Выгр Кат'!$A:$R,C$1,0)</f>
        <v>Орнамент крышки багажника, черный матовый для Лада Приора</v>
      </c>
      <c r="D13" s="39" t="str">
        <f>VLOOKUP($A13,'Выгр Кат'!$A:$R,D$1,0)</f>
        <v>Y</v>
      </c>
      <c r="E13" s="39" t="str">
        <f>VLOOKUP($A13,'Выгр Кат'!$A:$R,E$1,0)</f>
        <v>1ск4</v>
      </c>
      <c r="F13" s="39">
        <f>VLOOKUP($A13,'Выгр Кат'!$A:$R,F$1,0)</f>
        <v>0</v>
      </c>
      <c r="G13" s="7"/>
      <c r="H13" s="7" t="s">
        <v>3</v>
      </c>
      <c r="I13" s="33">
        <v>100</v>
      </c>
      <c r="J13" s="34">
        <f>VLOOKUP(I13,Наценка!$A$1:$B$8,2,1)</f>
        <v>1.85</v>
      </c>
      <c r="K13" s="53">
        <f t="shared" ref="K13:K16" si="11">X13*1.06</f>
        <v>307.40000000000003</v>
      </c>
      <c r="L13" s="36">
        <f t="shared" si="10"/>
        <v>309</v>
      </c>
      <c r="M13" s="39">
        <f>VLOOKUP($A13,'Выгр Кат'!$A:$R,M$1,0)</f>
        <v>100</v>
      </c>
      <c r="N13" s="39">
        <f>VLOOKUP($A13,'Выгр Кат'!$A:$R,N$1,0)</f>
        <v>309</v>
      </c>
      <c r="O13" s="18">
        <f t="shared" si="2"/>
        <v>0</v>
      </c>
      <c r="P13" s="18">
        <f t="shared" si="3"/>
        <v>0</v>
      </c>
      <c r="Q13" s="22">
        <f t="shared" si="4"/>
        <v>287.37</v>
      </c>
      <c r="R13" s="49">
        <f>IFERROR((VLOOKUP($A13,'Из ГУГЛа'!$B:$G,6,0)+T13)*S13,VLOOKUP($A13,'Из ГУГЛа'!$B:$G,6,0))</f>
        <v>290</v>
      </c>
      <c r="S13" s="15">
        <v>1</v>
      </c>
      <c r="T13" s="15">
        <v>0</v>
      </c>
      <c r="U13" s="41">
        <f t="shared" si="5"/>
        <v>1.8736999999999999</v>
      </c>
      <c r="V13" s="41">
        <f t="shared" si="6"/>
        <v>9.0689655172413643E-3</v>
      </c>
      <c r="W13" s="41">
        <f t="shared" si="7"/>
        <v>1.9</v>
      </c>
      <c r="X13" s="44">
        <v>290</v>
      </c>
      <c r="Y13" s="24" t="s">
        <v>207</v>
      </c>
    </row>
    <row r="14" spans="1:25" ht="46.5" thickTop="1" thickBot="1" x14ac:dyDescent="0.3">
      <c r="A14" s="39">
        <v>224184</v>
      </c>
      <c r="B14" s="39">
        <f>VLOOKUP($A14,'Выгр Кат'!$A:$R,B$1,0)</f>
        <v>29298</v>
      </c>
      <c r="C14" s="40" t="str">
        <f>VLOOKUP($A14,'Выгр Кат'!$A:$R,C$1,0)</f>
        <v>Фонарь "СЕВиЕМ" освещения номерного знака (светодиодный) для Лада Калина, Калина 2, Гранта</v>
      </c>
      <c r="D14" s="39" t="str">
        <f>VLOOKUP($A14,'Выгр Кат'!$A:$R,D$1,0)</f>
        <v>Y</v>
      </c>
      <c r="E14" s="39" t="str">
        <f>VLOOKUP($A14,'Выгр Кат'!$A:$R,E$1,0)</f>
        <v>1ск1</v>
      </c>
      <c r="F14" s="39">
        <f>VLOOKUP($A14,'Выгр Кат'!$A:$R,F$1,0)</f>
        <v>0</v>
      </c>
      <c r="G14" s="7"/>
      <c r="H14" s="7" t="s">
        <v>3</v>
      </c>
      <c r="I14" s="33">
        <v>135</v>
      </c>
      <c r="J14" s="34">
        <f>VLOOKUP(I14,Наценка!$A$1:$B$8,2,1)</f>
        <v>1.85</v>
      </c>
      <c r="K14" s="52">
        <f t="shared" ref="K14:K15" si="12">X14*1.04</f>
        <v>279.76</v>
      </c>
      <c r="L14" s="36">
        <f t="shared" si="10"/>
        <v>279</v>
      </c>
      <c r="M14" s="39">
        <f>VLOOKUP($A14,'Выгр Кат'!$A:$R,M$1,0)</f>
        <v>135</v>
      </c>
      <c r="N14" s="39">
        <f>VLOOKUP($A14,'Выгр Кат'!$A:$R,N$1,0)</f>
        <v>279</v>
      </c>
      <c r="O14" s="18">
        <f t="shared" si="2"/>
        <v>0</v>
      </c>
      <c r="P14" s="18">
        <f t="shared" si="3"/>
        <v>0</v>
      </c>
      <c r="Q14" s="22">
        <f t="shared" si="4"/>
        <v>259.46999999999997</v>
      </c>
      <c r="R14" s="49">
        <f>IFERROR((VLOOKUP($A14,'Из ГУГЛа'!$B:$G,6,0)+T14)*S14,VLOOKUP($A14,'Из ГУГЛа'!$B:$G,6,0))</f>
        <v>269</v>
      </c>
      <c r="S14" s="15">
        <v>1</v>
      </c>
      <c r="T14" s="15">
        <v>0</v>
      </c>
      <c r="U14" s="41">
        <f t="shared" si="5"/>
        <v>0.92199999999999971</v>
      </c>
      <c r="V14" s="41">
        <f t="shared" si="6"/>
        <v>3.5427509293680409E-2</v>
      </c>
      <c r="W14" s="41">
        <f t="shared" si="7"/>
        <v>0.99259259259259269</v>
      </c>
      <c r="X14" s="43">
        <v>269</v>
      </c>
      <c r="Y14" s="24" t="s">
        <v>176</v>
      </c>
    </row>
    <row r="15" spans="1:25" ht="31.5" thickTop="1" thickBot="1" x14ac:dyDescent="0.3">
      <c r="A15" s="39">
        <v>217455</v>
      </c>
      <c r="B15" s="39">
        <f>VLOOKUP($A15,'Выгр Кат'!$A:$R,B$1,0)</f>
        <v>36623</v>
      </c>
      <c r="C15" s="40" t="str">
        <f>VLOOKUP($A15,'Выгр Кат'!$A:$R,C$1,0)</f>
        <v>Стекло левой фары "Киржач" для ВАЗ 2113-2115</v>
      </c>
      <c r="D15" s="39" t="str">
        <f>VLOOKUP($A15,'Выгр Кат'!$A:$R,D$1,0)</f>
        <v>Y</v>
      </c>
      <c r="E15" s="39" t="str">
        <f>VLOOKUP($A15,'Выгр Кат'!$A:$R,E$1,0)</f>
        <v>1</v>
      </c>
      <c r="F15" s="39">
        <f>VLOOKUP($A15,'Выгр Кат'!$A:$R,F$1,0)</f>
        <v>0</v>
      </c>
      <c r="G15" s="7"/>
      <c r="H15" s="7" t="s">
        <v>3</v>
      </c>
      <c r="I15" s="33">
        <v>150</v>
      </c>
      <c r="J15" s="34">
        <f>VLOOKUP(I15,Наценка!$A$1:$B$8,2,1)</f>
        <v>1.85</v>
      </c>
      <c r="K15" s="52">
        <f t="shared" si="12"/>
        <v>279.76</v>
      </c>
      <c r="L15" s="36">
        <f t="shared" si="10"/>
        <v>279</v>
      </c>
      <c r="M15" s="39">
        <f>VLOOKUP($A15,'Выгр Кат'!$A:$R,M$1,0)</f>
        <v>150</v>
      </c>
      <c r="N15" s="39">
        <f>VLOOKUP($A15,'Выгр Кат'!$A:$R,N$1,0)</f>
        <v>279</v>
      </c>
      <c r="O15" s="18">
        <f t="shared" si="2"/>
        <v>0</v>
      </c>
      <c r="P15" s="18">
        <f t="shared" si="3"/>
        <v>0</v>
      </c>
      <c r="Q15" s="22">
        <f t="shared" si="4"/>
        <v>259.46999999999997</v>
      </c>
      <c r="R15" s="49">
        <f>IFERROR((VLOOKUP($A15,'Из ГУГЛа'!$B:$G,6,0)+T15)*S15,VLOOKUP($A15,'Из ГУГЛа'!$B:$G,6,0))</f>
        <v>269</v>
      </c>
      <c r="S15" s="15">
        <v>1</v>
      </c>
      <c r="T15" s="15">
        <v>0</v>
      </c>
      <c r="U15" s="41">
        <f t="shared" si="5"/>
        <v>0.72979999999999978</v>
      </c>
      <c r="V15" s="41">
        <f t="shared" si="6"/>
        <v>3.5427509293680409E-2</v>
      </c>
      <c r="W15" s="41">
        <f t="shared" si="7"/>
        <v>0.79333333333333322</v>
      </c>
      <c r="X15" s="44">
        <v>269</v>
      </c>
      <c r="Y15" s="24" t="s">
        <v>183</v>
      </c>
    </row>
    <row r="16" spans="1:25" ht="31.5" thickTop="1" thickBot="1" x14ac:dyDescent="0.3">
      <c r="A16" s="39">
        <v>217460</v>
      </c>
      <c r="B16" s="39">
        <f>VLOOKUP($A16,'Выгр Кат'!$A:$R,B$1,0)</f>
        <v>36624</v>
      </c>
      <c r="C16" s="40" t="str">
        <f>VLOOKUP($A16,'Выгр Кат'!$A:$R,C$1,0)</f>
        <v>Стекло правой фары "Киржач" для ВАЗ 2113-2115</v>
      </c>
      <c r="D16" s="39" t="str">
        <f>VLOOKUP($A16,'Выгр Кат'!$A:$R,D$1,0)</f>
        <v>Y</v>
      </c>
      <c r="E16" s="39" t="str">
        <f>VLOOKUP($A16,'Выгр Кат'!$A:$R,E$1,0)</f>
        <v>1</v>
      </c>
      <c r="F16" s="39">
        <f>VLOOKUP($A16,'Выгр Кат'!$A:$R,F$1,0)</f>
        <v>0</v>
      </c>
      <c r="G16" s="7"/>
      <c r="H16" s="7" t="s">
        <v>3</v>
      </c>
      <c r="I16" s="33">
        <v>150</v>
      </c>
      <c r="J16" s="34">
        <f>VLOOKUP(I16,Наценка!$A$1:$B$8,2,1)</f>
        <v>1.85</v>
      </c>
      <c r="K16" s="53">
        <f t="shared" si="11"/>
        <v>307.40000000000003</v>
      </c>
      <c r="L16" s="36">
        <f t="shared" si="10"/>
        <v>309</v>
      </c>
      <c r="M16" s="39">
        <f>VLOOKUP($A16,'Выгр Кат'!$A:$R,M$1,0)</f>
        <v>150</v>
      </c>
      <c r="N16" s="39">
        <f>VLOOKUP($A16,'Выгр Кат'!$A:$R,N$1,0)</f>
        <v>309</v>
      </c>
      <c r="O16" s="18">
        <f t="shared" si="2"/>
        <v>0</v>
      </c>
      <c r="P16" s="18">
        <f t="shared" si="3"/>
        <v>0</v>
      </c>
      <c r="Q16" s="22">
        <f t="shared" si="4"/>
        <v>287.37</v>
      </c>
      <c r="R16" s="49">
        <f>IFERROR((VLOOKUP($A16,'Из ГУГЛа'!$B:$G,6,0)+T16)*S16,VLOOKUP($A16,'Из ГУГЛа'!$B:$G,6,0))</f>
        <v>290</v>
      </c>
      <c r="S16" s="15">
        <v>1</v>
      </c>
      <c r="T16" s="15">
        <v>0</v>
      </c>
      <c r="U16" s="41">
        <f t="shared" si="5"/>
        <v>0.91579999999999995</v>
      </c>
      <c r="V16" s="41">
        <f t="shared" si="6"/>
        <v>9.0689655172413643E-3</v>
      </c>
      <c r="W16" s="41">
        <f t="shared" si="7"/>
        <v>0.93333333333333335</v>
      </c>
      <c r="X16" s="44">
        <v>290</v>
      </c>
      <c r="Y16" s="24" t="s">
        <v>184</v>
      </c>
    </row>
    <row r="17" spans="1:25" ht="30.75" thickTop="1" x14ac:dyDescent="0.25">
      <c r="A17" s="39">
        <v>256560</v>
      </c>
      <c r="B17" s="39">
        <f>VLOOKUP($A17,'Выгр Кат'!$A:$R,B$1,0)</f>
        <v>196378</v>
      </c>
      <c r="C17" s="40" t="str">
        <f>VLOOKUP($A17,'Выгр Кат'!$A:$R,C$1,0)</f>
        <v>Стекло противотуманной фары "Освар" белое для ВАЗ 2108-21099</v>
      </c>
      <c r="D17" s="39" t="str">
        <f>VLOOKUP($A17,'Выгр Кат'!$A:$R,D$1,0)</f>
        <v>Y</v>
      </c>
      <c r="E17" s="39" t="str">
        <f>VLOOKUP($A17,'Выгр Кат'!$A:$R,E$1,0)</f>
        <v>1</v>
      </c>
      <c r="F17" s="39">
        <f>VLOOKUP($A17,'Выгр Кат'!$A:$R,F$1,0)</f>
        <v>0</v>
      </c>
      <c r="G17" s="7"/>
      <c r="H17" s="7" t="s">
        <v>3</v>
      </c>
      <c r="I17" s="33">
        <v>150</v>
      </c>
      <c r="J17" s="34">
        <f>VLOOKUP(I17,Наценка!$A$1:$B$8,2,1)</f>
        <v>1.85</v>
      </c>
      <c r="K17" s="52">
        <f>X17*1.04</f>
        <v>238.16</v>
      </c>
      <c r="L17" s="36">
        <f t="shared" si="10"/>
        <v>239</v>
      </c>
      <c r="M17" s="39">
        <f>VLOOKUP($A17,'Выгр Кат'!$A:$R,M$1,0)</f>
        <v>150</v>
      </c>
      <c r="N17" s="39">
        <f>VLOOKUP($A17,'Выгр Кат'!$A:$R,N$1,0)</f>
        <v>239</v>
      </c>
      <c r="O17" s="18">
        <f t="shared" si="2"/>
        <v>0</v>
      </c>
      <c r="P17" s="18">
        <f t="shared" si="3"/>
        <v>0</v>
      </c>
      <c r="Q17" s="22">
        <f t="shared" si="4"/>
        <v>222.26999999999998</v>
      </c>
      <c r="R17" s="49">
        <f>IFERROR((VLOOKUP($A17,'Из ГУГЛа'!$B:$G,6,0)+T17)*S17,VLOOKUP($A17,'Из ГУГЛа'!$B:$G,6,0))</f>
        <v>229</v>
      </c>
      <c r="S17" s="15">
        <v>1</v>
      </c>
      <c r="T17" s="15">
        <v>0</v>
      </c>
      <c r="U17" s="41">
        <f t="shared" si="5"/>
        <v>0.48179999999999978</v>
      </c>
      <c r="V17" s="41">
        <f t="shared" si="6"/>
        <v>2.9388646288209686E-2</v>
      </c>
      <c r="W17" s="41">
        <f t="shared" si="7"/>
        <v>0.52666666666666662</v>
      </c>
      <c r="X17" s="42">
        <v>229</v>
      </c>
      <c r="Y17" s="24" t="s">
        <v>185</v>
      </c>
    </row>
    <row r="18" spans="1:25" ht="30" x14ac:dyDescent="0.25">
      <c r="A18" s="39">
        <v>213273</v>
      </c>
      <c r="B18" s="39">
        <f>VLOOKUP($A18,'Выгр Кат'!$A:$R,B$1,0)</f>
        <v>30782</v>
      </c>
      <c r="C18" s="40" t="str">
        <f>VLOOKUP($A18,'Выгр Кат'!$A:$R,C$1,0)</f>
        <v>Салфетка микрофибра "SEM" для сушки поверхности (50х60 см, серая)</v>
      </c>
      <c r="D18" s="39" t="str">
        <f>VLOOKUP($A18,'Выгр Кат'!$A:$R,D$1,0)</f>
        <v>Y</v>
      </c>
      <c r="E18" s="39" t="str">
        <f>VLOOKUP($A18,'Выгр Кат'!$A:$R,E$1,0)</f>
        <v>1ск1</v>
      </c>
      <c r="F18" s="39">
        <f>VLOOKUP($A18,'Выгр Кат'!$A:$R,F$1,0)</f>
        <v>0</v>
      </c>
      <c r="G18" s="7"/>
      <c r="H18" s="7" t="s">
        <v>3</v>
      </c>
      <c r="I18" s="33">
        <v>200</v>
      </c>
      <c r="J18" s="34">
        <f>VLOOKUP(I18,Наценка!$A$1:$B$8,2,1)</f>
        <v>1.85</v>
      </c>
      <c r="K18" s="35">
        <f t="shared" ref="K18:K66" si="13">J18*I18</f>
        <v>370</v>
      </c>
      <c r="L18" s="36">
        <f t="shared" si="10"/>
        <v>369</v>
      </c>
      <c r="M18" s="39">
        <f>VLOOKUP($A18,'Выгр Кат'!$A:$R,M$1,0)</f>
        <v>200</v>
      </c>
      <c r="N18" s="39">
        <f>VLOOKUP($A18,'Выгр Кат'!$A:$R,N$1,0)</f>
        <v>369</v>
      </c>
      <c r="O18" s="18">
        <f t="shared" si="2"/>
        <v>0</v>
      </c>
      <c r="P18" s="18">
        <f t="shared" si="3"/>
        <v>0</v>
      </c>
      <c r="Q18" s="22">
        <f t="shared" si="4"/>
        <v>343.16999999999996</v>
      </c>
      <c r="R18" s="49" t="str">
        <f>IFERROR((VLOOKUP($A18,'Из ГУГЛа'!$B:$G,6,0)+T18)*S18,VLOOKUP($A18,'Из ГУГЛа'!$B:$G,6,0))</f>
        <v/>
      </c>
      <c r="S18" s="15">
        <v>1</v>
      </c>
      <c r="T18" s="15">
        <v>0</v>
      </c>
      <c r="U18" s="41">
        <f t="shared" si="5"/>
        <v>0.71584999999999988</v>
      </c>
      <c r="V18" s="41" t="str">
        <f t="shared" si="6"/>
        <v/>
      </c>
      <c r="W18" s="41" t="str">
        <f t="shared" si="7"/>
        <v/>
      </c>
      <c r="X18" s="45" t="s">
        <v>273</v>
      </c>
    </row>
    <row r="19" spans="1:25" ht="30.75" thickBot="1" x14ac:dyDescent="0.3">
      <c r="A19" s="39">
        <v>217464</v>
      </c>
      <c r="B19" s="39">
        <f>VLOOKUP($A19,'Выгр Кат'!$A:$R,B$1,0)</f>
        <v>8039</v>
      </c>
      <c r="C19" s="40" t="str">
        <f>VLOOKUP($A19,'Выгр Кат'!$A:$R,C$1,0)</f>
        <v>Стекло белое противотуманной фары на ВАЗ 2108-21099 "Киржач"</v>
      </c>
      <c r="D19" s="39" t="str">
        <f>VLOOKUP($A19,'Выгр Кат'!$A:$R,D$1,0)</f>
        <v>Y</v>
      </c>
      <c r="E19" s="39" t="str">
        <f>VLOOKUP($A19,'Выгр Кат'!$A:$R,E$1,0)</f>
        <v>1</v>
      </c>
      <c r="F19" s="39">
        <f>VLOOKUP($A19,'Выгр Кат'!$A:$R,F$1,0)</f>
        <v>0</v>
      </c>
      <c r="G19" s="7"/>
      <c r="H19" s="7" t="s">
        <v>3</v>
      </c>
      <c r="I19" s="33">
        <v>210</v>
      </c>
      <c r="J19" s="34">
        <f>VLOOKUP(I19,Наценка!$A$1:$B$8,2,1)</f>
        <v>1.85</v>
      </c>
      <c r="K19" s="35">
        <f t="shared" si="13"/>
        <v>388.5</v>
      </c>
      <c r="L19" s="36">
        <f t="shared" si="10"/>
        <v>389</v>
      </c>
      <c r="M19" s="39">
        <f>VLOOKUP($A19,'Выгр Кат'!$A:$R,M$1,0)</f>
        <v>210</v>
      </c>
      <c r="N19" s="39">
        <f>VLOOKUP($A19,'Выгр Кат'!$A:$R,N$1,0)</f>
        <v>389</v>
      </c>
      <c r="O19" s="18">
        <f t="shared" si="2"/>
        <v>0</v>
      </c>
      <c r="P19" s="18">
        <f t="shared" si="3"/>
        <v>0</v>
      </c>
      <c r="Q19" s="22">
        <f t="shared" si="4"/>
        <v>361.77</v>
      </c>
      <c r="R19" s="49">
        <f>IFERROR((VLOOKUP($A19,'Из ГУГЛа'!$B:$G,6,0)+T19)*S19,VLOOKUP($A19,'Из ГУГЛа'!$B:$G,6,0))</f>
        <v>229</v>
      </c>
      <c r="S19" s="15">
        <v>1</v>
      </c>
      <c r="T19" s="15">
        <v>0</v>
      </c>
      <c r="U19" s="41">
        <f t="shared" si="5"/>
        <v>0.72271428571428564</v>
      </c>
      <c r="V19" s="41">
        <f t="shared" si="6"/>
        <v>-0.57978165938864623</v>
      </c>
      <c r="W19" s="41">
        <f t="shared" si="7"/>
        <v>9.0476190476190377E-2</v>
      </c>
      <c r="X19" s="44">
        <v>229</v>
      </c>
      <c r="Y19" s="24" t="s">
        <v>185</v>
      </c>
    </row>
    <row r="20" spans="1:25" ht="60.75" thickTop="1" x14ac:dyDescent="0.25">
      <c r="A20" s="39">
        <v>194072</v>
      </c>
      <c r="B20" s="39">
        <f>VLOOKUP($A20,'Выгр Кат'!$A:$R,B$1,0)</f>
        <v>48000</v>
      </c>
      <c r="C20" s="40" t="str">
        <f>VLOOKUP($A20,'Выгр Кат'!$A:$R,C$1,0)</f>
        <v>Повторители поворота бегающие, светодиодные жёлтые для Лада Калина, Калина 2, Приора, Приора 2, Гранта</v>
      </c>
      <c r="D20" s="39" t="str">
        <f>VLOOKUP($A20,'Выгр Кат'!$A:$R,D$1,0)</f>
        <v>Y</v>
      </c>
      <c r="E20" s="39" t="str">
        <f>VLOOKUP($A20,'Выгр Кат'!$A:$R,E$1,0)</f>
        <v>1</v>
      </c>
      <c r="F20" s="39">
        <f>VLOOKUP($A20,'Выгр Кат'!$A:$R,F$1,0)</f>
        <v>0</v>
      </c>
      <c r="G20" s="7"/>
      <c r="H20" s="7" t="s">
        <v>3</v>
      </c>
      <c r="I20" s="33">
        <v>240</v>
      </c>
      <c r="J20" s="34">
        <f>VLOOKUP(I20,Наценка!$A$1:$B$8,2,1)</f>
        <v>1.85</v>
      </c>
      <c r="K20" s="50">
        <v>529</v>
      </c>
      <c r="L20" s="36">
        <f t="shared" si="10"/>
        <v>529</v>
      </c>
      <c r="M20" s="39">
        <f>VLOOKUP($A20,'Выгр Кат'!$A:$R,M$1,0)</f>
        <v>240</v>
      </c>
      <c r="N20" s="39">
        <f>VLOOKUP($A20,'Выгр Кат'!$A:$R,N$1,0)</f>
        <v>529</v>
      </c>
      <c r="O20" s="18">
        <f t="shared" si="2"/>
        <v>0</v>
      </c>
      <c r="P20" s="18">
        <f t="shared" si="3"/>
        <v>0</v>
      </c>
      <c r="Q20" s="22">
        <f t="shared" si="4"/>
        <v>491.96999999999997</v>
      </c>
      <c r="R20" s="49">
        <f>IFERROR((VLOOKUP($A20,'Из ГУГЛа'!$B:$G,6,0)+T20)*S20,VLOOKUP($A20,'Из ГУГЛа'!$B:$G,6,0))</f>
        <v>529</v>
      </c>
      <c r="S20" s="15">
        <v>1</v>
      </c>
      <c r="T20" s="15">
        <v>0</v>
      </c>
      <c r="U20" s="41">
        <f t="shared" si="5"/>
        <v>1.0498749999999997</v>
      </c>
      <c r="V20" s="41" t="str">
        <f t="shared" si="6"/>
        <v/>
      </c>
      <c r="W20" s="41" t="str">
        <f t="shared" si="7"/>
        <v/>
      </c>
      <c r="X20" s="45" t="s">
        <v>275</v>
      </c>
      <c r="Y20" s="24" t="s">
        <v>274</v>
      </c>
    </row>
    <row r="21" spans="1:25" ht="30" x14ac:dyDescent="0.25">
      <c r="A21" s="39">
        <v>223124</v>
      </c>
      <c r="B21" s="39">
        <f>VLOOKUP($A21,'Выгр Кат'!$A:$R,B$1,0)</f>
        <v>25082</v>
      </c>
      <c r="C21" s="40" t="str">
        <f>VLOOKUP($A21,'Выгр Кат'!$A:$R,C$1,0)</f>
        <v>Универсальный складной автомобильный подстаканник</v>
      </c>
      <c r="D21" s="39" t="str">
        <f>VLOOKUP($A21,'Выгр Кат'!$A:$R,D$1,0)</f>
        <v>Y</v>
      </c>
      <c r="E21" s="39" t="str">
        <f>VLOOKUP($A21,'Выгр Кат'!$A:$R,E$1,0)</f>
        <v>0</v>
      </c>
      <c r="F21" s="39">
        <f>VLOOKUP($A21,'Выгр Кат'!$A:$R,F$1,0)</f>
        <v>0</v>
      </c>
      <c r="G21" s="7"/>
      <c r="H21" s="7" t="s">
        <v>3</v>
      </c>
      <c r="I21" s="33">
        <v>250</v>
      </c>
      <c r="J21" s="34">
        <f>VLOOKUP(I21,Наценка!$A$1:$B$8,2,1)</f>
        <v>1.85</v>
      </c>
      <c r="K21" s="35">
        <f t="shared" si="13"/>
        <v>462.5</v>
      </c>
      <c r="L21" s="36">
        <f t="shared" si="10"/>
        <v>469</v>
      </c>
      <c r="M21" s="39">
        <f>VLOOKUP($A21,'Выгр Кат'!$A:$R,M$1,0)</f>
        <v>250</v>
      </c>
      <c r="N21" s="39">
        <f>VLOOKUP($A21,'Выгр Кат'!$A:$R,N$1,0)</f>
        <v>469</v>
      </c>
      <c r="O21" s="18">
        <f t="shared" si="2"/>
        <v>0</v>
      </c>
      <c r="P21" s="18">
        <f t="shared" si="3"/>
        <v>0</v>
      </c>
      <c r="Q21" s="22">
        <f t="shared" si="4"/>
        <v>436.16999999999996</v>
      </c>
      <c r="R21" s="49" t="str">
        <f>IFERROR((VLOOKUP($A21,'Из ГУГЛа'!$B:$G,6,0)+T21)*S21,VLOOKUP($A21,'Из ГУГЛа'!$B:$G,6,0))</f>
        <v/>
      </c>
      <c r="S21" s="15">
        <v>1</v>
      </c>
      <c r="T21" s="15">
        <v>0</v>
      </c>
      <c r="U21" s="41">
        <f t="shared" si="5"/>
        <v>0.74467999999999979</v>
      </c>
      <c r="V21" s="41" t="str">
        <f t="shared" si="6"/>
        <v/>
      </c>
      <c r="W21" s="41" t="str">
        <f t="shared" si="7"/>
        <v/>
      </c>
      <c r="X21" s="42"/>
    </row>
    <row r="22" spans="1:25" ht="30.75" thickBot="1" x14ac:dyDescent="0.3">
      <c r="A22" s="39">
        <v>224195</v>
      </c>
      <c r="B22" s="39">
        <f>VLOOKUP($A22,'Выгр Кат'!$A:$R,B$1,0)</f>
        <v>23916</v>
      </c>
      <c r="C22" s="40" t="str">
        <f>VLOOKUP($A22,'Выгр Кат'!$A:$R,C$1,0)</f>
        <v>Фонарь задний левый "АВТОТЕХСВЕТ" для ВАЗ 2106</v>
      </c>
      <c r="D22" s="39" t="str">
        <f>VLOOKUP($A22,'Выгр Кат'!$A:$R,D$1,0)</f>
        <v>Y</v>
      </c>
      <c r="E22" s="39" t="str">
        <f>VLOOKUP($A22,'Выгр Кат'!$A:$R,E$1,0)</f>
        <v>1</v>
      </c>
      <c r="F22" s="39" t="str">
        <f>VLOOKUP($A22,'Выгр Кат'!$A:$R,F$1,0)</f>
        <v>21060371601102</v>
      </c>
      <c r="G22" s="7"/>
      <c r="H22" s="7" t="s">
        <v>3</v>
      </c>
      <c r="I22" s="33">
        <v>280</v>
      </c>
      <c r="J22" s="34">
        <f>VLOOKUP(I22,Наценка!$A$1:$B$8,2,1)</f>
        <v>1.85</v>
      </c>
      <c r="K22" s="50">
        <f>X22*1</f>
        <v>890</v>
      </c>
      <c r="L22" s="36">
        <f t="shared" si="10"/>
        <v>889</v>
      </c>
      <c r="M22" s="39">
        <f>VLOOKUP($A22,'Выгр Кат'!$A:$R,M$1,0)</f>
        <v>280</v>
      </c>
      <c r="N22" s="39">
        <f>VLOOKUP($A22,'Выгр Кат'!$A:$R,N$1,0)</f>
        <v>949</v>
      </c>
      <c r="O22" s="18">
        <f t="shared" si="2"/>
        <v>0</v>
      </c>
      <c r="P22" s="18">
        <f t="shared" si="3"/>
        <v>60</v>
      </c>
      <c r="Q22" s="22">
        <f t="shared" si="4"/>
        <v>826.77</v>
      </c>
      <c r="R22" s="49">
        <f>IFERROR((VLOOKUP($A22,'Из ГУГЛа'!$B:$G,6,0)+T22)*S22,VLOOKUP($A22,'Из ГУГЛа'!$B:$G,6,0))</f>
        <v>890</v>
      </c>
      <c r="S22" s="15">
        <v>1</v>
      </c>
      <c r="T22" s="15">
        <v>0</v>
      </c>
      <c r="U22" s="41">
        <f t="shared" si="5"/>
        <v>1.95275</v>
      </c>
      <c r="V22" s="41">
        <f t="shared" si="6"/>
        <v>7.1044943820224735E-2</v>
      </c>
      <c r="W22" s="41">
        <f t="shared" si="7"/>
        <v>2.1785714285714284</v>
      </c>
      <c r="X22" s="44">
        <v>890</v>
      </c>
      <c r="Y22" s="24" t="s">
        <v>208</v>
      </c>
    </row>
    <row r="23" spans="1:25" ht="31.5" thickTop="1" thickBot="1" x14ac:dyDescent="0.3">
      <c r="A23" s="39">
        <v>224222</v>
      </c>
      <c r="B23" s="39">
        <f>VLOOKUP($A23,'Выгр Кат'!$A:$R,B$1,0)</f>
        <v>23917</v>
      </c>
      <c r="C23" s="40" t="str">
        <f>VLOOKUP($A23,'Выгр Кат'!$A:$R,C$1,0)</f>
        <v>Фонарь задний правый "АВТОТЕХСВЕТ" для ВАЗ 2106</v>
      </c>
      <c r="D23" s="39" t="str">
        <f>VLOOKUP($A23,'Выгр Кат'!$A:$R,D$1,0)</f>
        <v>Y</v>
      </c>
      <c r="E23" s="39" t="str">
        <f>VLOOKUP($A23,'Выгр Кат'!$A:$R,E$1,0)</f>
        <v>1</v>
      </c>
      <c r="F23" s="39" t="str">
        <f>VLOOKUP($A23,'Выгр Кат'!$A:$R,F$1,0)</f>
        <v>21060371601002</v>
      </c>
      <c r="G23" s="7"/>
      <c r="H23" s="7" t="s">
        <v>3</v>
      </c>
      <c r="I23" s="33">
        <v>280</v>
      </c>
      <c r="J23" s="34">
        <f>VLOOKUP(I23,Наценка!$A$1:$B$8,2,1)</f>
        <v>1.85</v>
      </c>
      <c r="K23" s="50">
        <f>X23*1</f>
        <v>890</v>
      </c>
      <c r="L23" s="36">
        <f t="shared" si="10"/>
        <v>889</v>
      </c>
      <c r="M23" s="39">
        <f>VLOOKUP($A23,'Выгр Кат'!$A:$R,M$1,0)</f>
        <v>280</v>
      </c>
      <c r="N23" s="39">
        <f>VLOOKUP($A23,'Выгр Кат'!$A:$R,N$1,0)</f>
        <v>949</v>
      </c>
      <c r="O23" s="18">
        <f t="shared" si="2"/>
        <v>0</v>
      </c>
      <c r="P23" s="18">
        <f t="shared" si="3"/>
        <v>60</v>
      </c>
      <c r="Q23" s="22">
        <f t="shared" si="4"/>
        <v>826.77</v>
      </c>
      <c r="R23" s="49">
        <f>IFERROR((VLOOKUP($A23,'Из ГУГЛа'!$B:$G,6,0)+T23)*S23,VLOOKUP($A23,'Из ГУГЛа'!$B:$G,6,0))</f>
        <v>890</v>
      </c>
      <c r="S23" s="15">
        <v>1</v>
      </c>
      <c r="T23" s="15">
        <v>0</v>
      </c>
      <c r="U23" s="41">
        <f t="shared" si="5"/>
        <v>1.95275</v>
      </c>
      <c r="V23" s="41">
        <f t="shared" si="6"/>
        <v>7.1044943820224735E-2</v>
      </c>
      <c r="W23" s="41">
        <f t="shared" si="7"/>
        <v>2.1785714285714284</v>
      </c>
      <c r="X23" s="43">
        <v>890</v>
      </c>
      <c r="Y23" s="24" t="s">
        <v>177</v>
      </c>
    </row>
    <row r="24" spans="1:25" ht="31.5" thickTop="1" thickBot="1" x14ac:dyDescent="0.3">
      <c r="A24" s="39">
        <v>194923</v>
      </c>
      <c r="B24" s="39">
        <f>VLOOKUP($A24,'Выгр Кат'!$A:$R,B$1,0)</f>
        <v>4168</v>
      </c>
      <c r="C24" s="40" t="str">
        <f>VLOOKUP($A24,'Выгр Кат'!$A:$R,C$1,0)</f>
        <v>Подфарник левый для Лада Нива нового образца белый</v>
      </c>
      <c r="D24" s="39" t="str">
        <f>VLOOKUP($A24,'Выгр Кат'!$A:$R,D$1,0)</f>
        <v>Y</v>
      </c>
      <c r="E24" s="39" t="str">
        <f>VLOOKUP($A24,'Выгр Кат'!$A:$R,E$1,0)</f>
        <v>1</v>
      </c>
      <c r="F24" s="39">
        <f>VLOOKUP($A24,'Выгр Кат'!$A:$R,F$1,0)</f>
        <v>0</v>
      </c>
      <c r="G24" s="7"/>
      <c r="H24" s="7" t="s">
        <v>3</v>
      </c>
      <c r="I24" s="33">
        <v>300</v>
      </c>
      <c r="J24" s="34">
        <f>VLOOKUP(I24,Наценка!$A$1:$B$8,2,1)</f>
        <v>2</v>
      </c>
      <c r="K24" s="53">
        <f t="shared" ref="K24:K25" si="14">X24*1.05</f>
        <v>624.75</v>
      </c>
      <c r="L24" s="36">
        <f t="shared" si="10"/>
        <v>629</v>
      </c>
      <c r="M24" s="39">
        <f>VLOOKUP($A24,'Выгр Кат'!$A:$R,M$1,0)</f>
        <v>300</v>
      </c>
      <c r="N24" s="39">
        <f>VLOOKUP($A24,'Выгр Кат'!$A:$R,N$1,0)</f>
        <v>629</v>
      </c>
      <c r="O24" s="18">
        <f t="shared" si="2"/>
        <v>0</v>
      </c>
      <c r="P24" s="18">
        <f t="shared" si="3"/>
        <v>0</v>
      </c>
      <c r="Q24" s="22">
        <f t="shared" si="4"/>
        <v>584.96999999999991</v>
      </c>
      <c r="R24" s="49">
        <f>IFERROR((VLOOKUP($A24,'Из ГУГЛа'!$B:$G,6,0)+T24)*S24,VLOOKUP($A24,'Из ГУГЛа'!$B:$G,6,0))</f>
        <v>595</v>
      </c>
      <c r="S24" s="15">
        <v>0.5</v>
      </c>
      <c r="T24" s="15">
        <v>0</v>
      </c>
      <c r="U24" s="41">
        <f t="shared" si="5"/>
        <v>0.94989999999999974</v>
      </c>
      <c r="V24" s="41">
        <f t="shared" si="6"/>
        <v>1.6857142857143001E-2</v>
      </c>
      <c r="W24" s="41">
        <f t="shared" si="7"/>
        <v>0.98333333333333339</v>
      </c>
      <c r="X24" s="44">
        <f>S24*1190</f>
        <v>595</v>
      </c>
      <c r="Y24" s="24" t="s">
        <v>186</v>
      </c>
    </row>
    <row r="25" spans="1:25" ht="31.5" thickTop="1" thickBot="1" x14ac:dyDescent="0.3">
      <c r="A25" s="39">
        <v>194925</v>
      </c>
      <c r="B25" s="39">
        <f>VLOOKUP($A25,'Выгр Кат'!$A:$R,B$1,0)</f>
        <v>4169</v>
      </c>
      <c r="C25" s="40" t="str">
        <f>VLOOKUP($A25,'Выгр Кат'!$A:$R,C$1,0)</f>
        <v>Подфарник правый для Лада Нива нового образца белый</v>
      </c>
      <c r="D25" s="39" t="str">
        <f>VLOOKUP($A25,'Выгр Кат'!$A:$R,D$1,0)</f>
        <v>Y</v>
      </c>
      <c r="E25" s="39" t="str">
        <f>VLOOKUP($A25,'Выгр Кат'!$A:$R,E$1,0)</f>
        <v>1</v>
      </c>
      <c r="F25" s="39">
        <f>VLOOKUP($A25,'Выгр Кат'!$A:$R,F$1,0)</f>
        <v>0</v>
      </c>
      <c r="G25" s="7"/>
      <c r="H25" s="7" t="s">
        <v>3</v>
      </c>
      <c r="I25" s="33">
        <v>300</v>
      </c>
      <c r="J25" s="34">
        <f>VLOOKUP(I25,Наценка!$A$1:$B$8,2,1)</f>
        <v>2</v>
      </c>
      <c r="K25" s="53">
        <f t="shared" si="14"/>
        <v>624.75</v>
      </c>
      <c r="L25" s="36">
        <f t="shared" si="10"/>
        <v>629</v>
      </c>
      <c r="M25" s="39">
        <f>VLOOKUP($A25,'Выгр Кат'!$A:$R,M$1,0)</f>
        <v>300</v>
      </c>
      <c r="N25" s="39">
        <f>VLOOKUP($A25,'Выгр Кат'!$A:$R,N$1,0)</f>
        <v>629</v>
      </c>
      <c r="O25" s="18">
        <f t="shared" si="2"/>
        <v>0</v>
      </c>
      <c r="P25" s="18">
        <f t="shared" si="3"/>
        <v>0</v>
      </c>
      <c r="Q25" s="22">
        <f t="shared" si="4"/>
        <v>584.96999999999991</v>
      </c>
      <c r="R25" s="49">
        <f>IFERROR((VLOOKUP($A25,'Из ГУГЛа'!$B:$G,6,0)+T25)*S25,VLOOKUP($A25,'Из ГУГЛа'!$B:$G,6,0))</f>
        <v>595</v>
      </c>
      <c r="S25" s="15">
        <v>0.5</v>
      </c>
      <c r="T25" s="15">
        <v>0</v>
      </c>
      <c r="U25" s="41">
        <f t="shared" si="5"/>
        <v>0.94989999999999974</v>
      </c>
      <c r="V25" s="41">
        <f t="shared" si="6"/>
        <v>1.6857142857143001E-2</v>
      </c>
      <c r="W25" s="41">
        <f t="shared" si="7"/>
        <v>0.98333333333333339</v>
      </c>
      <c r="X25" s="44">
        <f>S25*1190</f>
        <v>595</v>
      </c>
      <c r="Y25" s="24" t="s">
        <v>186</v>
      </c>
    </row>
    <row r="26" spans="1:25" ht="31.5" thickTop="1" thickBot="1" x14ac:dyDescent="0.3">
      <c r="A26" s="39">
        <v>155775</v>
      </c>
      <c r="B26" s="39">
        <f>VLOOKUP($A26,'Выгр Кат'!$A:$R,B$1,0)</f>
        <v>4828</v>
      </c>
      <c r="C26" s="40" t="str">
        <f>VLOOKUP($A26,'Выгр Кат'!$A:$R,C$1,0)</f>
        <v>Катафоты в задний бампер (диодные) для Лада Приора</v>
      </c>
      <c r="D26" s="39" t="str">
        <f>VLOOKUP($A26,'Выгр Кат'!$A:$R,D$1,0)</f>
        <v>Y</v>
      </c>
      <c r="E26" s="39" t="str">
        <f>VLOOKUP($A26,'Выгр Кат'!$A:$R,E$1,0)</f>
        <v>1</v>
      </c>
      <c r="F26" s="39">
        <f>VLOOKUP($A26,'Выгр Кат'!$A:$R,F$1,0)</f>
        <v>0</v>
      </c>
      <c r="G26" s="7"/>
      <c r="H26" s="7" t="s">
        <v>3</v>
      </c>
      <c r="I26" s="33">
        <v>300</v>
      </c>
      <c r="J26" s="34">
        <f>VLOOKUP(I26,Наценка!$A$1:$B$8,2,1)</f>
        <v>2</v>
      </c>
      <c r="K26" s="50">
        <f>X26*1</f>
        <v>629</v>
      </c>
      <c r="L26" s="36">
        <f t="shared" si="10"/>
        <v>629</v>
      </c>
      <c r="M26" s="39">
        <f>VLOOKUP($A26,'Выгр Кат'!$A:$R,M$1,0)</f>
        <v>300</v>
      </c>
      <c r="N26" s="39">
        <f>VLOOKUP($A26,'Выгр Кат'!$A:$R,N$1,0)</f>
        <v>629</v>
      </c>
      <c r="O26" s="18">
        <f t="shared" si="2"/>
        <v>0</v>
      </c>
      <c r="P26" s="18">
        <f t="shared" si="3"/>
        <v>0</v>
      </c>
      <c r="Q26" s="22">
        <f t="shared" si="4"/>
        <v>584.96999999999991</v>
      </c>
      <c r="R26" s="49">
        <f>IFERROR((VLOOKUP($A26,'Из ГУГЛа'!$B:$G,6,0)+T26)*S26,VLOOKUP($A26,'Из ГУГЛа'!$B:$G,6,0))</f>
        <v>629</v>
      </c>
      <c r="S26" s="15">
        <v>1</v>
      </c>
      <c r="T26" s="15">
        <v>0</v>
      </c>
      <c r="U26" s="41">
        <f t="shared" si="5"/>
        <v>0.94989999999999974</v>
      </c>
      <c r="V26" s="41">
        <f t="shared" si="6"/>
        <v>7.0000000000000132E-2</v>
      </c>
      <c r="W26" s="41">
        <f t="shared" si="7"/>
        <v>1.0966666666666667</v>
      </c>
      <c r="X26" s="44">
        <v>629</v>
      </c>
      <c r="Y26" s="24" t="s">
        <v>209</v>
      </c>
    </row>
    <row r="27" spans="1:25" ht="30.75" thickTop="1" x14ac:dyDescent="0.25">
      <c r="A27" s="39">
        <v>217446</v>
      </c>
      <c r="B27" s="39">
        <f>VLOOKUP($A27,'Выгр Кат'!$A:$R,B$1,0)</f>
        <v>11440</v>
      </c>
      <c r="C27" s="40" t="str">
        <f>VLOOKUP($A27,'Выгр Кат'!$A:$R,C$1,0)</f>
        <v>Стекла задних фонарей красно-белые для ВАЗ 2107</v>
      </c>
      <c r="D27" s="39" t="str">
        <f>VLOOKUP($A27,'Выгр Кат'!$A:$R,D$1,0)</f>
        <v>Y</v>
      </c>
      <c r="E27" s="39" t="str">
        <f>VLOOKUP($A27,'Выгр Кат'!$A:$R,E$1,0)</f>
        <v>1</v>
      </c>
      <c r="F27" s="39">
        <f>VLOOKUP($A27,'Выгр Кат'!$A:$R,F$1,0)</f>
        <v>0</v>
      </c>
      <c r="G27" s="7"/>
      <c r="H27" s="7" t="s">
        <v>3</v>
      </c>
      <c r="I27" s="33">
        <v>600</v>
      </c>
      <c r="J27" s="34">
        <f>VLOOKUP(I27,Наценка!$A$1:$B$8,2,1)</f>
        <v>1.75</v>
      </c>
      <c r="K27" s="35">
        <f t="shared" si="13"/>
        <v>1050</v>
      </c>
      <c r="L27" s="36">
        <f t="shared" si="10"/>
        <v>1090</v>
      </c>
      <c r="M27" s="39">
        <f>VLOOKUP($A27,'Выгр Кат'!$A:$R,M$1,0)</f>
        <v>600</v>
      </c>
      <c r="N27" s="39">
        <f>VLOOKUP($A27,'Выгр Кат'!$A:$R,N$1,0)</f>
        <v>1090</v>
      </c>
      <c r="O27" s="18">
        <f t="shared" si="2"/>
        <v>0</v>
      </c>
      <c r="P27" s="18">
        <f t="shared" si="3"/>
        <v>0</v>
      </c>
      <c r="Q27" s="22">
        <f t="shared" si="4"/>
        <v>1013.6999999999999</v>
      </c>
      <c r="R27" s="49" t="str">
        <f>IFERROR((VLOOKUP($A27,'Из ГУГЛа'!$B:$G,6,0)+T27)*S27,VLOOKUP($A27,'Из ГУГЛа'!$B:$G,6,0))</f>
        <v/>
      </c>
      <c r="S27" s="15">
        <v>1</v>
      </c>
      <c r="T27" s="15">
        <v>0</v>
      </c>
      <c r="U27" s="41">
        <f t="shared" si="5"/>
        <v>0.68949999999999978</v>
      </c>
      <c r="V27" s="41" t="str">
        <f t="shared" si="6"/>
        <v/>
      </c>
      <c r="W27" s="41" t="str">
        <f t="shared" si="7"/>
        <v/>
      </c>
      <c r="X27" s="45" t="s">
        <v>272</v>
      </c>
    </row>
    <row r="28" spans="1:25" ht="30.75" thickBot="1" x14ac:dyDescent="0.3">
      <c r="A28" s="39">
        <v>223054</v>
      </c>
      <c r="B28" s="39">
        <f>VLOOKUP($A28,'Выгр Кат'!$A:$R,B$1,0)</f>
        <v>32496</v>
      </c>
      <c r="C28" s="40" t="str">
        <f>VLOOKUP($A28,'Выгр Кат'!$A:$R,C$1,0)</f>
        <v>Универсальная губа "Samurai" (под карбон, 2.6 м)</v>
      </c>
      <c r="D28" s="39" t="str">
        <f>VLOOKUP($A28,'Выгр Кат'!$A:$R,D$1,0)</f>
        <v>Y</v>
      </c>
      <c r="E28" s="39" t="str">
        <f>VLOOKUP($A28,'Выгр Кат'!$A:$R,E$1,0)</f>
        <v>1ск6</v>
      </c>
      <c r="F28" s="39">
        <f>VLOOKUP($A28,'Выгр Кат'!$A:$R,F$1,0)</f>
        <v>0</v>
      </c>
      <c r="G28" s="7"/>
      <c r="H28" s="7" t="s">
        <v>3</v>
      </c>
      <c r="I28" s="33">
        <v>400</v>
      </c>
      <c r="J28" s="34">
        <f>VLOOKUP(I28,Наценка!$A$1:$B$8,2,1)</f>
        <v>2</v>
      </c>
      <c r="K28" s="53">
        <f t="shared" ref="K28:K31" si="15">X28*1.06</f>
        <v>943.40000000000009</v>
      </c>
      <c r="L28" s="36">
        <f t="shared" si="10"/>
        <v>949</v>
      </c>
      <c r="M28" s="39">
        <f>VLOOKUP($A28,'Выгр Кат'!$A:$R,M$1,0)</f>
        <v>400</v>
      </c>
      <c r="N28" s="39">
        <f>VLOOKUP($A28,'Выгр Кат'!$A:$R,N$1,0)</f>
        <v>949</v>
      </c>
      <c r="O28" s="18">
        <f t="shared" si="2"/>
        <v>0</v>
      </c>
      <c r="P28" s="18">
        <f t="shared" si="3"/>
        <v>0</v>
      </c>
      <c r="Q28" s="22">
        <f t="shared" si="4"/>
        <v>882.56999999999994</v>
      </c>
      <c r="R28" s="49">
        <f>IFERROR((VLOOKUP($A28,'Из ГУГЛа'!$B:$G,6,0)+T28)*S28,VLOOKUP($A28,'Из ГУГЛа'!$B:$G,6,0))</f>
        <v>890</v>
      </c>
      <c r="S28" s="15">
        <v>1</v>
      </c>
      <c r="T28" s="15">
        <v>0</v>
      </c>
      <c r="U28" s="41">
        <f t="shared" si="5"/>
        <v>1.2064249999999999</v>
      </c>
      <c r="V28" s="41">
        <f t="shared" si="6"/>
        <v>8.3483146067416438E-3</v>
      </c>
      <c r="W28" s="41">
        <f t="shared" si="7"/>
        <v>1.2250000000000001</v>
      </c>
      <c r="X28" s="44">
        <v>890</v>
      </c>
      <c r="Y28" s="24" t="s">
        <v>187</v>
      </c>
    </row>
    <row r="29" spans="1:25" ht="31.5" thickTop="1" thickBot="1" x14ac:dyDescent="0.3">
      <c r="A29" s="39">
        <v>223053</v>
      </c>
      <c r="B29" s="39">
        <f>VLOOKUP($A29,'Выгр Кат'!$A:$R,B$1,0)</f>
        <v>32497</v>
      </c>
      <c r="C29" s="40" t="str">
        <f>VLOOKUP($A29,'Выгр Кат'!$A:$R,C$1,0)</f>
        <v>Универсальная губа "Samurai" (красная, 2.6 м)</v>
      </c>
      <c r="D29" s="39" t="str">
        <f>VLOOKUP($A29,'Выгр Кат'!$A:$R,D$1,0)</f>
        <v>Y</v>
      </c>
      <c r="E29" s="39" t="str">
        <f>VLOOKUP($A29,'Выгр Кат'!$A:$R,E$1,0)</f>
        <v>0</v>
      </c>
      <c r="F29" s="39">
        <f>VLOOKUP($A29,'Выгр Кат'!$A:$R,F$1,0)</f>
        <v>0</v>
      </c>
      <c r="G29" s="7"/>
      <c r="H29" s="7" t="s">
        <v>3</v>
      </c>
      <c r="I29" s="33">
        <v>320</v>
      </c>
      <c r="J29" s="34">
        <f>VLOOKUP(I29,Наценка!$A$1:$B$8,2,1)</f>
        <v>2</v>
      </c>
      <c r="K29" s="53">
        <f t="shared" si="15"/>
        <v>943.40000000000009</v>
      </c>
      <c r="L29" s="36">
        <f t="shared" si="10"/>
        <v>949</v>
      </c>
      <c r="M29" s="39">
        <f>VLOOKUP($A29,'Выгр Кат'!$A:$R,M$1,0)</f>
        <v>320</v>
      </c>
      <c r="N29" s="39">
        <f>VLOOKUP($A29,'Выгр Кат'!$A:$R,N$1,0)</f>
        <v>949</v>
      </c>
      <c r="O29" s="18">
        <f t="shared" si="2"/>
        <v>0</v>
      </c>
      <c r="P29" s="18">
        <f t="shared" si="3"/>
        <v>0</v>
      </c>
      <c r="Q29" s="22">
        <f t="shared" si="4"/>
        <v>882.56999999999994</v>
      </c>
      <c r="R29" s="49">
        <f>IFERROR((VLOOKUP($A29,'Из ГУГЛа'!$B:$G,6,0)+T29)*S29,VLOOKUP($A29,'Из ГУГЛа'!$B:$G,6,0))</f>
        <v>890</v>
      </c>
      <c r="S29" s="15">
        <v>1</v>
      </c>
      <c r="T29" s="15">
        <v>0</v>
      </c>
      <c r="U29" s="41">
        <f t="shared" si="5"/>
        <v>1.7580312499999997</v>
      </c>
      <c r="V29" s="41">
        <f t="shared" si="6"/>
        <v>8.3483146067416438E-3</v>
      </c>
      <c r="W29" s="41">
        <f t="shared" si="7"/>
        <v>1.78125</v>
      </c>
      <c r="X29" s="44">
        <v>890</v>
      </c>
      <c r="Y29" s="24" t="s">
        <v>188</v>
      </c>
    </row>
    <row r="30" spans="1:25" ht="30.75" thickTop="1" x14ac:dyDescent="0.25">
      <c r="A30" s="39">
        <v>223057</v>
      </c>
      <c r="B30" s="39">
        <f>VLOOKUP($A30,'Выгр Кат'!$A:$R,B$1,0)</f>
        <v>32498</v>
      </c>
      <c r="C30" s="40" t="str">
        <f>VLOOKUP($A30,'Выгр Кат'!$A:$R,C$1,0)</f>
        <v>Универсальная губа "Samurai" (под карбон, синяя, 2.6 м)</v>
      </c>
      <c r="D30" s="39" t="str">
        <f>VLOOKUP($A30,'Выгр Кат'!$A:$R,D$1,0)</f>
        <v>Y</v>
      </c>
      <c r="E30" s="39" t="str">
        <f>VLOOKUP($A30,'Выгр Кат'!$A:$R,E$1,0)</f>
        <v>1</v>
      </c>
      <c r="F30" s="39">
        <f>VLOOKUP($A30,'Выгр Кат'!$A:$R,F$1,0)</f>
        <v>0</v>
      </c>
      <c r="G30" s="7"/>
      <c r="H30" s="7" t="s">
        <v>3</v>
      </c>
      <c r="I30" s="33">
        <v>320</v>
      </c>
      <c r="J30" s="34">
        <f>VLOOKUP(I30,Наценка!$A$1:$B$8,2,1)</f>
        <v>2</v>
      </c>
      <c r="K30" s="50">
        <v>890</v>
      </c>
      <c r="L30" s="36">
        <f t="shared" si="10"/>
        <v>889</v>
      </c>
      <c r="M30" s="39">
        <f>VLOOKUP($A30,'Выгр Кат'!$A:$R,M$1,0)</f>
        <v>320</v>
      </c>
      <c r="N30" s="39">
        <f>VLOOKUP($A30,'Выгр Кат'!$A:$R,N$1,0)</f>
        <v>889</v>
      </c>
      <c r="O30" s="18">
        <f t="shared" si="2"/>
        <v>0</v>
      </c>
      <c r="P30" s="18">
        <f t="shared" si="3"/>
        <v>0</v>
      </c>
      <c r="Q30" s="22">
        <f t="shared" si="4"/>
        <v>826.77</v>
      </c>
      <c r="R30" s="49">
        <f>IFERROR((VLOOKUP($A30,'Из ГУГЛа'!$B:$G,6,0)+T30)*S30,VLOOKUP($A30,'Из ГУГЛа'!$B:$G,6,0))</f>
        <v>890</v>
      </c>
      <c r="S30" s="15">
        <v>1</v>
      </c>
      <c r="T30" s="15">
        <v>0</v>
      </c>
      <c r="U30" s="41">
        <f t="shared" si="5"/>
        <v>1.5836562499999998</v>
      </c>
      <c r="V30" s="41" t="str">
        <f t="shared" si="6"/>
        <v/>
      </c>
      <c r="W30" s="41" t="str">
        <f t="shared" si="7"/>
        <v/>
      </c>
      <c r="X30" s="45" t="s">
        <v>311</v>
      </c>
      <c r="Y30" s="24" t="s">
        <v>187</v>
      </c>
    </row>
    <row r="31" spans="1:25" ht="30.75" thickBot="1" x14ac:dyDescent="0.3">
      <c r="A31" s="39">
        <v>223058</v>
      </c>
      <c r="B31" s="39">
        <f>VLOOKUP($A31,'Выгр Кат'!$A:$R,B$1,0)</f>
        <v>32499</v>
      </c>
      <c r="C31" s="40" t="str">
        <f>VLOOKUP($A31,'Выгр Кат'!$A:$R,C$1,0)</f>
        <v>Универсальная губа "Samurai" (синяя, 2.6 м)</v>
      </c>
      <c r="D31" s="39" t="str">
        <f>VLOOKUP($A31,'Выгр Кат'!$A:$R,D$1,0)</f>
        <v>Y</v>
      </c>
      <c r="E31" s="39" t="str">
        <f>VLOOKUP($A31,'Выгр Кат'!$A:$R,E$1,0)</f>
        <v>1</v>
      </c>
      <c r="F31" s="39">
        <f>VLOOKUP($A31,'Выгр Кат'!$A:$R,F$1,0)</f>
        <v>0</v>
      </c>
      <c r="G31" s="7"/>
      <c r="H31" s="7" t="s">
        <v>3</v>
      </c>
      <c r="I31" s="33">
        <v>320</v>
      </c>
      <c r="J31" s="34">
        <f>VLOOKUP(I31,Наценка!$A$1:$B$8,2,1)</f>
        <v>2</v>
      </c>
      <c r="K31" s="53">
        <f t="shared" si="15"/>
        <v>943.40000000000009</v>
      </c>
      <c r="L31" s="36">
        <f t="shared" si="10"/>
        <v>949</v>
      </c>
      <c r="M31" s="39">
        <f>VLOOKUP($A31,'Выгр Кат'!$A:$R,M$1,0)</f>
        <v>320</v>
      </c>
      <c r="N31" s="39">
        <f>VLOOKUP($A31,'Выгр Кат'!$A:$R,N$1,0)</f>
        <v>949</v>
      </c>
      <c r="O31" s="18">
        <f t="shared" si="2"/>
        <v>0</v>
      </c>
      <c r="P31" s="18">
        <f t="shared" si="3"/>
        <v>0</v>
      </c>
      <c r="Q31" s="22">
        <f t="shared" si="4"/>
        <v>882.56999999999994</v>
      </c>
      <c r="R31" s="49">
        <f>IFERROR((VLOOKUP($A31,'Из ГУГЛа'!$B:$G,6,0)+T31)*S31,VLOOKUP($A31,'Из ГУГЛа'!$B:$G,6,0))</f>
        <v>890</v>
      </c>
      <c r="S31" s="15">
        <v>1</v>
      </c>
      <c r="T31" s="15">
        <v>0</v>
      </c>
      <c r="U31" s="41">
        <f t="shared" si="5"/>
        <v>1.7580312499999997</v>
      </c>
      <c r="V31" s="41">
        <f t="shared" si="6"/>
        <v>8.3483146067416438E-3</v>
      </c>
      <c r="W31" s="41">
        <f t="shared" si="7"/>
        <v>1.78125</v>
      </c>
      <c r="X31" s="44">
        <v>890</v>
      </c>
      <c r="Y31" s="24" t="s">
        <v>189</v>
      </c>
    </row>
    <row r="32" spans="1:25" ht="30.75" thickTop="1" x14ac:dyDescent="0.25">
      <c r="A32" s="39">
        <v>223055</v>
      </c>
      <c r="B32" s="39">
        <f>VLOOKUP($A32,'Выгр Кат'!$A:$R,B$1,0)</f>
        <v>32824</v>
      </c>
      <c r="C32" s="40" t="str">
        <f>VLOOKUP($A32,'Выгр Кат'!$A:$R,C$1,0)</f>
        <v>Универсальная губа "Samurai" (под карбон, белая, 2.6 м)</v>
      </c>
      <c r="D32" s="39" t="str">
        <f>VLOOKUP($A32,'Выгр Кат'!$A:$R,D$1,0)</f>
        <v>Y</v>
      </c>
      <c r="E32" s="39" t="str">
        <f>VLOOKUP($A32,'Выгр Кат'!$A:$R,E$1,0)</f>
        <v>1</v>
      </c>
      <c r="F32" s="39">
        <f>VLOOKUP($A32,'Выгр Кат'!$A:$R,F$1,0)</f>
        <v>0</v>
      </c>
      <c r="G32" s="7"/>
      <c r="H32" s="7" t="s">
        <v>3</v>
      </c>
      <c r="I32" s="33">
        <v>320</v>
      </c>
      <c r="J32" s="34">
        <f>VLOOKUP(I32,Наценка!$A$1:$B$8,2,1)</f>
        <v>2</v>
      </c>
      <c r="K32" s="50">
        <v>890</v>
      </c>
      <c r="L32" s="36">
        <f t="shared" si="10"/>
        <v>889</v>
      </c>
      <c r="M32" s="39">
        <f>VLOOKUP($A32,'Выгр Кат'!$A:$R,M$1,0)</f>
        <v>320</v>
      </c>
      <c r="N32" s="39">
        <f>VLOOKUP($A32,'Выгр Кат'!$A:$R,N$1,0)</f>
        <v>889</v>
      </c>
      <c r="O32" s="18">
        <f t="shared" si="2"/>
        <v>0</v>
      </c>
      <c r="P32" s="18">
        <f t="shared" si="3"/>
        <v>0</v>
      </c>
      <c r="Q32" s="22">
        <f t="shared" si="4"/>
        <v>826.77</v>
      </c>
      <c r="R32" s="49">
        <f>IFERROR((VLOOKUP($A32,'Из ГУГЛа'!$B:$G,6,0)+T32)*S32,VLOOKUP($A32,'Из ГУГЛа'!$B:$G,6,0))</f>
        <v>890</v>
      </c>
      <c r="S32" s="15">
        <v>1</v>
      </c>
      <c r="T32" s="15">
        <v>0</v>
      </c>
      <c r="U32" s="41">
        <f t="shared" si="5"/>
        <v>1.5836562499999998</v>
      </c>
      <c r="V32" s="41" t="str">
        <f t="shared" si="6"/>
        <v/>
      </c>
      <c r="W32" s="41" t="str">
        <f t="shared" si="7"/>
        <v/>
      </c>
      <c r="X32" s="45" t="s">
        <v>311</v>
      </c>
      <c r="Y32" s="24" t="s">
        <v>187</v>
      </c>
    </row>
    <row r="33" spans="1:25" ht="30" x14ac:dyDescent="0.25">
      <c r="A33" s="39">
        <v>223056</v>
      </c>
      <c r="B33" s="39">
        <f>VLOOKUP($A33,'Выгр Кат'!$A:$R,B$1,0)</f>
        <v>34262</v>
      </c>
      <c r="C33" s="40" t="str">
        <f>VLOOKUP($A33,'Выгр Кат'!$A:$R,C$1,0)</f>
        <v>Универсальная губа "Samurai" (под карбон, красная, 2.6 м)</v>
      </c>
      <c r="D33" s="39" t="str">
        <f>VLOOKUP($A33,'Выгр Кат'!$A:$R,D$1,0)</f>
        <v>Y</v>
      </c>
      <c r="E33" s="39" t="str">
        <f>VLOOKUP($A33,'Выгр Кат'!$A:$R,E$1,0)</f>
        <v>1</v>
      </c>
      <c r="F33" s="39">
        <f>VLOOKUP($A33,'Выгр Кат'!$A:$R,F$1,0)</f>
        <v>0</v>
      </c>
      <c r="G33" s="7"/>
      <c r="H33" s="7" t="s">
        <v>3</v>
      </c>
      <c r="I33" s="33">
        <v>400</v>
      </c>
      <c r="J33" s="34">
        <f>VLOOKUP(I33,Наценка!$A$1:$B$8,2,1)</f>
        <v>2</v>
      </c>
      <c r="K33" s="35">
        <f t="shared" si="13"/>
        <v>800</v>
      </c>
      <c r="L33" s="36">
        <f t="shared" si="10"/>
        <v>799</v>
      </c>
      <c r="M33" s="39">
        <f>VLOOKUP($A33,'Выгр Кат'!$A:$R,M$1,0)</f>
        <v>400</v>
      </c>
      <c r="N33" s="39">
        <f>VLOOKUP($A33,'Выгр Кат'!$A:$R,N$1,0)</f>
        <v>799</v>
      </c>
      <c r="O33" s="18">
        <f t="shared" si="2"/>
        <v>0</v>
      </c>
      <c r="P33" s="18">
        <f t="shared" si="3"/>
        <v>0</v>
      </c>
      <c r="Q33" s="22">
        <f t="shared" si="4"/>
        <v>743.06999999999994</v>
      </c>
      <c r="R33" s="49" t="str">
        <f>IFERROR((VLOOKUP($A33,'Из ГУГЛа'!$B:$G,6,0)+T33)*S33,VLOOKUP($A33,'Из ГУГЛа'!$B:$G,6,0))</f>
        <v/>
      </c>
      <c r="S33" s="15">
        <v>1</v>
      </c>
      <c r="T33" s="15">
        <v>0</v>
      </c>
      <c r="U33" s="41">
        <f t="shared" si="5"/>
        <v>0.85767499999999974</v>
      </c>
      <c r="V33" s="41" t="str">
        <f t="shared" si="6"/>
        <v/>
      </c>
      <c r="W33" s="41" t="str">
        <f t="shared" si="7"/>
        <v/>
      </c>
      <c r="X33" s="45" t="s">
        <v>273</v>
      </c>
    </row>
    <row r="34" spans="1:25" ht="60" x14ac:dyDescent="0.25">
      <c r="A34" s="39">
        <v>224253</v>
      </c>
      <c r="B34" s="39">
        <f>VLOOKUP($A34,'Выгр Кат'!$A:$R,B$1,0)</f>
        <v>23636</v>
      </c>
      <c r="C34" s="40" t="str">
        <f>VLOOKUP($A34,'Выгр Кат'!$A:$R,C$1,0)</f>
        <v>Фонарь противотуманный (ПТФ) в задний бампер "LED Плазма" (белый) для Лада Гранта лифтбек, Гранта FL лифтбек, Веста</v>
      </c>
      <c r="D34" s="39" t="str">
        <f>VLOOKUP($A34,'Выгр Кат'!$A:$R,D$1,0)</f>
        <v>Y</v>
      </c>
      <c r="E34" s="39" t="str">
        <f>VLOOKUP($A34,'Выгр Кат'!$A:$R,E$1,0)</f>
        <v>1</v>
      </c>
      <c r="F34" s="39">
        <f>VLOOKUP($A34,'Выгр Кат'!$A:$R,F$1,0)</f>
        <v>0</v>
      </c>
      <c r="G34" s="7"/>
      <c r="H34" s="7" t="s">
        <v>3</v>
      </c>
      <c r="I34" s="33">
        <v>350</v>
      </c>
      <c r="J34" s="34">
        <f>VLOOKUP(I34,Наценка!$A$1:$B$8,2,1)</f>
        <v>2</v>
      </c>
      <c r="K34" s="53">
        <f>X34*1.05</f>
        <v>724.5</v>
      </c>
      <c r="L34" s="36">
        <f t="shared" si="10"/>
        <v>729</v>
      </c>
      <c r="M34" s="39">
        <f>VLOOKUP($A34,'Выгр Кат'!$A:$R,M$1,0)</f>
        <v>350</v>
      </c>
      <c r="N34" s="39">
        <f>VLOOKUP($A34,'Выгр Кат'!$A:$R,N$1,0)</f>
        <v>729</v>
      </c>
      <c r="O34" s="18">
        <f t="shared" si="2"/>
        <v>0</v>
      </c>
      <c r="P34" s="18">
        <f t="shared" si="3"/>
        <v>0</v>
      </c>
      <c r="Q34" s="22">
        <f t="shared" si="4"/>
        <v>677.96999999999991</v>
      </c>
      <c r="R34" s="49">
        <f>IFERROR((VLOOKUP($A34,'Из ГУГЛа'!$B:$G,6,0)+T34)*S34,VLOOKUP($A34,'Из ГУГЛа'!$B:$G,6,0))</f>
        <v>690</v>
      </c>
      <c r="S34" s="15">
        <v>1</v>
      </c>
      <c r="T34" s="15">
        <v>0</v>
      </c>
      <c r="U34" s="41">
        <f t="shared" si="5"/>
        <v>0.93705714285714259</v>
      </c>
      <c r="V34" s="41">
        <f t="shared" si="6"/>
        <v>1.7434782608695777E-2</v>
      </c>
      <c r="W34" s="41">
        <f t="shared" si="7"/>
        <v>0.97142857142857153</v>
      </c>
      <c r="X34" s="42">
        <v>690</v>
      </c>
      <c r="Y34" s="24" t="s">
        <v>270</v>
      </c>
    </row>
    <row r="35" spans="1:25" ht="30" x14ac:dyDescent="0.25">
      <c r="A35" s="39">
        <v>213884</v>
      </c>
      <c r="B35" s="39">
        <f>VLOOKUP($A35,'Выгр Кат'!$A:$R,B$1,0)</f>
        <v>39565</v>
      </c>
      <c r="C35" s="40" t="str">
        <f>VLOOKUP($A35,'Выгр Кат'!$A:$R,C$1,0)</f>
        <v>Сигналы звуковые "Elephant" Камрики универсальные</v>
      </c>
      <c r="D35" s="39" t="str">
        <f>VLOOKUP($A35,'Выгр Кат'!$A:$R,D$1,0)</f>
        <v>Y</v>
      </c>
      <c r="E35" s="39" t="str">
        <f>VLOOKUP($A35,'Выгр Кат'!$A:$R,E$1,0)</f>
        <v>1</v>
      </c>
      <c r="F35" s="39" t="str">
        <f>VLOOKUP($A35,'Выгр Кат'!$A:$R,F$1,0)</f>
        <v>DL-110S</v>
      </c>
      <c r="G35" s="7"/>
      <c r="H35" s="7" t="s">
        <v>3</v>
      </c>
      <c r="I35" s="33">
        <v>350</v>
      </c>
      <c r="J35" s="34">
        <f>VLOOKUP(I35,Наценка!$A$1:$B$8,2,1)</f>
        <v>2</v>
      </c>
      <c r="K35" s="35">
        <f t="shared" si="13"/>
        <v>700</v>
      </c>
      <c r="L35" s="36">
        <f t="shared" si="10"/>
        <v>699</v>
      </c>
      <c r="M35" s="39">
        <f>VLOOKUP($A35,'Выгр Кат'!$A:$R,M$1,0)</f>
        <v>350</v>
      </c>
      <c r="N35" s="39">
        <f>VLOOKUP($A35,'Выгр Кат'!$A:$R,N$1,0)</f>
        <v>699</v>
      </c>
      <c r="O35" s="18">
        <f t="shared" si="2"/>
        <v>0</v>
      </c>
      <c r="P35" s="18">
        <f t="shared" si="3"/>
        <v>0</v>
      </c>
      <c r="Q35" s="22">
        <f t="shared" si="4"/>
        <v>650.06999999999994</v>
      </c>
      <c r="R35" s="49" t="str">
        <f>IFERROR((VLOOKUP($A35,'Из ГУГЛа'!$B:$G,6,0)+T35)*S35,VLOOKUP($A35,'Из ГУГЛа'!$B:$G,6,0))</f>
        <v/>
      </c>
      <c r="S35" s="15">
        <v>1</v>
      </c>
      <c r="T35" s="15">
        <v>0</v>
      </c>
      <c r="U35" s="41">
        <f t="shared" si="5"/>
        <v>0.85734285714285696</v>
      </c>
      <c r="V35" s="41" t="str">
        <f t="shared" si="6"/>
        <v/>
      </c>
      <c r="W35" s="41" t="str">
        <f t="shared" si="7"/>
        <v/>
      </c>
      <c r="X35" s="45" t="s">
        <v>272</v>
      </c>
    </row>
    <row r="36" spans="1:25" ht="30.75" thickBot="1" x14ac:dyDescent="0.3">
      <c r="A36" s="39">
        <v>217473</v>
      </c>
      <c r="B36" s="39">
        <f>VLOOKUP($A36,'Выгр Кат'!$A:$R,B$1,0)</f>
        <v>68437</v>
      </c>
      <c r="C36" s="40" t="str">
        <f>VLOOKUP($A36,'Выгр Кат'!$A:$R,C$1,0)</f>
        <v>Стекло фары "СЕВиЕМ" левое, гладкое для ВАЗ 2110-2112</v>
      </c>
      <c r="D36" s="39" t="str">
        <f>VLOOKUP($A36,'Выгр Кат'!$A:$R,D$1,0)</f>
        <v>Y</v>
      </c>
      <c r="E36" s="39" t="str">
        <f>VLOOKUP($A36,'Выгр Кат'!$A:$R,E$1,0)</f>
        <v>1</v>
      </c>
      <c r="F36" s="39">
        <f>VLOOKUP($A36,'Выгр Кат'!$A:$R,F$1,0)</f>
        <v>0</v>
      </c>
      <c r="G36" s="7"/>
      <c r="H36" s="7" t="s">
        <v>3</v>
      </c>
      <c r="I36" s="33">
        <v>350</v>
      </c>
      <c r="J36" s="34">
        <f>VLOOKUP(I36,Наценка!$A$1:$B$8,2,1)</f>
        <v>2</v>
      </c>
      <c r="K36" s="53">
        <f t="shared" ref="K36:K37" si="16">X36*1.06</f>
        <v>736.7</v>
      </c>
      <c r="L36" s="36">
        <f t="shared" si="10"/>
        <v>739</v>
      </c>
      <c r="M36" s="39">
        <f>VLOOKUP($A36,'Выгр Кат'!$A:$R,M$1,0)</f>
        <v>350</v>
      </c>
      <c r="N36" s="39">
        <f>VLOOKUP($A36,'Выгр Кат'!$A:$R,N$1,0)</f>
        <v>739</v>
      </c>
      <c r="O36" s="18">
        <f t="shared" si="2"/>
        <v>0</v>
      </c>
      <c r="P36" s="18">
        <f t="shared" si="3"/>
        <v>0</v>
      </c>
      <c r="Q36" s="22">
        <f t="shared" si="4"/>
        <v>687.27</v>
      </c>
      <c r="R36" s="49">
        <f>IFERROR((VLOOKUP($A36,'Из ГУГЛа'!$B:$G,6,0)+T36)*S36,VLOOKUP($A36,'Из ГУГЛа'!$B:$G,6,0))</f>
        <v>695</v>
      </c>
      <c r="S36" s="15">
        <v>0.5</v>
      </c>
      <c r="T36" s="15">
        <v>0</v>
      </c>
      <c r="U36" s="41">
        <f t="shared" si="5"/>
        <v>0.96362857142857128</v>
      </c>
      <c r="V36" s="41">
        <f t="shared" si="6"/>
        <v>1.1122302158273407E-2</v>
      </c>
      <c r="W36" s="41">
        <f t="shared" si="7"/>
        <v>0.98571428571428577</v>
      </c>
      <c r="X36" s="44">
        <v>695</v>
      </c>
      <c r="Y36" s="24" t="s">
        <v>190</v>
      </c>
    </row>
    <row r="37" spans="1:25" ht="31.5" thickTop="1" thickBot="1" x14ac:dyDescent="0.3">
      <c r="A37" s="39">
        <v>217475</v>
      </c>
      <c r="B37" s="39">
        <f>VLOOKUP($A37,'Выгр Кат'!$A:$R,B$1,0)</f>
        <v>68438</v>
      </c>
      <c r="C37" s="40" t="str">
        <f>VLOOKUP($A37,'Выгр Кат'!$A:$R,C$1,0)</f>
        <v>Стекло фары "СЕВиЕМ" правое, гладкое для ВАЗ 2110-2112</v>
      </c>
      <c r="D37" s="39" t="str">
        <f>VLOOKUP($A37,'Выгр Кат'!$A:$R,D$1,0)</f>
        <v>Y</v>
      </c>
      <c r="E37" s="39" t="str">
        <f>VLOOKUP($A37,'Выгр Кат'!$A:$R,E$1,0)</f>
        <v>1</v>
      </c>
      <c r="F37" s="39">
        <f>VLOOKUP($A37,'Выгр Кат'!$A:$R,F$1,0)</f>
        <v>0</v>
      </c>
      <c r="G37" s="7"/>
      <c r="H37" s="7" t="s">
        <v>3</v>
      </c>
      <c r="I37" s="33">
        <v>350</v>
      </c>
      <c r="J37" s="34">
        <f>VLOOKUP(I37,Наценка!$A$1:$B$8,2,1)</f>
        <v>2</v>
      </c>
      <c r="K37" s="53">
        <f t="shared" si="16"/>
        <v>736.7</v>
      </c>
      <c r="L37" s="36">
        <f t="shared" si="10"/>
        <v>739</v>
      </c>
      <c r="M37" s="39">
        <f>VLOOKUP($A37,'Выгр Кат'!$A:$R,M$1,0)</f>
        <v>350</v>
      </c>
      <c r="N37" s="39">
        <f>VLOOKUP($A37,'Выгр Кат'!$A:$R,N$1,0)</f>
        <v>739</v>
      </c>
      <c r="O37" s="18">
        <f t="shared" si="2"/>
        <v>0</v>
      </c>
      <c r="P37" s="18">
        <f t="shared" si="3"/>
        <v>0</v>
      </c>
      <c r="Q37" s="22">
        <f t="shared" si="4"/>
        <v>687.27</v>
      </c>
      <c r="R37" s="49">
        <f>IFERROR((VLOOKUP($A37,'Из ГУГЛа'!$B:$G,6,0)+T37)*S37,VLOOKUP($A37,'Из ГУГЛа'!$B:$G,6,0))</f>
        <v>695</v>
      </c>
      <c r="S37" s="15">
        <v>0.5</v>
      </c>
      <c r="T37" s="15">
        <v>0</v>
      </c>
      <c r="U37" s="41">
        <f t="shared" si="5"/>
        <v>0.96362857142857128</v>
      </c>
      <c r="V37" s="41">
        <f t="shared" si="6"/>
        <v>1.1122302158273407E-2</v>
      </c>
      <c r="W37" s="41">
        <f t="shared" si="7"/>
        <v>0.98571428571428577</v>
      </c>
      <c r="X37" s="44">
        <v>695</v>
      </c>
      <c r="Y37" s="24" t="s">
        <v>190</v>
      </c>
    </row>
    <row r="38" spans="1:25" ht="60.75" thickTop="1" x14ac:dyDescent="0.25">
      <c r="A38" s="39">
        <v>224254</v>
      </c>
      <c r="B38" s="39">
        <f>VLOOKUP($A38,'Выгр Кат'!$A:$R,B$1,0)</f>
        <v>23635</v>
      </c>
      <c r="C38" s="40" t="str">
        <f>VLOOKUP($A38,'Выгр Кат'!$A:$R,C$1,0)</f>
        <v>Фонарь противотуманный (ПТФ) в задний бампер "LED Плазма" (красный) для Лада Гранта лифтбек, Гранта FL лифтбек, Веста</v>
      </c>
      <c r="D38" s="39" t="str">
        <f>VLOOKUP($A38,'Выгр Кат'!$A:$R,D$1,0)</f>
        <v>Y</v>
      </c>
      <c r="E38" s="39" t="str">
        <f>VLOOKUP($A38,'Выгр Кат'!$A:$R,E$1,0)</f>
        <v>1</v>
      </c>
      <c r="F38" s="39" t="str">
        <f>VLOOKUP($A38,'Выгр Кат'!$A:$R,F$1,0)</f>
        <v>ML165</v>
      </c>
      <c r="G38" s="7"/>
      <c r="H38" s="7" t="s">
        <v>3</v>
      </c>
      <c r="I38" s="33">
        <v>400</v>
      </c>
      <c r="J38" s="34">
        <f>VLOOKUP(I38,Наценка!$A$1:$B$8,2,1)</f>
        <v>2</v>
      </c>
      <c r="K38" s="53">
        <f t="shared" ref="K38" si="17">X38*1.05</f>
        <v>724.5</v>
      </c>
      <c r="L38" s="36">
        <f t="shared" si="10"/>
        <v>729</v>
      </c>
      <c r="M38" s="39">
        <f>VLOOKUP($A38,'Выгр Кат'!$A:$R,M$1,0)</f>
        <v>400</v>
      </c>
      <c r="N38" s="39">
        <f>VLOOKUP($A38,'Выгр Кат'!$A:$R,N$1,0)</f>
        <v>729</v>
      </c>
      <c r="O38" s="18">
        <f t="shared" si="2"/>
        <v>0</v>
      </c>
      <c r="P38" s="18">
        <f t="shared" si="3"/>
        <v>0</v>
      </c>
      <c r="Q38" s="22">
        <f t="shared" si="4"/>
        <v>677.96999999999991</v>
      </c>
      <c r="R38" s="49">
        <f>IFERROR((VLOOKUP($A38,'Из ГУГЛа'!$B:$G,6,0)+T38)*S38,VLOOKUP($A38,'Из ГУГЛа'!$B:$G,6,0))</f>
        <v>690</v>
      </c>
      <c r="S38" s="15">
        <v>1</v>
      </c>
      <c r="T38" s="15">
        <v>0</v>
      </c>
      <c r="U38" s="41">
        <f t="shared" si="5"/>
        <v>0.69492499999999979</v>
      </c>
      <c r="V38" s="41">
        <f t="shared" si="6"/>
        <v>1.7434782608695777E-2</v>
      </c>
      <c r="W38" s="41">
        <f t="shared" si="7"/>
        <v>0.72500000000000009</v>
      </c>
      <c r="X38" s="42">
        <v>690</v>
      </c>
      <c r="Y38" s="24" t="s">
        <v>271</v>
      </c>
    </row>
    <row r="39" spans="1:25" ht="60" x14ac:dyDescent="0.25">
      <c r="A39" s="39">
        <v>224255</v>
      </c>
      <c r="B39" s="39">
        <f>VLOOKUP($A39,'Выгр Кат'!$A:$R,B$1,0)</f>
        <v>28204</v>
      </c>
      <c r="C39" s="40" t="str">
        <f>VLOOKUP($A39,'Выгр Кат'!$A:$R,C$1,0)</f>
        <v>Фонарь противотуманный (ПТФ) в задний бампер "LED Плазма" для Лада Гранта лифтбек, Гранта FL лифтбек, Веста</v>
      </c>
      <c r="D39" s="39" t="str">
        <f>VLOOKUP($A39,'Выгр Кат'!$A:$R,D$1,0)</f>
        <v>Y</v>
      </c>
      <c r="E39" s="39" t="str">
        <f>VLOOKUP($A39,'Выгр Кат'!$A:$R,E$1,0)</f>
        <v>1</v>
      </c>
      <c r="F39" s="39">
        <f>VLOOKUP($A39,'Выгр Кат'!$A:$R,F$1,0)</f>
        <v>0</v>
      </c>
      <c r="G39" s="7"/>
      <c r="H39" s="7" t="s">
        <v>3</v>
      </c>
      <c r="I39" s="33">
        <v>450</v>
      </c>
      <c r="J39" s="34">
        <f>VLOOKUP(I39,Наценка!$A$1:$B$8,2,1)</f>
        <v>2</v>
      </c>
      <c r="K39" s="50">
        <f t="shared" ref="K39:K40" si="18">X39*1</f>
        <v>1190</v>
      </c>
      <c r="L39" s="36">
        <f t="shared" si="10"/>
        <v>1190</v>
      </c>
      <c r="M39" s="39">
        <f>VLOOKUP($A39,'Выгр Кат'!$A:$R,M$1,0)</f>
        <v>450</v>
      </c>
      <c r="N39" s="39">
        <f>VLOOKUP($A39,'Выгр Кат'!$A:$R,N$1,0)</f>
        <v>1190</v>
      </c>
      <c r="O39" s="18">
        <f t="shared" si="2"/>
        <v>0</v>
      </c>
      <c r="P39" s="18">
        <f t="shared" si="3"/>
        <v>0</v>
      </c>
      <c r="Q39" s="22">
        <f t="shared" si="4"/>
        <v>1106.6999999999998</v>
      </c>
      <c r="R39" s="49">
        <f>IFERROR((VLOOKUP($A39,'Из ГУГЛа'!$B:$G,6,0)+T39)*S39,VLOOKUP($A39,'Из ГУГЛа'!$B:$G,6,0))</f>
        <v>1190</v>
      </c>
      <c r="S39" s="15">
        <v>1</v>
      </c>
      <c r="T39" s="15">
        <v>0</v>
      </c>
      <c r="U39" s="41">
        <f t="shared" si="5"/>
        <v>1.4593333333333329</v>
      </c>
      <c r="V39" s="41">
        <f t="shared" si="6"/>
        <v>7.0000000000000159E-2</v>
      </c>
      <c r="W39" s="41">
        <f t="shared" si="7"/>
        <v>1.6444444444444444</v>
      </c>
      <c r="X39" s="45">
        <v>1190</v>
      </c>
      <c r="Y39" s="24" t="s">
        <v>276</v>
      </c>
    </row>
    <row r="40" spans="1:25" ht="60" x14ac:dyDescent="0.25">
      <c r="A40" s="39">
        <v>224257</v>
      </c>
      <c r="B40" s="39">
        <f>VLOOKUP($A40,'Выгр Кат'!$A:$R,B$1,0)</f>
        <v>29126</v>
      </c>
      <c r="C40" s="40" t="str">
        <f>VLOOKUP($A40,'Выгр Кат'!$A:$R,C$1,0)</f>
        <v>Фонарь противотуманный в задний бампер с надписью "GRANTA" для Лада Гранта лифтбек, Гранта FL лифтбек</v>
      </c>
      <c r="D40" s="39" t="str">
        <f>VLOOKUP($A40,'Выгр Кат'!$A:$R,D$1,0)</f>
        <v>Y</v>
      </c>
      <c r="E40" s="39" t="str">
        <f>VLOOKUP($A40,'Выгр Кат'!$A:$R,E$1,0)</f>
        <v>1</v>
      </c>
      <c r="F40" s="39">
        <f>VLOOKUP($A40,'Выгр Кат'!$A:$R,F$1,0)</f>
        <v>0</v>
      </c>
      <c r="G40" s="7"/>
      <c r="H40" s="7" t="s">
        <v>3</v>
      </c>
      <c r="I40" s="33">
        <v>430</v>
      </c>
      <c r="J40" s="34">
        <f>VLOOKUP(I40,Наценка!$A$1:$B$8,2,1)</f>
        <v>2</v>
      </c>
      <c r="K40" s="50">
        <f t="shared" si="18"/>
        <v>990</v>
      </c>
      <c r="L40" s="36">
        <f t="shared" si="10"/>
        <v>989</v>
      </c>
      <c r="M40" s="39">
        <f>VLOOKUP($A40,'Выгр Кат'!$A:$R,M$1,0)</f>
        <v>430</v>
      </c>
      <c r="N40" s="39">
        <f>VLOOKUP($A40,'Выгр Кат'!$A:$R,N$1,0)</f>
        <v>989</v>
      </c>
      <c r="O40" s="18">
        <f t="shared" si="2"/>
        <v>0</v>
      </c>
      <c r="P40" s="18">
        <f t="shared" si="3"/>
        <v>0</v>
      </c>
      <c r="Q40" s="22">
        <f t="shared" si="4"/>
        <v>919.77</v>
      </c>
      <c r="R40" s="49">
        <f>IFERROR((VLOOKUP($A40,'Из ГУГЛа'!$B:$G,6,0)+T40)*S40,VLOOKUP($A40,'Из ГУГЛа'!$B:$G,6,0))</f>
        <v>990</v>
      </c>
      <c r="S40" s="15">
        <v>1</v>
      </c>
      <c r="T40" s="15">
        <v>0</v>
      </c>
      <c r="U40" s="41">
        <f t="shared" si="5"/>
        <v>1.1389999999999998</v>
      </c>
      <c r="V40" s="41">
        <f t="shared" si="6"/>
        <v>7.0939393939393955E-2</v>
      </c>
      <c r="W40" s="41">
        <f t="shared" si="7"/>
        <v>1.3023255813953489</v>
      </c>
      <c r="X40" s="45">
        <v>990</v>
      </c>
      <c r="Y40" s="24" t="s">
        <v>277</v>
      </c>
    </row>
    <row r="41" spans="1:25" ht="60" x14ac:dyDescent="0.25">
      <c r="A41" s="39">
        <v>143696</v>
      </c>
      <c r="B41" s="39">
        <f>VLOOKUP($A41,'Выгр Кат'!$A:$R,B$1,0)</f>
        <v>30467</v>
      </c>
      <c r="C41" s="40" t="str">
        <f>VLOOKUP($A41,'Выгр Кат'!$A:$R,C$1,0)</f>
        <v>Динамические повторители поворота, с узором "стрелки широкие" в зеркала старого образца для Лада Веста</v>
      </c>
      <c r="D41" s="39" t="str">
        <f>VLOOKUP($A41,'Выгр Кат'!$A:$R,D$1,0)</f>
        <v>Y</v>
      </c>
      <c r="E41" s="39" t="str">
        <f>VLOOKUP($A41,'Выгр Кат'!$A:$R,E$1,0)</f>
        <v>1ск1</v>
      </c>
      <c r="F41" s="39">
        <f>VLOOKUP($A41,'Выгр Кат'!$A:$R,F$1,0)</f>
        <v>0</v>
      </c>
      <c r="G41" s="7"/>
      <c r="H41" s="7" t="s">
        <v>3</v>
      </c>
      <c r="I41" s="33">
        <v>450</v>
      </c>
      <c r="J41" s="34">
        <f>VLOOKUP(I41,Наценка!$A$1:$B$8,2,1)</f>
        <v>2</v>
      </c>
      <c r="K41" s="35">
        <f t="shared" si="13"/>
        <v>900</v>
      </c>
      <c r="L41" s="36">
        <f t="shared" si="10"/>
        <v>899</v>
      </c>
      <c r="M41" s="39">
        <f>VLOOKUP($A41,'Выгр Кат'!$A:$R,M$1,0)</f>
        <v>450</v>
      </c>
      <c r="N41" s="39">
        <f>VLOOKUP($A41,'Выгр Кат'!$A:$R,N$1,0)</f>
        <v>899</v>
      </c>
      <c r="O41" s="18">
        <f t="shared" ref="O41:O89" si="19">M41-I41</f>
        <v>0</v>
      </c>
      <c r="P41" s="18">
        <f t="shared" ref="P41:P89" si="20">N41-L41</f>
        <v>0</v>
      </c>
      <c r="Q41" s="22">
        <f t="shared" si="4"/>
        <v>836.06999999999994</v>
      </c>
      <c r="R41" s="49" t="str">
        <f>IFERROR((VLOOKUP($A41,'Из ГУГЛа'!$B:$G,6,0)+T41)*S41,VLOOKUP($A41,'Из ГУГЛа'!$B:$G,6,0))</f>
        <v/>
      </c>
      <c r="S41" s="15">
        <v>1</v>
      </c>
      <c r="T41" s="15">
        <v>0</v>
      </c>
      <c r="U41" s="41">
        <f t="shared" si="5"/>
        <v>0.85793333333333321</v>
      </c>
      <c r="V41" s="41" t="str">
        <f t="shared" si="6"/>
        <v/>
      </c>
      <c r="W41" s="41" t="str">
        <f t="shared" si="7"/>
        <v/>
      </c>
      <c r="X41" s="45" t="s">
        <v>272</v>
      </c>
    </row>
    <row r="42" spans="1:25" ht="60" x14ac:dyDescent="0.25">
      <c r="A42" s="39">
        <v>143692</v>
      </c>
      <c r="B42" s="39">
        <f>VLOOKUP($A42,'Выгр Кат'!$A:$R,B$1,0)</f>
        <v>30468</v>
      </c>
      <c r="C42" s="40" t="str">
        <f>VLOOKUP($A42,'Выгр Кат'!$A:$R,C$1,0)</f>
        <v>Динамические повторители поворота "мульти-плазма", с узором "Y" в зеркала старого образца для Лада Веста</v>
      </c>
      <c r="D42" s="39" t="str">
        <f>VLOOKUP($A42,'Выгр Кат'!$A:$R,D$1,0)</f>
        <v>Y</v>
      </c>
      <c r="E42" s="39" t="str">
        <f>VLOOKUP($A42,'Выгр Кат'!$A:$R,E$1,0)</f>
        <v>1</v>
      </c>
      <c r="F42" s="39">
        <f>VLOOKUP($A42,'Выгр Кат'!$A:$R,F$1,0)</f>
        <v>0</v>
      </c>
      <c r="G42" s="7"/>
      <c r="H42" s="7" t="s">
        <v>3</v>
      </c>
      <c r="I42" s="33">
        <v>450</v>
      </c>
      <c r="J42" s="34">
        <f>VLOOKUP(I42,Наценка!$A$1:$B$8,2,1)</f>
        <v>2</v>
      </c>
      <c r="K42" s="35">
        <f t="shared" si="13"/>
        <v>900</v>
      </c>
      <c r="L42" s="36">
        <f t="shared" si="10"/>
        <v>899</v>
      </c>
      <c r="M42" s="39">
        <f>VLOOKUP($A42,'Выгр Кат'!$A:$R,M$1,0)</f>
        <v>450</v>
      </c>
      <c r="N42" s="39">
        <f>VLOOKUP($A42,'Выгр Кат'!$A:$R,N$1,0)</f>
        <v>899</v>
      </c>
      <c r="O42" s="18">
        <f t="shared" si="19"/>
        <v>0</v>
      </c>
      <c r="P42" s="18">
        <f t="shared" si="20"/>
        <v>0</v>
      </c>
      <c r="Q42" s="22">
        <f t="shared" si="4"/>
        <v>836.06999999999994</v>
      </c>
      <c r="R42" s="49" t="str">
        <f>IFERROR((VLOOKUP($A42,'Из ГУГЛа'!$B:$G,6,0)+T42)*S42,VLOOKUP($A42,'Из ГУГЛа'!$B:$G,6,0))</f>
        <v/>
      </c>
      <c r="S42" s="15">
        <v>1</v>
      </c>
      <c r="T42" s="15">
        <v>0</v>
      </c>
      <c r="U42" s="41">
        <f t="shared" si="5"/>
        <v>0.85793333333333321</v>
      </c>
      <c r="V42" s="41" t="str">
        <f t="shared" si="6"/>
        <v/>
      </c>
      <c r="W42" s="41" t="str">
        <f t="shared" si="7"/>
        <v/>
      </c>
      <c r="X42" s="45" t="s">
        <v>272</v>
      </c>
    </row>
    <row r="43" spans="1:25" ht="30" x14ac:dyDescent="0.25">
      <c r="A43" s="39">
        <v>223060</v>
      </c>
      <c r="B43" s="39">
        <f>VLOOKUP($A43,'Выгр Кат'!$A:$R,B$1,0)</f>
        <v>27229</v>
      </c>
      <c r="C43" s="40" t="str">
        <f>VLOOKUP($A43,'Выгр Кат'!$A:$R,C$1,0)</f>
        <v>Универсальная губа "Samurai", фосфорная</v>
      </c>
      <c r="D43" s="39" t="str">
        <f>VLOOKUP($A43,'Выгр Кат'!$A:$R,D$1,0)</f>
        <v>Y</v>
      </c>
      <c r="E43" s="39" t="str">
        <f>VLOOKUP($A43,'Выгр Кат'!$A:$R,E$1,0)</f>
        <v>1</v>
      </c>
      <c r="F43" s="39">
        <f>VLOOKUP($A43,'Выгр Кат'!$A:$R,F$1,0)</f>
        <v>0</v>
      </c>
      <c r="G43" s="7"/>
      <c r="H43" s="7" t="s">
        <v>3</v>
      </c>
      <c r="I43" s="33">
        <v>500</v>
      </c>
      <c r="J43" s="34">
        <f>VLOOKUP(I43,Наценка!$A$1:$B$8,2,1)</f>
        <v>1.75</v>
      </c>
      <c r="K43" s="35">
        <f t="shared" si="13"/>
        <v>875</v>
      </c>
      <c r="L43" s="36">
        <f t="shared" si="10"/>
        <v>879</v>
      </c>
      <c r="M43" s="39">
        <f>VLOOKUP($A43,'Выгр Кат'!$A:$R,M$1,0)</f>
        <v>500</v>
      </c>
      <c r="N43" s="39">
        <f>VLOOKUP($A43,'Выгр Кат'!$A:$R,N$1,0)</f>
        <v>879</v>
      </c>
      <c r="O43" s="18">
        <f t="shared" si="19"/>
        <v>0</v>
      </c>
      <c r="P43" s="18">
        <f t="shared" si="20"/>
        <v>0</v>
      </c>
      <c r="Q43" s="22">
        <f t="shared" si="4"/>
        <v>817.46999999999991</v>
      </c>
      <c r="R43" s="49">
        <f>IFERROR((VLOOKUP($A43,'Из ГУГЛа'!$B:$G,6,0)+T43)*S43,VLOOKUP($A43,'Из ГУГЛа'!$B:$G,6,0))</f>
        <v>649</v>
      </c>
      <c r="S43" s="15">
        <v>1</v>
      </c>
      <c r="T43" s="15">
        <v>0</v>
      </c>
      <c r="U43" s="41">
        <f t="shared" si="5"/>
        <v>0.63493999999999984</v>
      </c>
      <c r="V43" s="41" t="str">
        <f t="shared" si="6"/>
        <v/>
      </c>
      <c r="W43" s="41" t="str">
        <f t="shared" si="7"/>
        <v/>
      </c>
      <c r="X43" s="45" t="s">
        <v>279</v>
      </c>
      <c r="Y43" s="24" t="s">
        <v>278</v>
      </c>
    </row>
    <row r="44" spans="1:25" ht="45" x14ac:dyDescent="0.25">
      <c r="A44" s="39">
        <v>153108</v>
      </c>
      <c r="B44" s="39">
        <f>VLOOKUP($A44,'Выгр Кат'!$A:$R,B$1,0)</f>
        <v>25084</v>
      </c>
      <c r="C44" s="40" t="str">
        <f>VLOOKUP($A44,'Выгр Кат'!$A:$R,C$1,0)</f>
        <v>Камера заднего вида "AVTOSVET" (подсветка, на железном кронштейне) универсальная</v>
      </c>
      <c r="D44" s="39" t="str">
        <f>VLOOKUP($A44,'Выгр Кат'!$A:$R,D$1,0)</f>
        <v>Y</v>
      </c>
      <c r="E44" s="39" t="str">
        <f>VLOOKUP($A44,'Выгр Кат'!$A:$R,E$1,0)</f>
        <v>1</v>
      </c>
      <c r="F44" s="39">
        <f>VLOOKUP($A44,'Выгр Кат'!$A:$R,F$1,0)</f>
        <v>0</v>
      </c>
      <c r="G44" s="7"/>
      <c r="H44" s="7" t="s">
        <v>3</v>
      </c>
      <c r="I44" s="33">
        <v>500</v>
      </c>
      <c r="J44" s="34">
        <f>VLOOKUP(I44,Наценка!$A$1:$B$8,2,1)</f>
        <v>1.75</v>
      </c>
      <c r="K44" s="35">
        <f t="shared" si="13"/>
        <v>875</v>
      </c>
      <c r="L44" s="36">
        <f t="shared" si="10"/>
        <v>879</v>
      </c>
      <c r="M44" s="39">
        <f>VLOOKUP($A44,'Выгр Кат'!$A:$R,M$1,0)</f>
        <v>500</v>
      </c>
      <c r="N44" s="39">
        <f>VLOOKUP($A44,'Выгр Кат'!$A:$R,N$1,0)</f>
        <v>879</v>
      </c>
      <c r="O44" s="18">
        <f t="shared" si="19"/>
        <v>0</v>
      </c>
      <c r="P44" s="18">
        <f t="shared" si="20"/>
        <v>0</v>
      </c>
      <c r="Q44" s="22">
        <f t="shared" si="4"/>
        <v>817.46999999999991</v>
      </c>
      <c r="R44" s="49" t="str">
        <f>IFERROR((VLOOKUP($A44,'Из ГУГЛа'!$B:$G,6,0)+T44)*S44,VLOOKUP($A44,'Из ГУГЛа'!$B:$G,6,0))</f>
        <v/>
      </c>
      <c r="S44" s="15">
        <v>1</v>
      </c>
      <c r="T44" s="15">
        <v>0</v>
      </c>
      <c r="U44" s="41">
        <f t="shared" si="5"/>
        <v>0.63493999999999984</v>
      </c>
      <c r="V44" s="41" t="str">
        <f t="shared" si="6"/>
        <v/>
      </c>
      <c r="W44" s="41" t="str">
        <f t="shared" si="7"/>
        <v/>
      </c>
      <c r="X44" s="45" t="s">
        <v>272</v>
      </c>
    </row>
    <row r="45" spans="1:25" ht="30" x14ac:dyDescent="0.25">
      <c r="A45" s="39">
        <v>223041</v>
      </c>
      <c r="B45" s="39">
        <f>VLOOKUP($A45,'Выгр Кат'!$A:$R,B$1,0)</f>
        <v>34137</v>
      </c>
      <c r="C45" s="40" t="str">
        <f>VLOOKUP($A45,'Выгр Кат'!$A:$R,C$1,0)</f>
        <v>Указатели поворота "ТехАвтоСвет" под BOSCH для ВАЗ 2110-2112</v>
      </c>
      <c r="D45" s="39" t="str">
        <f>VLOOKUP($A45,'Выгр Кат'!$A:$R,D$1,0)</f>
        <v>Y</v>
      </c>
      <c r="E45" s="39" t="str">
        <f>VLOOKUP($A45,'Выгр Кат'!$A:$R,E$1,0)</f>
        <v>1</v>
      </c>
      <c r="F45" s="39" t="str">
        <f>VLOOKUP($A45,'Выгр Кат'!$A:$R,F$1,0)</f>
        <v>58215B, 58214B</v>
      </c>
      <c r="G45" s="7"/>
      <c r="H45" s="7" t="s">
        <v>3</v>
      </c>
      <c r="I45" s="33">
        <v>500</v>
      </c>
      <c r="J45" s="34">
        <f>VLOOKUP(I45,Наценка!$A$1:$B$8,2,1)</f>
        <v>1.75</v>
      </c>
      <c r="K45" s="51">
        <f>X45*1.02</f>
        <v>999.6</v>
      </c>
      <c r="L45" s="36">
        <f t="shared" si="10"/>
        <v>999</v>
      </c>
      <c r="M45" s="39">
        <f>VLOOKUP($A45,'Выгр Кат'!$A:$R,M$1,0)</f>
        <v>500</v>
      </c>
      <c r="N45" s="39">
        <f>VLOOKUP($A45,'Выгр Кат'!$A:$R,N$1,0)</f>
        <v>999</v>
      </c>
      <c r="O45" s="18">
        <f t="shared" si="19"/>
        <v>0</v>
      </c>
      <c r="P45" s="18">
        <f t="shared" si="20"/>
        <v>0</v>
      </c>
      <c r="Q45" s="22">
        <f t="shared" si="4"/>
        <v>929.06999999999994</v>
      </c>
      <c r="R45" s="49">
        <f>IFERROR((VLOOKUP($A45,'Из ГУГЛа'!$B:$G,6,0)+T45)*S45,VLOOKUP($A45,'Из ГУГЛа'!$B:$G,6,0))</f>
        <v>980</v>
      </c>
      <c r="S45" s="15">
        <v>2</v>
      </c>
      <c r="T45" s="15">
        <v>0</v>
      </c>
      <c r="U45" s="41">
        <f t="shared" si="5"/>
        <v>0.8581399999999999</v>
      </c>
      <c r="V45" s="41">
        <f t="shared" si="6"/>
        <v>5.1969387755102105E-2</v>
      </c>
      <c r="W45" s="41">
        <f t="shared" si="7"/>
        <v>0.96</v>
      </c>
      <c r="X45" s="46">
        <v>980</v>
      </c>
      <c r="Y45" s="24" t="s">
        <v>210</v>
      </c>
    </row>
    <row r="46" spans="1:25" ht="45" x14ac:dyDescent="0.25">
      <c r="A46" s="39">
        <v>223038</v>
      </c>
      <c r="B46" s="39">
        <f>VLOOKUP($A46,'Выгр Кат'!$A:$R,B$1,0)</f>
        <v>17854</v>
      </c>
      <c r="C46" s="40" t="str">
        <f>VLOOKUP($A46,'Выгр Кат'!$A:$R,C$1,0)</f>
        <v>Указатели поворота "СЕВиЕМ" (тонированные) под фары BOSCH для ВАЗ 2113-2115</v>
      </c>
      <c r="D46" s="39" t="str">
        <f>VLOOKUP($A46,'Выгр Кат'!$A:$R,D$1,0)</f>
        <v>Y</v>
      </c>
      <c r="E46" s="39" t="str">
        <f>VLOOKUP($A46,'Выгр Кат'!$A:$R,E$1,0)</f>
        <v>1</v>
      </c>
      <c r="F46" s="39">
        <f>VLOOKUP($A46,'Выгр Кат'!$A:$R,F$1,0)</f>
        <v>0</v>
      </c>
      <c r="G46" s="7"/>
      <c r="H46" s="7" t="s">
        <v>3</v>
      </c>
      <c r="I46" s="33">
        <v>500</v>
      </c>
      <c r="J46" s="34">
        <f>VLOOKUP(I46,Наценка!$A$1:$B$8,2,1)</f>
        <v>1.75</v>
      </c>
      <c r="K46" s="35">
        <f t="shared" si="13"/>
        <v>875</v>
      </c>
      <c r="L46" s="36">
        <f t="shared" si="10"/>
        <v>879</v>
      </c>
      <c r="M46" s="39">
        <f>VLOOKUP($A46,'Выгр Кат'!$A:$R,M$1,0)</f>
        <v>500</v>
      </c>
      <c r="N46" s="39">
        <f>VLOOKUP($A46,'Выгр Кат'!$A:$R,N$1,0)</f>
        <v>879</v>
      </c>
      <c r="O46" s="18">
        <f t="shared" si="19"/>
        <v>0</v>
      </c>
      <c r="P46" s="18">
        <f t="shared" si="20"/>
        <v>0</v>
      </c>
      <c r="Q46" s="22">
        <f t="shared" si="4"/>
        <v>817.46999999999991</v>
      </c>
      <c r="R46" s="49" t="str">
        <f>IFERROR((VLOOKUP($A46,'Из ГУГЛа'!$B:$G,6,0)+T46)*S46,VLOOKUP($A46,'Из ГУГЛа'!$B:$G,6,0))</f>
        <v/>
      </c>
      <c r="S46" s="15">
        <v>1</v>
      </c>
      <c r="T46" s="15">
        <v>0</v>
      </c>
      <c r="U46" s="41">
        <f t="shared" si="5"/>
        <v>0.63493999999999984</v>
      </c>
      <c r="V46" s="41" t="str">
        <f t="shared" si="6"/>
        <v/>
      </c>
      <c r="W46" s="41" t="str">
        <f t="shared" si="7"/>
        <v/>
      </c>
      <c r="X46" s="45" t="s">
        <v>272</v>
      </c>
    </row>
    <row r="47" spans="1:25" ht="45" x14ac:dyDescent="0.25">
      <c r="A47" s="39">
        <v>194089</v>
      </c>
      <c r="B47" s="39">
        <f>VLOOKUP($A47,'Выгр Кат'!$A:$R,B$1,0)</f>
        <v>37551</v>
      </c>
      <c r="C47" s="40" t="str">
        <f>VLOOKUP($A47,'Выгр Кат'!$A:$R,C$1,0)</f>
        <v>Повторители поворотов с анимацией "LEXUS" в зеркала нового образца для Лада Приора</v>
      </c>
      <c r="D47" s="39" t="str">
        <f>VLOOKUP($A47,'Выгр Кат'!$A:$R,D$1,0)</f>
        <v>Y</v>
      </c>
      <c r="E47" s="39" t="str">
        <f>VLOOKUP($A47,'Выгр Кат'!$A:$R,E$1,0)</f>
        <v>1ск1</v>
      </c>
      <c r="F47" s="39">
        <f>VLOOKUP($A47,'Выгр Кат'!$A:$R,F$1,0)</f>
        <v>0</v>
      </c>
      <c r="G47" s="7"/>
      <c r="H47" s="7" t="s">
        <v>3</v>
      </c>
      <c r="I47" s="33">
        <v>500</v>
      </c>
      <c r="J47" s="34">
        <f>VLOOKUP(I47,Наценка!$A$1:$B$8,2,1)</f>
        <v>1.75</v>
      </c>
      <c r="K47" s="35">
        <f t="shared" si="13"/>
        <v>875</v>
      </c>
      <c r="L47" s="36">
        <f t="shared" si="10"/>
        <v>879</v>
      </c>
      <c r="M47" s="39">
        <f>VLOOKUP($A47,'Выгр Кат'!$A:$R,M$1,0)</f>
        <v>500</v>
      </c>
      <c r="N47" s="39">
        <f>VLOOKUP($A47,'Выгр Кат'!$A:$R,N$1,0)</f>
        <v>879</v>
      </c>
      <c r="O47" s="18">
        <f t="shared" si="19"/>
        <v>0</v>
      </c>
      <c r="P47" s="18">
        <f t="shared" si="20"/>
        <v>0</v>
      </c>
      <c r="Q47" s="22">
        <f t="shared" si="4"/>
        <v>817.46999999999991</v>
      </c>
      <c r="R47" s="49" t="str">
        <f>IFERROR((VLOOKUP($A47,'Из ГУГЛа'!$B:$G,6,0)+T47)*S47,VLOOKUP($A47,'Из ГУГЛа'!$B:$G,6,0))</f>
        <v/>
      </c>
      <c r="S47" s="15">
        <v>1</v>
      </c>
      <c r="T47" s="15">
        <v>0</v>
      </c>
      <c r="U47" s="41">
        <f t="shared" si="5"/>
        <v>0.63493999999999984</v>
      </c>
      <c r="V47" s="41" t="str">
        <f t="shared" si="6"/>
        <v/>
      </c>
      <c r="W47" s="41" t="str">
        <f t="shared" si="7"/>
        <v/>
      </c>
      <c r="X47" s="45" t="s">
        <v>273</v>
      </c>
    </row>
    <row r="48" spans="1:25" ht="45" x14ac:dyDescent="0.25">
      <c r="A48" s="39">
        <v>223039</v>
      </c>
      <c r="B48" s="39">
        <f>VLOOKUP($A48,'Выгр Кат'!$A:$R,B$1,0)</f>
        <v>38871</v>
      </c>
      <c r="C48" s="40" t="str">
        <f>VLOOKUP($A48,'Выгр Кат'!$A:$R,C$1,0)</f>
        <v>Указатели поворота "ТехАвтоСвет" аналог BOSCH (белые) для ВАЗ 2110-2112</v>
      </c>
      <c r="D48" s="39" t="str">
        <f>VLOOKUP($A48,'Выгр Кат'!$A:$R,D$1,0)</f>
        <v>Y</v>
      </c>
      <c r="E48" s="39" t="str">
        <f>VLOOKUP($A48,'Выгр Кат'!$A:$R,E$1,0)</f>
        <v>1ск1</v>
      </c>
      <c r="F48" s="39" t="str">
        <f>VLOOKUP($A48,'Выгр Кат'!$A:$R,F$1,0)</f>
        <v>58215B, 58214B</v>
      </c>
      <c r="G48" s="7"/>
      <c r="H48" s="7" t="s">
        <v>3</v>
      </c>
      <c r="I48" s="33">
        <v>500</v>
      </c>
      <c r="J48" s="34">
        <f>VLOOKUP(I48,Наценка!$A$1:$B$8,2,1)</f>
        <v>1.75</v>
      </c>
      <c r="K48" s="35">
        <f t="shared" si="13"/>
        <v>875</v>
      </c>
      <c r="L48" s="36">
        <f t="shared" si="10"/>
        <v>879</v>
      </c>
      <c r="M48" s="39">
        <f>VLOOKUP($A48,'Выгр Кат'!$A:$R,M$1,0)</f>
        <v>500</v>
      </c>
      <c r="N48" s="39">
        <f>VLOOKUP($A48,'Выгр Кат'!$A:$R,N$1,0)</f>
        <v>879</v>
      </c>
      <c r="O48" s="18">
        <f t="shared" si="19"/>
        <v>0</v>
      </c>
      <c r="P48" s="18">
        <f t="shared" si="20"/>
        <v>0</v>
      </c>
      <c r="Q48" s="22">
        <f t="shared" si="4"/>
        <v>817.46999999999991</v>
      </c>
      <c r="R48" s="49" t="str">
        <f>IFERROR((VLOOKUP($A48,'Из ГУГЛа'!$B:$G,6,0)+T48)*S48,VLOOKUP($A48,'Из ГУГЛа'!$B:$G,6,0))</f>
        <v/>
      </c>
      <c r="S48" s="15">
        <v>1</v>
      </c>
      <c r="T48" s="15">
        <v>0</v>
      </c>
      <c r="U48" s="41">
        <f t="shared" si="5"/>
        <v>0.63493999999999984</v>
      </c>
      <c r="V48" s="41" t="str">
        <f t="shared" si="6"/>
        <v/>
      </c>
      <c r="W48" s="41" t="str">
        <f t="shared" si="7"/>
        <v/>
      </c>
      <c r="X48" s="45" t="s">
        <v>272</v>
      </c>
    </row>
    <row r="49" spans="1:25" ht="30" x14ac:dyDescent="0.25">
      <c r="A49" s="39">
        <v>223040</v>
      </c>
      <c r="B49" s="39">
        <f>VLOOKUP($A49,'Выгр Кат'!$A:$R,B$1,0)</f>
        <v>168064</v>
      </c>
      <c r="C49" s="40" t="str">
        <f>VLOOKUP($A49,'Выгр Кат'!$A:$R,C$1,0)</f>
        <v>Указатели поворота "ТехАвтоСвет" аналог Киржач для ВАЗ 2110-2112</v>
      </c>
      <c r="D49" s="39" t="str">
        <f>VLOOKUP($A49,'Выгр Кат'!$A:$R,D$1,0)</f>
        <v>Y</v>
      </c>
      <c r="E49" s="39" t="str">
        <f>VLOOKUP($A49,'Выгр Кат'!$A:$R,E$1,0)</f>
        <v>1</v>
      </c>
      <c r="F49" s="39">
        <f>VLOOKUP($A49,'Выгр Кат'!$A:$R,F$1,0)</f>
        <v>0</v>
      </c>
      <c r="G49" s="7"/>
      <c r="H49" s="7" t="s">
        <v>3</v>
      </c>
      <c r="I49" s="33">
        <v>560</v>
      </c>
      <c r="J49" s="34">
        <f>VLOOKUP(I49,Наценка!$A$1:$B$8,2,1)</f>
        <v>1.75</v>
      </c>
      <c r="K49" s="35">
        <f t="shared" si="13"/>
        <v>980</v>
      </c>
      <c r="L49" s="36">
        <f t="shared" si="10"/>
        <v>979</v>
      </c>
      <c r="M49" s="39">
        <f>VLOOKUP($A49,'Выгр Кат'!$A:$R,M$1,0)</f>
        <v>560</v>
      </c>
      <c r="N49" s="39">
        <f>VLOOKUP($A49,'Выгр Кат'!$A:$R,N$1,0)</f>
        <v>979</v>
      </c>
      <c r="O49" s="18">
        <f t="shared" si="19"/>
        <v>0</v>
      </c>
      <c r="P49" s="18">
        <f t="shared" si="20"/>
        <v>0</v>
      </c>
      <c r="Q49" s="22">
        <f t="shared" si="4"/>
        <v>910.46999999999991</v>
      </c>
      <c r="R49" s="49" t="str">
        <f>IFERROR((VLOOKUP($A49,'Из ГУГЛа'!$B:$G,6,0)+T49)*S49,VLOOKUP($A49,'Из ГУГЛа'!$B:$G,6,0))</f>
        <v/>
      </c>
      <c r="S49" s="15">
        <v>1</v>
      </c>
      <c r="T49" s="15">
        <v>0</v>
      </c>
      <c r="U49" s="41">
        <f t="shared" si="5"/>
        <v>0.6258392857142856</v>
      </c>
      <c r="V49" s="41" t="str">
        <f t="shared" si="6"/>
        <v/>
      </c>
      <c r="W49" s="41" t="str">
        <f t="shared" si="7"/>
        <v/>
      </c>
      <c r="X49" s="45" t="s">
        <v>272</v>
      </c>
    </row>
    <row r="50" spans="1:25" ht="30" x14ac:dyDescent="0.25">
      <c r="A50" s="39">
        <v>217444</v>
      </c>
      <c r="B50" s="39">
        <f>VLOOKUP($A50,'Выгр Кат'!$A:$R,B$1,0)</f>
        <v>35473</v>
      </c>
      <c r="C50" s="40" t="str">
        <f>VLOOKUP($A50,'Выгр Кат'!$A:$R,C$1,0)</f>
        <v>Стёкла задних фонарей "ТехАвтоСвет" для ВАЗ 2108-21099</v>
      </c>
      <c r="D50" s="39" t="str">
        <f>VLOOKUP($A50,'Выгр Кат'!$A:$R,D$1,0)</f>
        <v>Y</v>
      </c>
      <c r="E50" s="39" t="str">
        <f>VLOOKUP($A50,'Выгр Кат'!$A:$R,E$1,0)</f>
        <v>1</v>
      </c>
      <c r="F50" s="39">
        <f>VLOOKUP($A50,'Выгр Кат'!$A:$R,F$1,0)</f>
        <v>0</v>
      </c>
      <c r="G50" s="7"/>
      <c r="H50" s="7" t="s">
        <v>3</v>
      </c>
      <c r="I50" s="33">
        <v>550</v>
      </c>
      <c r="J50" s="34">
        <f>VLOOKUP(I50,Наценка!$A$1:$B$8,2,1)</f>
        <v>1.75</v>
      </c>
      <c r="K50" s="35">
        <f t="shared" si="13"/>
        <v>962.5</v>
      </c>
      <c r="L50" s="36">
        <f t="shared" si="10"/>
        <v>969</v>
      </c>
      <c r="M50" s="39">
        <f>VLOOKUP($A50,'Выгр Кат'!$A:$R,M$1,0)</f>
        <v>550</v>
      </c>
      <c r="N50" s="39">
        <f>VLOOKUP($A50,'Выгр Кат'!$A:$R,N$1,0)</f>
        <v>969</v>
      </c>
      <c r="O50" s="18">
        <f t="shared" si="19"/>
        <v>0</v>
      </c>
      <c r="P50" s="18">
        <f t="shared" si="20"/>
        <v>0</v>
      </c>
      <c r="Q50" s="22">
        <f t="shared" si="4"/>
        <v>901.17</v>
      </c>
      <c r="R50" s="49" t="str">
        <f>IFERROR((VLOOKUP($A50,'Из ГУГЛа'!$B:$G,6,0)+T50)*S50,VLOOKUP($A50,'Из ГУГЛа'!$B:$G,6,0))</f>
        <v/>
      </c>
      <c r="S50" s="15">
        <v>1</v>
      </c>
      <c r="T50" s="15">
        <v>0</v>
      </c>
      <c r="U50" s="41">
        <f t="shared" si="5"/>
        <v>0.638490909090909</v>
      </c>
      <c r="V50" s="41" t="str">
        <f t="shared" si="6"/>
        <v/>
      </c>
      <c r="W50" s="41" t="str">
        <f t="shared" si="7"/>
        <v/>
      </c>
      <c r="X50" s="45" t="s">
        <v>272</v>
      </c>
    </row>
    <row r="51" spans="1:25" ht="30" x14ac:dyDescent="0.25">
      <c r="A51" s="39">
        <v>224199</v>
      </c>
      <c r="B51" s="39">
        <f>VLOOKUP($A51,'Выгр Кат'!$A:$R,B$1,0)</f>
        <v>3833</v>
      </c>
      <c r="C51" s="40" t="str">
        <f>VLOOKUP($A51,'Выгр Кат'!$A:$R,C$1,0)</f>
        <v>Фонарь задний левый "СЕВиЕМ" на Лада Ларгус RF-90</v>
      </c>
      <c r="D51" s="39" t="str">
        <f>VLOOKUP($A51,'Выгр Кат'!$A:$R,D$1,0)</f>
        <v>Y</v>
      </c>
      <c r="E51" s="39" t="str">
        <f>VLOOKUP($A51,'Выгр Кат'!$A:$R,E$1,0)</f>
        <v>1</v>
      </c>
      <c r="F51" s="39">
        <f>VLOOKUP($A51,'Выгр Кат'!$A:$R,F$1,0)</f>
        <v>0</v>
      </c>
      <c r="G51" s="7"/>
      <c r="H51" s="7" t="s">
        <v>3</v>
      </c>
      <c r="I51" s="33">
        <v>550</v>
      </c>
      <c r="J51" s="34">
        <f>VLOOKUP(I51,Наценка!$A$1:$B$8,2,1)</f>
        <v>1.75</v>
      </c>
      <c r="K51" s="50">
        <f t="shared" ref="K51:K52" si="21">X51*1</f>
        <v>1090</v>
      </c>
      <c r="L51" s="36">
        <f t="shared" si="10"/>
        <v>1090</v>
      </c>
      <c r="M51" s="39">
        <f>VLOOKUP($A51,'Выгр Кат'!$A:$R,M$1,0)</f>
        <v>550</v>
      </c>
      <c r="N51" s="39">
        <f>VLOOKUP($A51,'Выгр Кат'!$A:$R,N$1,0)</f>
        <v>1090</v>
      </c>
      <c r="O51" s="18">
        <f t="shared" si="19"/>
        <v>0</v>
      </c>
      <c r="P51" s="18">
        <f t="shared" si="20"/>
        <v>0</v>
      </c>
      <c r="Q51" s="22">
        <f t="shared" si="4"/>
        <v>1013.6999999999999</v>
      </c>
      <c r="R51" s="49">
        <f>IFERROR((VLOOKUP($A51,'Из ГУГЛа'!$B:$G,6,0)+T51)*S51,VLOOKUP($A51,'Из ГУГЛа'!$B:$G,6,0))</f>
        <v>1090</v>
      </c>
      <c r="S51" s="15">
        <v>1</v>
      </c>
      <c r="T51" s="15">
        <v>0</v>
      </c>
      <c r="U51" s="41">
        <f t="shared" si="5"/>
        <v>0.84309090909090889</v>
      </c>
      <c r="V51" s="41">
        <f t="shared" si="6"/>
        <v>7.0000000000000062E-2</v>
      </c>
      <c r="W51" s="41">
        <f t="shared" si="7"/>
        <v>0.98181818181818192</v>
      </c>
      <c r="X51" s="45">
        <v>1090</v>
      </c>
      <c r="Y51" s="24" t="s">
        <v>280</v>
      </c>
    </row>
    <row r="52" spans="1:25" ht="30" x14ac:dyDescent="0.25">
      <c r="A52" s="39">
        <v>224226</v>
      </c>
      <c r="B52" s="39">
        <f>VLOOKUP($A52,'Выгр Кат'!$A:$R,B$1,0)</f>
        <v>3834</v>
      </c>
      <c r="C52" s="40" t="str">
        <f>VLOOKUP($A52,'Выгр Кат'!$A:$R,C$1,0)</f>
        <v>Фонарь задний правый "СЕВиЕМ" на Лада Ларгус RF-90</v>
      </c>
      <c r="D52" s="39" t="str">
        <f>VLOOKUP($A52,'Выгр Кат'!$A:$R,D$1,0)</f>
        <v>Y</v>
      </c>
      <c r="E52" s="39" t="str">
        <f>VLOOKUP($A52,'Выгр Кат'!$A:$R,E$1,0)</f>
        <v>1</v>
      </c>
      <c r="F52" s="39">
        <f>VLOOKUP($A52,'Выгр Кат'!$A:$R,F$1,0)</f>
        <v>0</v>
      </c>
      <c r="G52" s="7"/>
      <c r="H52" s="7" t="s">
        <v>3</v>
      </c>
      <c r="I52" s="33">
        <v>550</v>
      </c>
      <c r="J52" s="34">
        <f>VLOOKUP(I52,Наценка!$A$1:$B$8,2,1)</f>
        <v>1.75</v>
      </c>
      <c r="K52" s="50">
        <f t="shared" si="21"/>
        <v>1090</v>
      </c>
      <c r="L52" s="36">
        <f t="shared" si="10"/>
        <v>1090</v>
      </c>
      <c r="M52" s="39">
        <f>VLOOKUP($A52,'Выгр Кат'!$A:$R,M$1,0)</f>
        <v>550</v>
      </c>
      <c r="N52" s="39">
        <f>VLOOKUP($A52,'Выгр Кат'!$A:$R,N$1,0)</f>
        <v>1090</v>
      </c>
      <c r="O52" s="18">
        <f t="shared" si="19"/>
        <v>0</v>
      </c>
      <c r="P52" s="18">
        <f t="shared" si="20"/>
        <v>0</v>
      </c>
      <c r="Q52" s="22">
        <f t="shared" si="4"/>
        <v>1013.6999999999999</v>
      </c>
      <c r="R52" s="49">
        <f>IFERROR((VLOOKUP($A52,'Из ГУГЛа'!$B:$G,6,0)+T52)*S52,VLOOKUP($A52,'Из ГУГЛа'!$B:$G,6,0))</f>
        <v>1090</v>
      </c>
      <c r="S52" s="15">
        <v>1</v>
      </c>
      <c r="T52" s="15">
        <v>0</v>
      </c>
      <c r="U52" s="41">
        <f t="shared" si="5"/>
        <v>0.84309090909090889</v>
      </c>
      <c r="V52" s="41">
        <f t="shared" si="6"/>
        <v>7.0000000000000062E-2</v>
      </c>
      <c r="W52" s="41">
        <f t="shared" si="7"/>
        <v>0.98181818181818192</v>
      </c>
      <c r="X52" s="45">
        <v>1090</v>
      </c>
      <c r="Y52" s="24" t="s">
        <v>281</v>
      </c>
    </row>
    <row r="53" spans="1:25" ht="30" x14ac:dyDescent="0.25">
      <c r="A53" s="39">
        <v>155778</v>
      </c>
      <c r="B53" s="39">
        <f>VLOOKUP($A53,'Выгр Кат'!$A:$R,B$1,0)</f>
        <v>29053</v>
      </c>
      <c r="C53" s="40" t="str">
        <f>VLOOKUP($A53,'Выгр Кат'!$A:$R,C$1,0)</f>
        <v>Катафоты в задний бампер (плазма, 3 режима) для Лада Приора 2</v>
      </c>
      <c r="D53" s="39" t="str">
        <f>VLOOKUP($A53,'Выгр Кат'!$A:$R,D$1,0)</f>
        <v>Y</v>
      </c>
      <c r="E53" s="39" t="str">
        <f>VLOOKUP($A53,'Выгр Кат'!$A:$R,E$1,0)</f>
        <v>1</v>
      </c>
      <c r="F53" s="39">
        <f>VLOOKUP($A53,'Выгр Кат'!$A:$R,F$1,0)</f>
        <v>0</v>
      </c>
      <c r="G53" s="7"/>
      <c r="H53" s="7" t="s">
        <v>3</v>
      </c>
      <c r="I53" s="33">
        <v>600</v>
      </c>
      <c r="J53" s="34">
        <f>VLOOKUP(I53,Наценка!$A$1:$B$8,2,1)</f>
        <v>1.75</v>
      </c>
      <c r="K53" s="35">
        <f t="shared" si="13"/>
        <v>1050</v>
      </c>
      <c r="L53" s="36">
        <f t="shared" si="10"/>
        <v>1090</v>
      </c>
      <c r="M53" s="39">
        <f>VLOOKUP($A53,'Выгр Кат'!$A:$R,M$1,0)</f>
        <v>600</v>
      </c>
      <c r="N53" s="39">
        <f>VLOOKUP($A53,'Выгр Кат'!$A:$R,N$1,0)</f>
        <v>1090</v>
      </c>
      <c r="O53" s="18">
        <f t="shared" si="19"/>
        <v>0</v>
      </c>
      <c r="P53" s="18">
        <f t="shared" si="20"/>
        <v>0</v>
      </c>
      <c r="Q53" s="22">
        <f t="shared" si="4"/>
        <v>1013.6999999999999</v>
      </c>
      <c r="R53" s="49" t="str">
        <f>IFERROR((VLOOKUP($A53,'Из ГУГЛа'!$B:$G,6,0)+T53)*S53,VLOOKUP($A53,'Из ГУГЛа'!$B:$G,6,0))</f>
        <v/>
      </c>
      <c r="S53" s="15">
        <v>1</v>
      </c>
      <c r="T53" s="15">
        <v>0</v>
      </c>
      <c r="U53" s="41">
        <f t="shared" si="5"/>
        <v>0.68949999999999978</v>
      </c>
      <c r="V53" s="41" t="str">
        <f t="shared" si="6"/>
        <v/>
      </c>
      <c r="W53" s="41" t="str">
        <f t="shared" si="7"/>
        <v/>
      </c>
      <c r="X53" s="45" t="s">
        <v>273</v>
      </c>
    </row>
    <row r="54" spans="1:25" ht="30" x14ac:dyDescent="0.25">
      <c r="A54" s="39">
        <v>194070</v>
      </c>
      <c r="B54" s="39">
        <f>VLOOKUP($A54,'Выгр Кат'!$A:$R,B$1,0)</f>
        <v>23760</v>
      </c>
      <c r="C54" s="40" t="str">
        <f>VLOOKUP($A54,'Выгр Кат'!$A:$R,C$1,0)</f>
        <v>Повторители поворота (плавающие, RGB, без тонировки) для Лада Приора</v>
      </c>
      <c r="D54" s="39" t="str">
        <f>VLOOKUP($A54,'Выгр Кат'!$A:$R,D$1,0)</f>
        <v>Y</v>
      </c>
      <c r="E54" s="39" t="str">
        <f>VLOOKUP($A54,'Выгр Кат'!$A:$R,E$1,0)</f>
        <v>1</v>
      </c>
      <c r="F54" s="39">
        <f>VLOOKUP($A54,'Выгр Кат'!$A:$R,F$1,0)</f>
        <v>0</v>
      </c>
      <c r="G54" s="7"/>
      <c r="H54" s="7" t="s">
        <v>3</v>
      </c>
      <c r="I54" s="33">
        <v>600</v>
      </c>
      <c r="J54" s="34">
        <f>VLOOKUP(I54,Наценка!$A$1:$B$8,2,1)</f>
        <v>1.75</v>
      </c>
      <c r="K54" s="50">
        <f>X54*1</f>
        <v>990</v>
      </c>
      <c r="L54" s="36">
        <f t="shared" si="10"/>
        <v>989</v>
      </c>
      <c r="M54" s="39">
        <f>VLOOKUP($A54,'Выгр Кат'!$A:$R,M$1,0)</f>
        <v>600</v>
      </c>
      <c r="N54" s="39">
        <f>VLOOKUP($A54,'Выгр Кат'!$A:$R,N$1,0)</f>
        <v>989</v>
      </c>
      <c r="O54" s="18">
        <f t="shared" si="19"/>
        <v>0</v>
      </c>
      <c r="P54" s="18">
        <f t="shared" si="20"/>
        <v>0</v>
      </c>
      <c r="Q54" s="22">
        <f t="shared" si="4"/>
        <v>919.77</v>
      </c>
      <c r="R54" s="49">
        <f>IFERROR((VLOOKUP($A54,'Из ГУГЛа'!$B:$G,6,0)+T54)*S54,VLOOKUP($A54,'Из ГУГЛа'!$B:$G,6,0))</f>
        <v>990</v>
      </c>
      <c r="S54" s="15">
        <v>1</v>
      </c>
      <c r="T54" s="15">
        <v>0</v>
      </c>
      <c r="U54" s="41">
        <f t="shared" si="5"/>
        <v>0.53295000000000003</v>
      </c>
      <c r="V54" s="41">
        <f t="shared" si="6"/>
        <v>7.0939393939393955E-2</v>
      </c>
      <c r="W54" s="41">
        <f t="shared" si="7"/>
        <v>0.64999999999999991</v>
      </c>
      <c r="X54" s="45">
        <v>990</v>
      </c>
      <c r="Y54" s="24" t="s">
        <v>285</v>
      </c>
    </row>
    <row r="55" spans="1:25" ht="60.75" thickBot="1" x14ac:dyDescent="0.3">
      <c r="A55" s="39">
        <v>143693</v>
      </c>
      <c r="B55" s="39">
        <f>VLOOKUP($A55,'Выгр Кат'!$A:$R,B$1,0)</f>
        <v>30466</v>
      </c>
      <c r="C55" s="40" t="str">
        <f>VLOOKUP($A55,'Выгр Кат'!$A:$R,C$1,0)</f>
        <v>Динамические повторители поворота "мульти-плазма", с узором "стрелки" в зеркала старого образца для Лада Веста</v>
      </c>
      <c r="D55" s="39" t="str">
        <f>VLOOKUP($A55,'Выгр Кат'!$A:$R,D$1,0)</f>
        <v>Y</v>
      </c>
      <c r="E55" s="39" t="str">
        <f>VLOOKUP($A55,'Выгр Кат'!$A:$R,E$1,0)</f>
        <v>1</v>
      </c>
      <c r="F55" s="39">
        <f>VLOOKUP($A55,'Выгр Кат'!$A:$R,F$1,0)</f>
        <v>0</v>
      </c>
      <c r="G55" s="7"/>
      <c r="H55" s="7" t="s">
        <v>3</v>
      </c>
      <c r="I55" s="33">
        <v>950</v>
      </c>
      <c r="J55" s="34">
        <f>VLOOKUP(I55,Наценка!$A$1:$B$8,2,1)</f>
        <v>1.75</v>
      </c>
      <c r="K55" s="54">
        <f t="shared" ref="K55" si="22">X55*1.07</f>
        <v>1594.3000000000002</v>
      </c>
      <c r="L55" s="36">
        <f t="shared" si="10"/>
        <v>1590</v>
      </c>
      <c r="M55" s="39">
        <f>VLOOKUP($A55,'Выгр Кат'!$A:$R,M$1,0)</f>
        <v>950</v>
      </c>
      <c r="N55" s="39">
        <f>VLOOKUP($A55,'Выгр Кат'!$A:$R,N$1,0)</f>
        <v>1590</v>
      </c>
      <c r="O55" s="18">
        <f t="shared" si="19"/>
        <v>0</v>
      </c>
      <c r="P55" s="18">
        <f t="shared" si="20"/>
        <v>0</v>
      </c>
      <c r="Q55" s="22">
        <f t="shared" si="4"/>
        <v>1478.6999999999998</v>
      </c>
      <c r="R55" s="49">
        <f>IFERROR((VLOOKUP($A55,'Из ГУГЛа'!$B:$G,6,0)+T55)*S55,VLOOKUP($A55,'Из ГУГЛа'!$B:$G,6,0))</f>
        <v>1490</v>
      </c>
      <c r="S55" s="15">
        <v>1</v>
      </c>
      <c r="T55" s="15">
        <v>0</v>
      </c>
      <c r="U55" s="41">
        <f t="shared" si="5"/>
        <v>0.55652631578947354</v>
      </c>
      <c r="V55" s="41">
        <f t="shared" si="6"/>
        <v>7.5838926174497867E-3</v>
      </c>
      <c r="W55" s="41">
        <f t="shared" si="7"/>
        <v>0.56842105263157894</v>
      </c>
      <c r="X55" s="44">
        <v>1490</v>
      </c>
      <c r="Y55" s="24" t="s">
        <v>211</v>
      </c>
    </row>
    <row r="56" spans="1:25" ht="60.75" thickTop="1" x14ac:dyDescent="0.25">
      <c r="A56" s="39">
        <v>143695</v>
      </c>
      <c r="B56" s="39">
        <f>VLOOKUP($A56,'Выгр Кат'!$A:$R,B$1,0)</f>
        <v>32581</v>
      </c>
      <c r="C56" s="40" t="str">
        <f>VLOOKUP($A56,'Выгр Кат'!$A:$R,C$1,0)</f>
        <v>Динамические повторители поворота "плазма" тонированные в зеркала старого образца для Лада Веста (до 2019 года выпуска)</v>
      </c>
      <c r="D56" s="39" t="str">
        <f>VLOOKUP($A56,'Выгр Кат'!$A:$R,D$1,0)</f>
        <v>Y</v>
      </c>
      <c r="E56" s="39" t="str">
        <f>VLOOKUP($A56,'Выгр Кат'!$A:$R,E$1,0)</f>
        <v>1</v>
      </c>
      <c r="F56" s="39">
        <f>VLOOKUP($A56,'Выгр Кат'!$A:$R,F$1,0)</f>
        <v>0</v>
      </c>
      <c r="G56" s="7"/>
      <c r="H56" s="7" t="s">
        <v>3</v>
      </c>
      <c r="I56" s="33">
        <v>750</v>
      </c>
      <c r="J56" s="34">
        <f>VLOOKUP(I56,Наценка!$A$1:$B$8,2,1)</f>
        <v>1.75</v>
      </c>
      <c r="K56" s="35">
        <f t="shared" si="13"/>
        <v>1312.5</v>
      </c>
      <c r="L56" s="36">
        <f t="shared" si="10"/>
        <v>1390</v>
      </c>
      <c r="M56" s="39">
        <f>VLOOKUP($A56,'Выгр Кат'!$A:$R,M$1,0)</f>
        <v>750</v>
      </c>
      <c r="N56" s="39">
        <f>VLOOKUP($A56,'Выгр Кат'!$A:$R,N$1,0)</f>
        <v>1390</v>
      </c>
      <c r="O56" s="18">
        <f t="shared" si="19"/>
        <v>0</v>
      </c>
      <c r="P56" s="18">
        <f t="shared" si="20"/>
        <v>0</v>
      </c>
      <c r="Q56" s="22">
        <f t="shared" si="4"/>
        <v>1292.6999999999998</v>
      </c>
      <c r="R56" s="49" t="str">
        <f>IFERROR((VLOOKUP($A56,'Из ГУГЛа'!$B:$G,6,0)+T56)*S56,VLOOKUP($A56,'Из ГУГЛа'!$B:$G,6,0))</f>
        <v/>
      </c>
      <c r="S56" s="15">
        <v>1</v>
      </c>
      <c r="T56" s="15">
        <v>0</v>
      </c>
      <c r="U56" s="41">
        <f t="shared" si="5"/>
        <v>0.7235999999999998</v>
      </c>
      <c r="V56" s="41" t="str">
        <f t="shared" si="6"/>
        <v/>
      </c>
      <c r="W56" s="41" t="str">
        <f t="shared" si="7"/>
        <v/>
      </c>
      <c r="X56" s="45" t="s">
        <v>273</v>
      </c>
    </row>
    <row r="57" spans="1:25" ht="30" x14ac:dyDescent="0.25">
      <c r="A57" s="39">
        <v>218486</v>
      </c>
      <c r="B57" s="39">
        <f>VLOOKUP($A57,'Выгр Кат'!$A:$R,B$1,0)</f>
        <v>18637</v>
      </c>
      <c r="C57" s="40" t="str">
        <f>VLOOKUP($A57,'Выгр Кат'!$A:$R,C$1,0)</f>
        <v>Строб контроллер с пультом дистанционного управления</v>
      </c>
      <c r="D57" s="39" t="str">
        <f>VLOOKUP($A57,'Выгр Кат'!$A:$R,D$1,0)</f>
        <v>Y</v>
      </c>
      <c r="E57" s="39" t="str">
        <f>VLOOKUP($A57,'Выгр Кат'!$A:$R,E$1,0)</f>
        <v>1</v>
      </c>
      <c r="F57" s="39">
        <f>VLOOKUP($A57,'Выгр Кат'!$A:$R,F$1,0)</f>
        <v>0</v>
      </c>
      <c r="G57" s="7"/>
      <c r="H57" s="7" t="s">
        <v>3</v>
      </c>
      <c r="I57" s="33">
        <v>600</v>
      </c>
      <c r="J57" s="34">
        <f>VLOOKUP(I57,Наценка!$A$1:$B$8,2,1)</f>
        <v>1.75</v>
      </c>
      <c r="K57" s="35">
        <f t="shared" si="13"/>
        <v>1050</v>
      </c>
      <c r="L57" s="36">
        <f t="shared" si="10"/>
        <v>1090</v>
      </c>
      <c r="M57" s="39">
        <f>VLOOKUP($A57,'Выгр Кат'!$A:$R,M$1,0)</f>
        <v>600</v>
      </c>
      <c r="N57" s="39">
        <f>VLOOKUP($A57,'Выгр Кат'!$A:$R,N$1,0)</f>
        <v>1090</v>
      </c>
      <c r="O57" s="18">
        <f t="shared" si="19"/>
        <v>0</v>
      </c>
      <c r="P57" s="18">
        <f t="shared" si="20"/>
        <v>0</v>
      </c>
      <c r="Q57" s="22">
        <f t="shared" si="4"/>
        <v>1013.6999999999999</v>
      </c>
      <c r="R57" s="49" t="str">
        <f>IFERROR((VLOOKUP($A57,'Из ГУГЛа'!$B:$G,6,0)+T57)*S57,VLOOKUP($A57,'Из ГУГЛа'!$B:$G,6,0))</f>
        <v/>
      </c>
      <c r="S57" s="15">
        <v>1</v>
      </c>
      <c r="T57" s="15">
        <v>0</v>
      </c>
      <c r="U57" s="41">
        <f t="shared" si="5"/>
        <v>0.68949999999999978</v>
      </c>
      <c r="V57" s="41" t="str">
        <f t="shared" si="6"/>
        <v/>
      </c>
      <c r="W57" s="41" t="str">
        <f t="shared" si="7"/>
        <v/>
      </c>
      <c r="X57" s="45" t="s">
        <v>272</v>
      </c>
    </row>
    <row r="58" spans="1:25" ht="45.75" thickBot="1" x14ac:dyDescent="0.3">
      <c r="A58" s="39">
        <v>143751</v>
      </c>
      <c r="B58" s="39">
        <f>VLOOKUP($A58,'Выгр Кат'!$A:$R,B$1,0)</f>
        <v>24649</v>
      </c>
      <c r="C58" s="40" t="str">
        <f>VLOOKUP($A58,'Выгр Кат'!$A:$R,C$1,0)</f>
        <v>Диодные накладки бампера в стиле Lexus, красные, с узором "Y" (ZFT-393 (6)) для Лада Приора 2</v>
      </c>
      <c r="D58" s="39" t="str">
        <f>VLOOKUP($A58,'Выгр Кат'!$A:$R,D$1,0)</f>
        <v>Y</v>
      </c>
      <c r="E58" s="39" t="str">
        <f>VLOOKUP($A58,'Выгр Кат'!$A:$R,E$1,0)</f>
        <v>1</v>
      </c>
      <c r="F58" s="39">
        <f>VLOOKUP($A58,'Выгр Кат'!$A:$R,F$1,0)</f>
        <v>0</v>
      </c>
      <c r="G58" s="7"/>
      <c r="H58" s="7" t="s">
        <v>3</v>
      </c>
      <c r="I58" s="33">
        <v>600</v>
      </c>
      <c r="J58" s="34">
        <f>VLOOKUP(I58,Наценка!$A$1:$B$8,2,1)</f>
        <v>1.75</v>
      </c>
      <c r="K58" s="50">
        <f t="shared" ref="K58" si="23">X58*1</f>
        <v>1390</v>
      </c>
      <c r="L58" s="36">
        <f t="shared" si="10"/>
        <v>1390</v>
      </c>
      <c r="M58" s="39">
        <f>VLOOKUP($A58,'Выгр Кат'!$A:$R,M$1,0)</f>
        <v>600</v>
      </c>
      <c r="N58" s="39">
        <f>VLOOKUP($A58,'Выгр Кат'!$A:$R,N$1,0)</f>
        <v>1390</v>
      </c>
      <c r="O58" s="18">
        <f t="shared" si="19"/>
        <v>0</v>
      </c>
      <c r="P58" s="18">
        <f t="shared" si="20"/>
        <v>0</v>
      </c>
      <c r="Q58" s="22">
        <f t="shared" si="4"/>
        <v>1292.6999999999998</v>
      </c>
      <c r="R58" s="49">
        <f>IFERROR((VLOOKUP($A58,'Из ГУГЛа'!$B:$G,6,0)+T58)*S58,VLOOKUP($A58,'Из ГУГЛа'!$B:$G,6,0))</f>
        <v>1390</v>
      </c>
      <c r="S58" s="15">
        <v>1</v>
      </c>
      <c r="T58" s="15">
        <v>0</v>
      </c>
      <c r="U58" s="41">
        <f t="shared" si="5"/>
        <v>1.1544999999999996</v>
      </c>
      <c r="V58" s="41">
        <f t="shared" si="6"/>
        <v>7.0000000000000132E-2</v>
      </c>
      <c r="W58" s="41">
        <f t="shared" si="7"/>
        <v>1.3166666666666669</v>
      </c>
      <c r="X58" s="44">
        <v>1390</v>
      </c>
      <c r="Y58" s="24" t="s">
        <v>191</v>
      </c>
    </row>
    <row r="59" spans="1:25" ht="45.75" thickTop="1" x14ac:dyDescent="0.25">
      <c r="A59" s="39">
        <v>143755</v>
      </c>
      <c r="B59" s="39">
        <f>VLOOKUP($A59,'Выгр Кат'!$A:$R,B$1,0)</f>
        <v>24650</v>
      </c>
      <c r="C59" s="40" t="str">
        <f>VLOOKUP($A59,'Выгр Кат'!$A:$R,C$1,0)</f>
        <v>Диодные накладки бампера в стиле Lexus, чёрные, с узором "Y" (ZFT-393 (6)) для Лада Приора 2</v>
      </c>
      <c r="D59" s="39" t="str">
        <f>VLOOKUP($A59,'Выгр Кат'!$A:$R,D$1,0)</f>
        <v>Y</v>
      </c>
      <c r="E59" s="39" t="str">
        <f>VLOOKUP($A59,'Выгр Кат'!$A:$R,E$1,0)</f>
        <v>1</v>
      </c>
      <c r="F59" s="39">
        <f>VLOOKUP($A59,'Выгр Кат'!$A:$R,F$1,0)</f>
        <v>0</v>
      </c>
      <c r="G59" s="7"/>
      <c r="H59" s="7" t="s">
        <v>3</v>
      </c>
      <c r="I59" s="33">
        <v>600</v>
      </c>
      <c r="J59" s="34">
        <f>VLOOKUP(I59,Наценка!$A$1:$B$8,2,1)</f>
        <v>1.75</v>
      </c>
      <c r="K59" s="50">
        <v>1390</v>
      </c>
      <c r="L59" s="36">
        <f t="shared" si="10"/>
        <v>1390</v>
      </c>
      <c r="M59" s="39">
        <f>VLOOKUP($A59,'Выгр Кат'!$A:$R,M$1,0)</f>
        <v>600</v>
      </c>
      <c r="N59" s="39">
        <f>VLOOKUP($A59,'Выгр Кат'!$A:$R,N$1,0)</f>
        <v>1390</v>
      </c>
      <c r="O59" s="18">
        <f t="shared" si="19"/>
        <v>0</v>
      </c>
      <c r="P59" s="18">
        <f t="shared" si="20"/>
        <v>0</v>
      </c>
      <c r="Q59" s="22">
        <f t="shared" si="4"/>
        <v>1292.6999999999998</v>
      </c>
      <c r="R59" s="49">
        <f>IFERROR((VLOOKUP($A59,'Из ГУГЛа'!$B:$G,6,0)+T59)*S59,VLOOKUP($A59,'Из ГУГЛа'!$B:$G,6,0))</f>
        <v>1390</v>
      </c>
      <c r="S59" s="15">
        <v>1</v>
      </c>
      <c r="T59" s="15">
        <v>0</v>
      </c>
      <c r="U59" s="41">
        <f t="shared" si="5"/>
        <v>1.1544999999999996</v>
      </c>
      <c r="V59" s="41" t="str">
        <f t="shared" si="6"/>
        <v/>
      </c>
      <c r="W59" s="41" t="str">
        <f t="shared" si="7"/>
        <v/>
      </c>
      <c r="X59" s="45" t="s">
        <v>286</v>
      </c>
      <c r="Y59" s="24" t="s">
        <v>191</v>
      </c>
    </row>
    <row r="60" spans="1:25" ht="45.75" thickBot="1" x14ac:dyDescent="0.3">
      <c r="A60" s="39">
        <v>143753</v>
      </c>
      <c r="B60" s="39">
        <f>VLOOKUP($A60,'Выгр Кат'!$A:$R,B$1,0)</f>
        <v>24651</v>
      </c>
      <c r="C60" s="40" t="str">
        <f>VLOOKUP($A60,'Выгр Кат'!$A:$R,C$1,0)</f>
        <v>Диодные накладки бампера в стиле Lexus, красные, с узором "Стрелки" (ZFT-394 (10)) для Лада Приора 2</v>
      </c>
      <c r="D60" s="39" t="str">
        <f>VLOOKUP($A60,'Выгр Кат'!$A:$R,D$1,0)</f>
        <v>Y</v>
      </c>
      <c r="E60" s="39" t="str">
        <f>VLOOKUP($A60,'Выгр Кат'!$A:$R,E$1,0)</f>
        <v>1</v>
      </c>
      <c r="F60" s="39">
        <f>VLOOKUP($A60,'Выгр Кат'!$A:$R,F$1,0)</f>
        <v>0</v>
      </c>
      <c r="G60" s="7"/>
      <c r="H60" s="7" t="s">
        <v>3</v>
      </c>
      <c r="I60" s="33">
        <v>600</v>
      </c>
      <c r="J60" s="34">
        <f>VLOOKUP(I60,Наценка!$A$1:$B$8,2,1)</f>
        <v>1.75</v>
      </c>
      <c r="K60" s="52">
        <f t="shared" ref="K60" si="24">X60*1.04</f>
        <v>1298.96</v>
      </c>
      <c r="L60" s="36">
        <f t="shared" si="10"/>
        <v>1290</v>
      </c>
      <c r="M60" s="39">
        <f>VLOOKUP($A60,'Выгр Кат'!$A:$R,M$1,0)</f>
        <v>600</v>
      </c>
      <c r="N60" s="39">
        <f>VLOOKUP($A60,'Выгр Кат'!$A:$R,N$1,0)</f>
        <v>1290</v>
      </c>
      <c r="O60" s="18">
        <f t="shared" si="19"/>
        <v>0</v>
      </c>
      <c r="P60" s="18">
        <f t="shared" si="20"/>
        <v>0</v>
      </c>
      <c r="Q60" s="22">
        <f t="shared" ref="Q60:Q116" si="25">IFERROR(L60*(1-$Q$2),"")</f>
        <v>1199.6999999999998</v>
      </c>
      <c r="R60" s="49">
        <f>IFERROR((VLOOKUP($A60,'Из ГУГЛа'!$B:$G,6,0)+T60)*S60,VLOOKUP($A60,'Из ГУГЛа'!$B:$G,6,0))</f>
        <v>1249</v>
      </c>
      <c r="S60" s="15">
        <v>1</v>
      </c>
      <c r="T60" s="15">
        <v>0</v>
      </c>
      <c r="U60" s="41">
        <f t="shared" ref="U60:U116" si="26">IFERROR(Q60/I60-1,"")</f>
        <v>0.99949999999999961</v>
      </c>
      <c r="V60" s="41">
        <f t="shared" ref="V60:V116" si="27">IFERROR((X60-Q60)/X60,"")</f>
        <v>3.9471577261809596E-2</v>
      </c>
      <c r="W60" s="41">
        <f t="shared" ref="W60:W116" si="28">IFERROR(IF(X60="","",X60/I60-1),"")</f>
        <v>1.0816666666666666</v>
      </c>
      <c r="X60" s="44">
        <v>1249</v>
      </c>
      <c r="Y60" s="24" t="s">
        <v>192</v>
      </c>
    </row>
    <row r="61" spans="1:25" ht="45.75" thickTop="1" x14ac:dyDescent="0.25">
      <c r="A61" s="39">
        <v>143757</v>
      </c>
      <c r="B61" s="39">
        <f>VLOOKUP($A61,'Выгр Кат'!$A:$R,B$1,0)</f>
        <v>24652</v>
      </c>
      <c r="C61" s="40" t="str">
        <f>VLOOKUP($A61,'Выгр Кат'!$A:$R,C$1,0)</f>
        <v>Диодные накладки бампера в стиле Lexus, чёрные, с узором "Стрелки" (ZFT-394 (10)) для Лада Приора 2</v>
      </c>
      <c r="D61" s="39" t="str">
        <f>VLOOKUP($A61,'Выгр Кат'!$A:$R,D$1,0)</f>
        <v>Y</v>
      </c>
      <c r="E61" s="39" t="str">
        <f>VLOOKUP($A61,'Выгр Кат'!$A:$R,E$1,0)</f>
        <v>1</v>
      </c>
      <c r="F61" s="39">
        <f>VLOOKUP($A61,'Выгр Кат'!$A:$R,F$1,0)</f>
        <v>0</v>
      </c>
      <c r="G61" s="7"/>
      <c r="H61" s="7" t="s">
        <v>3</v>
      </c>
      <c r="I61" s="33">
        <v>600</v>
      </c>
      <c r="J61" s="34">
        <f>VLOOKUP(I61,Наценка!$A$1:$B$8,2,1)</f>
        <v>1.75</v>
      </c>
      <c r="K61" s="50">
        <v>1250</v>
      </c>
      <c r="L61" s="36">
        <f t="shared" si="10"/>
        <v>1290</v>
      </c>
      <c r="M61" s="39">
        <f>VLOOKUP($A61,'Выгр Кат'!$A:$R,M$1,0)</f>
        <v>600</v>
      </c>
      <c r="N61" s="39">
        <f>VLOOKUP($A61,'Выгр Кат'!$A:$R,N$1,0)</f>
        <v>1290</v>
      </c>
      <c r="O61" s="18">
        <f t="shared" si="19"/>
        <v>0</v>
      </c>
      <c r="P61" s="18">
        <f t="shared" si="20"/>
        <v>0</v>
      </c>
      <c r="Q61" s="22">
        <f t="shared" si="25"/>
        <v>1199.6999999999998</v>
      </c>
      <c r="R61" s="49">
        <f>IFERROR((VLOOKUP($A61,'Из ГУГЛа'!$B:$G,6,0)+T61)*S61,VLOOKUP($A61,'Из ГУГЛа'!$B:$G,6,0))</f>
        <v>1249</v>
      </c>
      <c r="S61" s="15">
        <v>1</v>
      </c>
      <c r="T61" s="15">
        <v>0</v>
      </c>
      <c r="U61" s="41">
        <f t="shared" si="26"/>
        <v>0.99949999999999961</v>
      </c>
      <c r="V61" s="41" t="str">
        <f t="shared" si="27"/>
        <v/>
      </c>
      <c r="W61" s="41" t="str">
        <f t="shared" si="28"/>
        <v/>
      </c>
      <c r="X61" s="45" t="s">
        <v>282</v>
      </c>
      <c r="Y61" s="24" t="s">
        <v>192</v>
      </c>
    </row>
    <row r="62" spans="1:25" ht="45.75" thickBot="1" x14ac:dyDescent="0.3">
      <c r="A62" s="39">
        <v>143754</v>
      </c>
      <c r="B62" s="39">
        <f>VLOOKUP($A62,'Выгр Кат'!$A:$R,B$1,0)</f>
        <v>24654</v>
      </c>
      <c r="C62" s="40" t="str">
        <f>VLOOKUP($A62,'Выгр Кат'!$A:$R,C$1,0)</f>
        <v>Диодные накладки бампера в стиле Lexus, чёрные, с узором "V" (ZFT-395 (3)) для Лада Приора 2</v>
      </c>
      <c r="D62" s="39" t="str">
        <f>VLOOKUP($A62,'Выгр Кат'!$A:$R,D$1,0)</f>
        <v>Y</v>
      </c>
      <c r="E62" s="39" t="str">
        <f>VLOOKUP($A62,'Выгр Кат'!$A:$R,E$1,0)</f>
        <v>1</v>
      </c>
      <c r="F62" s="39">
        <f>VLOOKUP($A62,'Выгр Кат'!$A:$R,F$1,0)</f>
        <v>0</v>
      </c>
      <c r="G62" s="7"/>
      <c r="H62" s="7" t="s">
        <v>3</v>
      </c>
      <c r="I62" s="33">
        <v>900</v>
      </c>
      <c r="J62" s="34">
        <f>VLOOKUP(I62,Наценка!$A$1:$B$8,2,1)</f>
        <v>1.75</v>
      </c>
      <c r="K62" s="50">
        <v>1290</v>
      </c>
      <c r="L62" s="36">
        <f t="shared" si="10"/>
        <v>1290</v>
      </c>
      <c r="M62" s="39">
        <f>VLOOKUP($A62,'Выгр Кат'!$A:$R,M$1,0)</f>
        <v>900</v>
      </c>
      <c r="N62" s="39">
        <f>VLOOKUP($A62,'Выгр Кат'!$A:$R,N$1,0)</f>
        <v>1290</v>
      </c>
      <c r="O62" s="18">
        <f t="shared" si="19"/>
        <v>0</v>
      </c>
      <c r="P62" s="18">
        <f t="shared" si="20"/>
        <v>0</v>
      </c>
      <c r="Q62" s="22">
        <f t="shared" si="25"/>
        <v>1199.6999999999998</v>
      </c>
      <c r="R62" s="49">
        <f>IFERROR((VLOOKUP($A62,'Из ГУГЛа'!$B:$G,6,0)+T62)*S62,VLOOKUP($A62,'Из ГУГЛа'!$B:$G,6,0))</f>
        <v>1290</v>
      </c>
      <c r="S62" s="15">
        <v>1</v>
      </c>
      <c r="T62" s="15">
        <v>0</v>
      </c>
      <c r="U62" s="41">
        <f t="shared" si="26"/>
        <v>0.33299999999999974</v>
      </c>
      <c r="V62" s="41" t="str">
        <f t="shared" si="27"/>
        <v/>
      </c>
      <c r="W62" s="41" t="str">
        <f t="shared" si="28"/>
        <v/>
      </c>
      <c r="X62" s="47" t="s">
        <v>307</v>
      </c>
      <c r="Y62" s="24" t="s">
        <v>193</v>
      </c>
    </row>
    <row r="63" spans="1:25" ht="45.75" thickTop="1" x14ac:dyDescent="0.25">
      <c r="A63" s="39">
        <v>143752</v>
      </c>
      <c r="B63" s="39">
        <f>VLOOKUP($A63,'Выгр Кат'!$A:$R,B$1,0)</f>
        <v>24655</v>
      </c>
      <c r="C63" s="40" t="str">
        <f>VLOOKUP($A63,'Выгр Кат'!$A:$R,C$1,0)</f>
        <v>Диодные накладки бампера в стиле Lexus, красные, с узором "Скобы" (ZFT-396 (5)) для Лада Приора 2</v>
      </c>
      <c r="D63" s="39" t="str">
        <f>VLOOKUP($A63,'Выгр Кат'!$A:$R,D$1,0)</f>
        <v>Y</v>
      </c>
      <c r="E63" s="39" t="str">
        <f>VLOOKUP($A63,'Выгр Кат'!$A:$R,E$1,0)</f>
        <v>1ск1</v>
      </c>
      <c r="F63" s="39">
        <f>VLOOKUP($A63,'Выгр Кат'!$A:$R,F$1,0)</f>
        <v>0</v>
      </c>
      <c r="G63" s="7"/>
      <c r="H63" s="7" t="s">
        <v>3</v>
      </c>
      <c r="I63" s="33">
        <v>700</v>
      </c>
      <c r="J63" s="34">
        <f>VLOOKUP(I63,Наценка!$A$1:$B$8,2,1)</f>
        <v>1.75</v>
      </c>
      <c r="K63" s="50">
        <v>1290</v>
      </c>
      <c r="L63" s="36">
        <f t="shared" si="10"/>
        <v>1290</v>
      </c>
      <c r="M63" s="39">
        <f>VLOOKUP($A63,'Выгр Кат'!$A:$R,M$1,0)</f>
        <v>700</v>
      </c>
      <c r="N63" s="39">
        <f>VLOOKUP($A63,'Выгр Кат'!$A:$R,N$1,0)</f>
        <v>1290</v>
      </c>
      <c r="O63" s="18">
        <f t="shared" si="19"/>
        <v>0</v>
      </c>
      <c r="P63" s="18">
        <f t="shared" si="20"/>
        <v>0</v>
      </c>
      <c r="Q63" s="22">
        <f t="shared" si="25"/>
        <v>1199.6999999999998</v>
      </c>
      <c r="R63" s="49">
        <f>IFERROR((VLOOKUP($A63,'Из ГУГЛа'!$B:$G,6,0)+T63)*S63,VLOOKUP($A63,'Из ГУГЛа'!$B:$G,6,0))</f>
        <v>1290</v>
      </c>
      <c r="S63" s="15">
        <v>1</v>
      </c>
      <c r="T63" s="15">
        <v>0</v>
      </c>
      <c r="U63" s="41">
        <f t="shared" si="26"/>
        <v>0.71385714285714252</v>
      </c>
      <c r="V63" s="41" t="str">
        <f t="shared" si="27"/>
        <v/>
      </c>
      <c r="W63" s="41" t="str">
        <f t="shared" si="28"/>
        <v/>
      </c>
      <c r="X63" s="45" t="s">
        <v>283</v>
      </c>
      <c r="Y63" s="24" t="s">
        <v>194</v>
      </c>
    </row>
    <row r="64" spans="1:25" ht="45.75" thickBot="1" x14ac:dyDescent="0.3">
      <c r="A64" s="39">
        <v>143756</v>
      </c>
      <c r="B64" s="39">
        <f>VLOOKUP($A64,'Выгр Кат'!$A:$R,B$1,0)</f>
        <v>24656</v>
      </c>
      <c r="C64" s="40" t="str">
        <f>VLOOKUP($A64,'Выгр Кат'!$A:$R,C$1,0)</f>
        <v>Диодные накладки бампера в стиле Lexus, чёрные, с узором "Скобы" (ZFT-396 (5)) для Лада Приора 2</v>
      </c>
      <c r="D64" s="39" t="str">
        <f>VLOOKUP($A64,'Выгр Кат'!$A:$R,D$1,0)</f>
        <v>Y</v>
      </c>
      <c r="E64" s="39" t="str">
        <f>VLOOKUP($A64,'Выгр Кат'!$A:$R,E$1,0)</f>
        <v>1</v>
      </c>
      <c r="F64" s="39">
        <f>VLOOKUP($A64,'Выгр Кат'!$A:$R,F$1,0)</f>
        <v>0</v>
      </c>
      <c r="G64" s="7"/>
      <c r="H64" s="7" t="s">
        <v>3</v>
      </c>
      <c r="I64" s="33">
        <v>600</v>
      </c>
      <c r="J64" s="34">
        <f>VLOOKUP(I64,Наценка!$A$1:$B$8,2,1)</f>
        <v>1.75</v>
      </c>
      <c r="K64" s="50">
        <f t="shared" ref="K64" si="29">X64*1</f>
        <v>1290</v>
      </c>
      <c r="L64" s="36">
        <f t="shared" si="10"/>
        <v>1290</v>
      </c>
      <c r="M64" s="39">
        <f>VLOOKUP($A64,'Выгр Кат'!$A:$R,M$1,0)</f>
        <v>600</v>
      </c>
      <c r="N64" s="39">
        <f>VLOOKUP($A64,'Выгр Кат'!$A:$R,N$1,0)</f>
        <v>1290</v>
      </c>
      <c r="O64" s="18">
        <f t="shared" si="19"/>
        <v>0</v>
      </c>
      <c r="P64" s="18">
        <f t="shared" si="20"/>
        <v>0</v>
      </c>
      <c r="Q64" s="22">
        <f t="shared" si="25"/>
        <v>1199.6999999999998</v>
      </c>
      <c r="R64" s="49">
        <f>IFERROR((VLOOKUP($A64,'Из ГУГЛа'!$B:$G,6,0)+T64)*S64,VLOOKUP($A64,'Из ГУГЛа'!$B:$G,6,0))</f>
        <v>1290</v>
      </c>
      <c r="S64" s="15">
        <v>1</v>
      </c>
      <c r="T64" s="15">
        <v>0</v>
      </c>
      <c r="U64" s="41">
        <f t="shared" si="26"/>
        <v>0.99949999999999961</v>
      </c>
      <c r="V64" s="41">
        <f t="shared" si="27"/>
        <v>7.0000000000000145E-2</v>
      </c>
      <c r="W64" s="41">
        <f t="shared" si="28"/>
        <v>1.1499999999999999</v>
      </c>
      <c r="X64" s="43">
        <v>1290</v>
      </c>
      <c r="Y64" s="24" t="s">
        <v>194</v>
      </c>
    </row>
    <row r="65" spans="1:25" ht="30.75" thickTop="1" x14ac:dyDescent="0.25">
      <c r="A65" s="39">
        <v>155783</v>
      </c>
      <c r="B65" s="39">
        <f>VLOOKUP($A65,'Выгр Кат'!$A:$R,B$1,0)</f>
        <v>29181</v>
      </c>
      <c r="C65" s="40" t="str">
        <f>VLOOKUP($A65,'Выгр Кат'!$A:$R,C$1,0)</f>
        <v>Катафоты заднего бампера (1 режим свечения) для Лада XRAY</v>
      </c>
      <c r="D65" s="39" t="str">
        <f>VLOOKUP($A65,'Выгр Кат'!$A:$R,D$1,0)</f>
        <v>Y</v>
      </c>
      <c r="E65" s="39" t="str">
        <f>VLOOKUP($A65,'Выгр Кат'!$A:$R,E$1,0)</f>
        <v>1</v>
      </c>
      <c r="F65" s="39">
        <f>VLOOKUP($A65,'Выгр Кат'!$A:$R,F$1,0)</f>
        <v>0</v>
      </c>
      <c r="G65" s="7"/>
      <c r="H65" s="7" t="s">
        <v>3</v>
      </c>
      <c r="I65" s="33">
        <v>600</v>
      </c>
      <c r="J65" s="34">
        <f>VLOOKUP(I65,Наценка!$A$1:$B$8,2,1)</f>
        <v>1.75</v>
      </c>
      <c r="K65" s="35">
        <f t="shared" si="13"/>
        <v>1050</v>
      </c>
      <c r="L65" s="36">
        <f t="shared" si="10"/>
        <v>1090</v>
      </c>
      <c r="M65" s="39">
        <f>VLOOKUP($A65,'Выгр Кат'!$A:$R,M$1,0)</f>
        <v>600</v>
      </c>
      <c r="N65" s="39">
        <f>VLOOKUP($A65,'Выгр Кат'!$A:$R,N$1,0)</f>
        <v>1090</v>
      </c>
      <c r="O65" s="18">
        <f t="shared" si="19"/>
        <v>0</v>
      </c>
      <c r="P65" s="18">
        <f t="shared" si="20"/>
        <v>0</v>
      </c>
      <c r="Q65" s="22">
        <f t="shared" si="25"/>
        <v>1013.6999999999999</v>
      </c>
      <c r="R65" s="49" t="str">
        <f>IFERROR((VLOOKUP($A65,'Из ГУГЛа'!$B:$G,6,0)+T65)*S65,VLOOKUP($A65,'Из ГУГЛа'!$B:$G,6,0))</f>
        <v/>
      </c>
      <c r="S65" s="15">
        <v>1</v>
      </c>
      <c r="T65" s="15">
        <v>0</v>
      </c>
      <c r="U65" s="41">
        <f t="shared" si="26"/>
        <v>0.68949999999999978</v>
      </c>
      <c r="V65" s="41" t="str">
        <f t="shared" si="27"/>
        <v/>
      </c>
      <c r="W65" s="41" t="str">
        <f t="shared" si="28"/>
        <v/>
      </c>
      <c r="X65" s="45" t="s">
        <v>272</v>
      </c>
    </row>
    <row r="66" spans="1:25" ht="45" x14ac:dyDescent="0.25">
      <c r="A66" s="39">
        <v>194094</v>
      </c>
      <c r="B66" s="39">
        <f>VLOOKUP($A66,'Выгр Кат'!$A:$R,B$1,0)</f>
        <v>59726</v>
      </c>
      <c r="C66" s="40" t="str">
        <f>VLOOKUP($A66,'Выгр Кат'!$A:$R,C$1,0)</f>
        <v>Повторители тонированные "СЕВиЕМ" под фары  "BOSCH" для ВАЗ 2110-2112</v>
      </c>
      <c r="D66" s="39" t="str">
        <f>VLOOKUP($A66,'Выгр Кат'!$A:$R,D$1,0)</f>
        <v>Y</v>
      </c>
      <c r="E66" s="39" t="str">
        <f>VLOOKUP($A66,'Выгр Кат'!$A:$R,E$1,0)</f>
        <v>1ск1</v>
      </c>
      <c r="F66" s="39">
        <f>VLOOKUP($A66,'Выгр Кат'!$A:$R,F$1,0)</f>
        <v>0</v>
      </c>
      <c r="G66" s="7"/>
      <c r="H66" s="7" t="s">
        <v>3</v>
      </c>
      <c r="I66" s="33">
        <v>600</v>
      </c>
      <c r="J66" s="34">
        <f>VLOOKUP(I66,Наценка!$A$1:$B$8,2,1)</f>
        <v>1.75</v>
      </c>
      <c r="K66" s="35">
        <f t="shared" si="13"/>
        <v>1050</v>
      </c>
      <c r="L66" s="36">
        <f t="shared" ref="L66:L122" si="30">IF(K66&lt;=1000,(ROUNDUP(K66,-1)-1),(ROUNDUP(K66,-2)-10))</f>
        <v>1090</v>
      </c>
      <c r="M66" s="39">
        <f>VLOOKUP($A66,'Выгр Кат'!$A:$R,M$1,0)</f>
        <v>600</v>
      </c>
      <c r="N66" s="39">
        <f>VLOOKUP($A66,'Выгр Кат'!$A:$R,N$1,0)</f>
        <v>1090</v>
      </c>
      <c r="O66" s="18">
        <f t="shared" si="19"/>
        <v>0</v>
      </c>
      <c r="P66" s="18">
        <f t="shared" si="20"/>
        <v>0</v>
      </c>
      <c r="Q66" s="22">
        <f t="shared" si="25"/>
        <v>1013.6999999999999</v>
      </c>
      <c r="R66" s="49" t="str">
        <f>IFERROR((VLOOKUP($A66,'Из ГУГЛа'!$B:$G,6,0)+T66)*S66,VLOOKUP($A66,'Из ГУГЛа'!$B:$G,6,0))</f>
        <v/>
      </c>
      <c r="S66" s="15">
        <v>1</v>
      </c>
      <c r="T66" s="15">
        <v>0</v>
      </c>
      <c r="U66" s="41">
        <f t="shared" si="26"/>
        <v>0.68949999999999978</v>
      </c>
      <c r="V66" s="41" t="str">
        <f t="shared" si="27"/>
        <v/>
      </c>
      <c r="W66" s="41" t="str">
        <f t="shared" si="28"/>
        <v/>
      </c>
      <c r="X66" s="45" t="s">
        <v>272</v>
      </c>
    </row>
    <row r="67" spans="1:25" ht="45" x14ac:dyDescent="0.25">
      <c r="A67" s="39">
        <v>143750</v>
      </c>
      <c r="B67" s="39">
        <f>VLOOKUP($A67,'Выгр Кат'!$A:$R,B$1,0)</f>
        <v>24653</v>
      </c>
      <c r="C67" s="40" t="str">
        <f>VLOOKUP($A67,'Выгр Кат'!$A:$R,C$1,0)</f>
        <v>Диодные накладки бампера "Lexus Style" красные, с узором "V" для Лада Приора 2</v>
      </c>
      <c r="D67" s="39" t="str">
        <f>VLOOKUP($A67,'Выгр Кат'!$A:$R,D$1,0)</f>
        <v>Y</v>
      </c>
      <c r="E67" s="39" t="str">
        <f>VLOOKUP($A67,'Выгр Кат'!$A:$R,E$1,0)</f>
        <v>0</v>
      </c>
      <c r="F67" s="39" t="str">
        <f>VLOOKUP($A67,'Выгр Кат'!$A:$R,F$1,0)</f>
        <v>ZFT-395 (3))</v>
      </c>
      <c r="G67" s="7"/>
      <c r="H67" s="7" t="s">
        <v>3</v>
      </c>
      <c r="I67" s="33">
        <v>700</v>
      </c>
      <c r="J67" s="34">
        <f>VLOOKUP(I67,Наценка!$A$1:$B$8,2,1)</f>
        <v>1.75</v>
      </c>
      <c r="K67" s="50">
        <f t="shared" ref="K67:K69" si="31">X67*1</f>
        <v>1290</v>
      </c>
      <c r="L67" s="36">
        <f t="shared" si="30"/>
        <v>1290</v>
      </c>
      <c r="M67" s="39">
        <f>VLOOKUP($A67,'Выгр Кат'!$A:$R,M$1,0)</f>
        <v>700</v>
      </c>
      <c r="N67" s="39">
        <f>VLOOKUP($A67,'Выгр Кат'!$A:$R,N$1,0)</f>
        <v>1290</v>
      </c>
      <c r="O67" s="18">
        <f t="shared" si="19"/>
        <v>0</v>
      </c>
      <c r="P67" s="18">
        <f t="shared" si="20"/>
        <v>0</v>
      </c>
      <c r="Q67" s="22">
        <f t="shared" si="25"/>
        <v>1199.6999999999998</v>
      </c>
      <c r="R67" s="49">
        <f>IFERROR((VLOOKUP($A67,'Из ГУГЛа'!$B:$G,6,0)+T67)*S67,VLOOKUP($A67,'Из ГУГЛа'!$B:$G,6,0))</f>
        <v>1290</v>
      </c>
      <c r="S67" s="15">
        <v>1</v>
      </c>
      <c r="T67" s="15">
        <v>0</v>
      </c>
      <c r="U67" s="41">
        <f t="shared" si="26"/>
        <v>0.71385714285714252</v>
      </c>
      <c r="V67" s="41">
        <f t="shared" si="27"/>
        <v>7.0000000000000145E-2</v>
      </c>
      <c r="W67" s="41">
        <f t="shared" si="28"/>
        <v>0.84285714285714275</v>
      </c>
      <c r="X67" s="42">
        <v>1290</v>
      </c>
      <c r="Y67" s="24" t="s">
        <v>193</v>
      </c>
    </row>
    <row r="68" spans="1:25" ht="30.75" thickBot="1" x14ac:dyDescent="0.3">
      <c r="A68" s="39">
        <v>201805</v>
      </c>
      <c r="B68" s="39">
        <f>VLOOKUP($A68,'Выгр Кат'!$A:$R,B$1,0)</f>
        <v>4235</v>
      </c>
      <c r="C68" s="40" t="str">
        <f>VLOOKUP($A68,'Выгр Кат'!$A:$R,C$1,0)</f>
        <v>Противотуманные фары для Лада Приора 2</v>
      </c>
      <c r="D68" s="39" t="str">
        <f>VLOOKUP($A68,'Выгр Кат'!$A:$R,D$1,0)</f>
        <v>Y</v>
      </c>
      <c r="E68" s="39" t="str">
        <f>VLOOKUP($A68,'Выгр Кат'!$A:$R,E$1,0)</f>
        <v>1</v>
      </c>
      <c r="F68" s="39">
        <f>VLOOKUP($A68,'Выгр Кат'!$A:$R,F$1,0)</f>
        <v>0</v>
      </c>
      <c r="G68" s="7"/>
      <c r="H68" s="7" t="s">
        <v>3</v>
      </c>
      <c r="I68" s="33">
        <v>700</v>
      </c>
      <c r="J68" s="34">
        <f>VLOOKUP(I68,Наценка!$A$1:$B$8,2,1)</f>
        <v>1.75</v>
      </c>
      <c r="K68" s="50">
        <f t="shared" si="31"/>
        <v>1190</v>
      </c>
      <c r="L68" s="36">
        <f t="shared" si="30"/>
        <v>1190</v>
      </c>
      <c r="M68" s="39">
        <f>VLOOKUP($A68,'Выгр Кат'!$A:$R,M$1,0)</f>
        <v>700</v>
      </c>
      <c r="N68" s="39">
        <f>VLOOKUP($A68,'Выгр Кат'!$A:$R,N$1,0)</f>
        <v>1190</v>
      </c>
      <c r="O68" s="18">
        <f t="shared" si="19"/>
        <v>0</v>
      </c>
      <c r="P68" s="18">
        <f t="shared" si="20"/>
        <v>0</v>
      </c>
      <c r="Q68" s="22">
        <f t="shared" si="25"/>
        <v>1106.6999999999998</v>
      </c>
      <c r="R68" s="49">
        <f>IFERROR((VLOOKUP($A68,'Из ГУГЛа'!$B:$G,6,0)+T68)*S68,VLOOKUP($A68,'Из ГУГЛа'!$B:$G,6,0))</f>
        <v>1190</v>
      </c>
      <c r="S68" s="15">
        <v>1</v>
      </c>
      <c r="T68" s="15">
        <v>0</v>
      </c>
      <c r="U68" s="41">
        <f t="shared" si="26"/>
        <v>0.58099999999999974</v>
      </c>
      <c r="V68" s="41">
        <f t="shared" si="27"/>
        <v>7.0000000000000159E-2</v>
      </c>
      <c r="W68" s="41">
        <f t="shared" si="28"/>
        <v>0.7</v>
      </c>
      <c r="X68" s="44">
        <v>1190</v>
      </c>
      <c r="Y68" s="24" t="s">
        <v>195</v>
      </c>
    </row>
    <row r="69" spans="1:25" ht="61.5" thickTop="1" thickBot="1" x14ac:dyDescent="0.3">
      <c r="A69" s="39">
        <v>145329</v>
      </c>
      <c r="B69" s="39">
        <f>VLOOKUP($A69,'Выгр Кат'!$A:$R,B$1,0)</f>
        <v>16804</v>
      </c>
      <c r="C69" s="40" t="str">
        <f>VLOOKUP($A69,'Выгр Кат'!$A:$R,C$1,0)</f>
        <v>Заглушки в стиле двойного выхлопа "Лексус Стайл" белые, с диодами и бегающим повторителем для Лада Приора 2</v>
      </c>
      <c r="D69" s="39" t="str">
        <f>VLOOKUP($A69,'Выгр Кат'!$A:$R,D$1,0)</f>
        <v>Y</v>
      </c>
      <c r="E69" s="39" t="str">
        <f>VLOOKUP($A69,'Выгр Кат'!$A:$R,E$1,0)</f>
        <v>1</v>
      </c>
      <c r="F69" s="39">
        <f>VLOOKUP($A69,'Выгр Кат'!$A:$R,F$1,0)</f>
        <v>0</v>
      </c>
      <c r="G69" s="7"/>
      <c r="H69" s="7" t="s">
        <v>3</v>
      </c>
      <c r="I69" s="33">
        <v>700</v>
      </c>
      <c r="J69" s="34">
        <f>VLOOKUP(I69,Наценка!$A$1:$B$8,2,1)</f>
        <v>1.75</v>
      </c>
      <c r="K69" s="50">
        <f t="shared" si="31"/>
        <v>1190</v>
      </c>
      <c r="L69" s="36">
        <f t="shared" si="30"/>
        <v>1190</v>
      </c>
      <c r="M69" s="39">
        <f>VLOOKUP($A69,'Выгр Кат'!$A:$R,M$1,0)</f>
        <v>700</v>
      </c>
      <c r="N69" s="39">
        <f>VLOOKUP($A69,'Выгр Кат'!$A:$R,N$1,0)</f>
        <v>1190</v>
      </c>
      <c r="O69" s="18">
        <f t="shared" si="19"/>
        <v>0</v>
      </c>
      <c r="P69" s="18">
        <f t="shared" si="20"/>
        <v>0</v>
      </c>
      <c r="Q69" s="22">
        <f t="shared" si="25"/>
        <v>1106.6999999999998</v>
      </c>
      <c r="R69" s="49">
        <f>IFERROR((VLOOKUP($A69,'Из ГУГЛа'!$B:$G,6,0)+T69)*S69,VLOOKUP($A69,'Из ГУГЛа'!$B:$G,6,0))</f>
        <v>1190</v>
      </c>
      <c r="S69" s="15">
        <v>1</v>
      </c>
      <c r="T69" s="15">
        <v>0</v>
      </c>
      <c r="U69" s="41">
        <f t="shared" si="26"/>
        <v>0.58099999999999974</v>
      </c>
      <c r="V69" s="41">
        <f t="shared" si="27"/>
        <v>7.0000000000000159E-2</v>
      </c>
      <c r="W69" s="41">
        <f t="shared" si="28"/>
        <v>0.7</v>
      </c>
      <c r="X69" s="44">
        <v>1190</v>
      </c>
      <c r="Y69" s="24" t="s">
        <v>196</v>
      </c>
    </row>
    <row r="70" spans="1:25" ht="61.5" thickTop="1" thickBot="1" x14ac:dyDescent="0.3">
      <c r="A70" s="39">
        <v>143694</v>
      </c>
      <c r="B70" s="39">
        <f>VLOOKUP($A70,'Выгр Кат'!$A:$R,B$1,0)</f>
        <v>34114</v>
      </c>
      <c r="C70" s="40" t="str">
        <f>VLOOKUP($A70,'Выгр Кат'!$A:$R,C$1,0)</f>
        <v>Динамические повторители поворота "плазма" тонированные в зеркала нового образца для Лада Веста (после 2019 года выпуска)</v>
      </c>
      <c r="D70" s="39" t="str">
        <f>VLOOKUP($A70,'Выгр Кат'!$A:$R,D$1,0)</f>
        <v>Y</v>
      </c>
      <c r="E70" s="39" t="str">
        <f>VLOOKUP($A70,'Выгр Кат'!$A:$R,E$1,0)</f>
        <v>1ск1</v>
      </c>
      <c r="F70" s="39">
        <f>VLOOKUP($A70,'Выгр Кат'!$A:$R,F$1,0)</f>
        <v>0</v>
      </c>
      <c r="G70" s="7"/>
      <c r="H70" s="7" t="s">
        <v>3</v>
      </c>
      <c r="I70" s="33">
        <v>800</v>
      </c>
      <c r="J70" s="34">
        <f>VLOOKUP(I70,Наценка!$A$1:$B$8,2,1)</f>
        <v>1.75</v>
      </c>
      <c r="K70" s="54">
        <f t="shared" ref="K70" si="32">X70*1.07</f>
        <v>1594.3000000000002</v>
      </c>
      <c r="L70" s="36">
        <f t="shared" si="30"/>
        <v>1590</v>
      </c>
      <c r="M70" s="39">
        <f>VLOOKUP($A70,'Выгр Кат'!$A:$R,M$1,0)</f>
        <v>800</v>
      </c>
      <c r="N70" s="39">
        <f>VLOOKUP($A70,'Выгр Кат'!$A:$R,N$1,0)</f>
        <v>1590</v>
      </c>
      <c r="O70" s="18">
        <f t="shared" si="19"/>
        <v>0</v>
      </c>
      <c r="P70" s="18">
        <f t="shared" si="20"/>
        <v>0</v>
      </c>
      <c r="Q70" s="22">
        <f t="shared" si="25"/>
        <v>1478.6999999999998</v>
      </c>
      <c r="R70" s="49">
        <f>IFERROR((VLOOKUP($A70,'Из ГУГЛа'!$B:$G,6,0)+T70)*S70,VLOOKUP($A70,'Из ГУГЛа'!$B:$G,6,0))</f>
        <v>1490</v>
      </c>
      <c r="S70" s="15">
        <v>1</v>
      </c>
      <c r="T70" s="15">
        <v>0</v>
      </c>
      <c r="U70" s="41">
        <f t="shared" si="26"/>
        <v>0.84837499999999988</v>
      </c>
      <c r="V70" s="41">
        <f t="shared" si="27"/>
        <v>7.5838926174497867E-3</v>
      </c>
      <c r="W70" s="41">
        <f t="shared" si="28"/>
        <v>0.86250000000000004</v>
      </c>
      <c r="X70" s="44">
        <v>1490</v>
      </c>
      <c r="Y70" s="24" t="s">
        <v>197</v>
      </c>
    </row>
    <row r="71" spans="1:25" ht="30.75" thickTop="1" x14ac:dyDescent="0.25">
      <c r="A71" s="39">
        <v>170718</v>
      </c>
      <c r="B71" s="39">
        <f>VLOOKUP($A71,'Выгр Кат'!$A:$R,B$1,0)</f>
        <v>25063</v>
      </c>
      <c r="C71" s="40" t="str">
        <f>VLOOKUP($A71,'Выгр Кат'!$A:$R,C$1,0)</f>
        <v>Накладки на тормозные суппорта "Brembo" 190 мм</v>
      </c>
      <c r="D71" s="39" t="str">
        <f>VLOOKUP($A71,'Выгр Кат'!$A:$R,D$1,0)</f>
        <v>Y</v>
      </c>
      <c r="E71" s="39" t="str">
        <f>VLOOKUP($A71,'Выгр Кат'!$A:$R,E$1,0)</f>
        <v>1</v>
      </c>
      <c r="F71" s="39">
        <f>VLOOKUP($A71,'Выгр Кат'!$A:$R,F$1,0)</f>
        <v>0</v>
      </c>
      <c r="G71" s="7"/>
      <c r="H71" s="7" t="s">
        <v>3</v>
      </c>
      <c r="I71" s="33">
        <v>900</v>
      </c>
      <c r="J71" s="34">
        <f>VLOOKUP(I71,Наценка!$A$1:$B$8,2,1)</f>
        <v>1.75</v>
      </c>
      <c r="K71" s="35">
        <f t="shared" ref="K71:K132" si="33">J71*I71</f>
        <v>1575</v>
      </c>
      <c r="L71" s="36">
        <f t="shared" si="30"/>
        <v>1590</v>
      </c>
      <c r="M71" s="39">
        <f>VLOOKUP($A71,'Выгр Кат'!$A:$R,M$1,0)</f>
        <v>900</v>
      </c>
      <c r="N71" s="39">
        <f>VLOOKUP($A71,'Выгр Кат'!$A:$R,N$1,0)</f>
        <v>1590</v>
      </c>
      <c r="O71" s="18">
        <f t="shared" si="19"/>
        <v>0</v>
      </c>
      <c r="P71" s="18">
        <f t="shared" si="20"/>
        <v>0</v>
      </c>
      <c r="Q71" s="22">
        <f t="shared" si="25"/>
        <v>1478.6999999999998</v>
      </c>
      <c r="R71" s="49" t="str">
        <f>IFERROR((VLOOKUP($A71,'Из ГУГЛа'!$B:$G,6,0)+T71)*S71,VLOOKUP($A71,'Из ГУГЛа'!$B:$G,6,0))</f>
        <v/>
      </c>
      <c r="S71" s="15">
        <v>1</v>
      </c>
      <c r="T71" s="15">
        <v>0</v>
      </c>
      <c r="U71" s="41">
        <f t="shared" si="26"/>
        <v>0.64299999999999979</v>
      </c>
      <c r="V71" s="41" t="str">
        <f t="shared" si="27"/>
        <v/>
      </c>
      <c r="W71" s="41" t="str">
        <f t="shared" si="28"/>
        <v/>
      </c>
      <c r="X71" s="45" t="s">
        <v>272</v>
      </c>
    </row>
    <row r="72" spans="1:25" ht="30" x14ac:dyDescent="0.25">
      <c r="A72" s="39">
        <v>170719</v>
      </c>
      <c r="B72" s="39">
        <f>VLOOKUP($A72,'Выгр Кат'!$A:$R,B$1,0)</f>
        <v>32894</v>
      </c>
      <c r="C72" s="40" t="str">
        <f>VLOOKUP($A72,'Выгр Кат'!$A:$R,C$1,0)</f>
        <v>Накладки на тормозные суппорта "Brembo" 190 мм (алюминиевые)</v>
      </c>
      <c r="D72" s="39" t="str">
        <f>VLOOKUP($A72,'Выгр Кат'!$A:$R,D$1,0)</f>
        <v>Y</v>
      </c>
      <c r="E72" s="39" t="str">
        <f>VLOOKUP($A72,'Выгр Кат'!$A:$R,E$1,0)</f>
        <v>1</v>
      </c>
      <c r="F72" s="39">
        <f>VLOOKUP($A72,'Выгр Кат'!$A:$R,F$1,0)</f>
        <v>0</v>
      </c>
      <c r="G72" s="7"/>
      <c r="H72" s="7" t="s">
        <v>3</v>
      </c>
      <c r="I72" s="33">
        <v>900</v>
      </c>
      <c r="J72" s="34">
        <f>VLOOKUP(I72,Наценка!$A$1:$B$8,2,1)</f>
        <v>1.75</v>
      </c>
      <c r="K72" s="35">
        <f t="shared" si="33"/>
        <v>1575</v>
      </c>
      <c r="L72" s="36">
        <f t="shared" si="30"/>
        <v>1590</v>
      </c>
      <c r="M72" s="39">
        <f>VLOOKUP($A72,'Выгр Кат'!$A:$R,M$1,0)</f>
        <v>900</v>
      </c>
      <c r="N72" s="39">
        <f>VLOOKUP($A72,'Выгр Кат'!$A:$R,N$1,0)</f>
        <v>1590</v>
      </c>
      <c r="O72" s="18">
        <f t="shared" si="19"/>
        <v>0</v>
      </c>
      <c r="P72" s="18">
        <f t="shared" si="20"/>
        <v>0</v>
      </c>
      <c r="Q72" s="22">
        <f t="shared" si="25"/>
        <v>1478.6999999999998</v>
      </c>
      <c r="R72" s="49" t="str">
        <f>IFERROR((VLOOKUP($A72,'Из ГУГЛа'!$B:$G,6,0)+T72)*S72,VLOOKUP($A72,'Из ГУГЛа'!$B:$G,6,0))</f>
        <v/>
      </c>
      <c r="S72" s="15">
        <v>1</v>
      </c>
      <c r="T72" s="15">
        <v>0</v>
      </c>
      <c r="U72" s="41">
        <f t="shared" si="26"/>
        <v>0.64299999999999979</v>
      </c>
      <c r="V72" s="41" t="str">
        <f t="shared" si="27"/>
        <v/>
      </c>
      <c r="W72" s="41" t="str">
        <f t="shared" si="28"/>
        <v/>
      </c>
      <c r="X72" s="45" t="s">
        <v>272</v>
      </c>
    </row>
    <row r="73" spans="1:25" ht="30.75" thickBot="1" x14ac:dyDescent="0.3">
      <c r="A73" s="39">
        <v>217450</v>
      </c>
      <c r="B73" s="39">
        <f>VLOOKUP($A73,'Выгр Кат'!$A:$R,B$1,0)</f>
        <v>36919</v>
      </c>
      <c r="C73" s="40" t="str">
        <f>VLOOKUP($A73,'Выгр Кат'!$A:$R,C$1,0)</f>
        <v>Стекло "СЕВиЕМ" левой фары для Лада Гранта FL</v>
      </c>
      <c r="D73" s="39" t="str">
        <f>VLOOKUP($A73,'Выгр Кат'!$A:$R,D$1,0)</f>
        <v>Y</v>
      </c>
      <c r="E73" s="39" t="str">
        <f>VLOOKUP($A73,'Выгр Кат'!$A:$R,E$1,0)</f>
        <v>1</v>
      </c>
      <c r="F73" s="39">
        <f>VLOOKUP($A73,'Выгр Кат'!$A:$R,F$1,0)</f>
        <v>0</v>
      </c>
      <c r="G73" s="7"/>
      <c r="H73" s="7" t="s">
        <v>3</v>
      </c>
      <c r="I73" s="33">
        <v>900</v>
      </c>
      <c r="J73" s="34">
        <f>VLOOKUP(I73,Наценка!$A$1:$B$8,2,1)</f>
        <v>1.75</v>
      </c>
      <c r="K73" s="53">
        <f t="shared" ref="K73:K74" si="34">X73*1.06</f>
        <v>1897.4</v>
      </c>
      <c r="L73" s="36">
        <f t="shared" si="30"/>
        <v>1890</v>
      </c>
      <c r="M73" s="39">
        <f>VLOOKUP($A73,'Выгр Кат'!$A:$R,M$1,0)</f>
        <v>900</v>
      </c>
      <c r="N73" s="39">
        <f>VLOOKUP($A73,'Выгр Кат'!$A:$R,N$1,0)</f>
        <v>1890</v>
      </c>
      <c r="O73" s="18">
        <f t="shared" si="19"/>
        <v>0</v>
      </c>
      <c r="P73" s="18">
        <f t="shared" si="20"/>
        <v>0</v>
      </c>
      <c r="Q73" s="22">
        <f t="shared" si="25"/>
        <v>1757.6999999999998</v>
      </c>
      <c r="R73" s="49">
        <f>IFERROR((VLOOKUP($A73,'Из ГУГЛа'!$B:$G,6,0)+T73)*S73,VLOOKUP($A73,'Из ГУГЛа'!$B:$G,6,0))</f>
        <v>1790</v>
      </c>
      <c r="S73" s="15">
        <v>1</v>
      </c>
      <c r="T73" s="15">
        <v>0</v>
      </c>
      <c r="U73" s="41">
        <f t="shared" si="26"/>
        <v>0.95299999999999985</v>
      </c>
      <c r="V73" s="41">
        <f t="shared" si="27"/>
        <v>1.8044692737430271E-2</v>
      </c>
      <c r="W73" s="41">
        <f t="shared" si="28"/>
        <v>0.98888888888888893</v>
      </c>
      <c r="X73" s="44">
        <v>1790</v>
      </c>
      <c r="Y73" s="24" t="s">
        <v>198</v>
      </c>
    </row>
    <row r="74" spans="1:25" ht="31.5" thickTop="1" thickBot="1" x14ac:dyDescent="0.3">
      <c r="A74" s="39">
        <v>217451</v>
      </c>
      <c r="B74" s="39">
        <f>VLOOKUP($A74,'Выгр Кат'!$A:$R,B$1,0)</f>
        <v>36920</v>
      </c>
      <c r="C74" s="40" t="str">
        <f>VLOOKUP($A74,'Выгр Кат'!$A:$R,C$1,0)</f>
        <v>Стекло "СЕВиЕМ" правой фары для Лада Гранта FL</v>
      </c>
      <c r="D74" s="39" t="str">
        <f>VLOOKUP($A74,'Выгр Кат'!$A:$R,D$1,0)</f>
        <v>Y</v>
      </c>
      <c r="E74" s="39" t="str">
        <f>VLOOKUP($A74,'Выгр Кат'!$A:$R,E$1,0)</f>
        <v>1</v>
      </c>
      <c r="F74" s="39">
        <f>VLOOKUP($A74,'Выгр Кат'!$A:$R,F$1,0)</f>
        <v>0</v>
      </c>
      <c r="G74" s="7"/>
      <c r="H74" s="7" t="s">
        <v>3</v>
      </c>
      <c r="I74" s="33">
        <v>900</v>
      </c>
      <c r="J74" s="34">
        <f>VLOOKUP(I74,Наценка!$A$1:$B$8,2,1)</f>
        <v>1.75</v>
      </c>
      <c r="K74" s="53">
        <f t="shared" si="34"/>
        <v>1897.4</v>
      </c>
      <c r="L74" s="36">
        <f t="shared" si="30"/>
        <v>1890</v>
      </c>
      <c r="M74" s="39">
        <f>VLOOKUP($A74,'Выгр Кат'!$A:$R,M$1,0)</f>
        <v>900</v>
      </c>
      <c r="N74" s="39">
        <f>VLOOKUP($A74,'Выгр Кат'!$A:$R,N$1,0)</f>
        <v>1890</v>
      </c>
      <c r="O74" s="18">
        <f t="shared" si="19"/>
        <v>0</v>
      </c>
      <c r="P74" s="18">
        <f t="shared" si="20"/>
        <v>0</v>
      </c>
      <c r="Q74" s="22">
        <f t="shared" si="25"/>
        <v>1757.6999999999998</v>
      </c>
      <c r="R74" s="49">
        <f>IFERROR((VLOOKUP($A74,'Из ГУГЛа'!$B:$G,6,0)+T74)*S74,VLOOKUP($A74,'Из ГУГЛа'!$B:$G,6,0))</f>
        <v>1790</v>
      </c>
      <c r="S74" s="15">
        <v>1</v>
      </c>
      <c r="T74" s="15">
        <v>0</v>
      </c>
      <c r="U74" s="41">
        <f t="shared" si="26"/>
        <v>0.95299999999999985</v>
      </c>
      <c r="V74" s="41">
        <f t="shared" si="27"/>
        <v>1.8044692737430271E-2</v>
      </c>
      <c r="W74" s="41">
        <f t="shared" si="28"/>
        <v>0.98888888888888893</v>
      </c>
      <c r="X74" s="44">
        <v>1790</v>
      </c>
      <c r="Y74" s="24" t="s">
        <v>199</v>
      </c>
    </row>
    <row r="75" spans="1:25" ht="45.75" thickTop="1" x14ac:dyDescent="0.25">
      <c r="A75" s="39">
        <v>201774</v>
      </c>
      <c r="B75" s="39">
        <f>VLOOKUP($A75,'Выгр Кат'!$A:$R,B$1,0)</f>
        <v>57979</v>
      </c>
      <c r="C75" s="40" t="str">
        <f>VLOOKUP($A75,'Выгр Кат'!$A:$R,C$1,0)</f>
        <v>Диодные LED ПТФ "СЕВиЕМ" 3 линзы (двухцветные бело-синий 6000К и жёлтый 3000К) для Лада Приора 2</v>
      </c>
      <c r="D75" s="39" t="str">
        <f>VLOOKUP($A75,'Выгр Кат'!$A:$R,D$1,0)</f>
        <v>Y</v>
      </c>
      <c r="E75" s="39" t="str">
        <f>VLOOKUP($A75,'Выгр Кат'!$A:$R,E$1,0)</f>
        <v>1</v>
      </c>
      <c r="F75" s="39">
        <f>VLOOKUP($A75,'Выгр Кат'!$A:$R,F$1,0)</f>
        <v>0</v>
      </c>
      <c r="G75" s="7"/>
      <c r="H75" s="7" t="s">
        <v>3</v>
      </c>
      <c r="I75" s="33">
        <v>1100</v>
      </c>
      <c r="J75" s="34">
        <f>VLOOKUP(I75,Наценка!$A$1:$B$8,2,1)</f>
        <v>1.75</v>
      </c>
      <c r="K75" s="51">
        <f>X75*1.02</f>
        <v>2845.8</v>
      </c>
      <c r="L75" s="36">
        <f t="shared" si="30"/>
        <v>2890</v>
      </c>
      <c r="M75" s="39">
        <f>VLOOKUP($A75,'Выгр Кат'!$A:$R,M$1,0)</f>
        <v>1100</v>
      </c>
      <c r="N75" s="39">
        <f>VLOOKUP($A75,'Выгр Кат'!$A:$R,N$1,0)</f>
        <v>2890</v>
      </c>
      <c r="O75" s="18">
        <f t="shared" si="19"/>
        <v>0</v>
      </c>
      <c r="P75" s="18">
        <f t="shared" si="20"/>
        <v>0</v>
      </c>
      <c r="Q75" s="22">
        <f t="shared" si="25"/>
        <v>2687.7</v>
      </c>
      <c r="R75" s="49">
        <f>IFERROR((VLOOKUP($A75,'Из ГУГЛа'!$B:$G,6,0)+T75)*S75,VLOOKUP($A75,'Из ГУГЛа'!$B:$G,6,0))</f>
        <v>2790</v>
      </c>
      <c r="S75" s="15">
        <v>1</v>
      </c>
      <c r="T75" s="15">
        <v>0</v>
      </c>
      <c r="U75" s="41">
        <f t="shared" si="26"/>
        <v>1.4433636363636362</v>
      </c>
      <c r="V75" s="41">
        <f t="shared" si="27"/>
        <v>3.6666666666666729E-2</v>
      </c>
      <c r="W75" s="41">
        <f t="shared" si="28"/>
        <v>1.5363636363636362</v>
      </c>
      <c r="X75" s="45">
        <v>2790</v>
      </c>
      <c r="Y75" s="24" t="s">
        <v>203</v>
      </c>
    </row>
    <row r="76" spans="1:25" ht="30" x14ac:dyDescent="0.25">
      <c r="A76" s="39">
        <v>213660</v>
      </c>
      <c r="B76" s="39">
        <f>VLOOKUP($A76,'Выгр Кат'!$A:$R,B$1,0)</f>
        <v>31405</v>
      </c>
      <c r="C76" s="40" t="str">
        <f>VLOOKUP($A76,'Выгр Кат'!$A:$R,C$1,0)</f>
        <v>Светодиодные лампы ДХО в поворотники (2 в 1)</v>
      </c>
      <c r="D76" s="39" t="str">
        <f>VLOOKUP($A76,'Выгр Кат'!$A:$R,D$1,0)</f>
        <v>Y</v>
      </c>
      <c r="E76" s="39" t="str">
        <f>VLOOKUP($A76,'Выгр Кат'!$A:$R,E$1,0)</f>
        <v>1</v>
      </c>
      <c r="F76" s="39">
        <f>VLOOKUP($A76,'Выгр Кат'!$A:$R,F$1,0)</f>
        <v>0</v>
      </c>
      <c r="G76" s="7"/>
      <c r="H76" s="7" t="s">
        <v>3</v>
      </c>
      <c r="I76" s="33">
        <v>1150</v>
      </c>
      <c r="J76" s="34">
        <f>VLOOKUP(I76,Наценка!$A$1:$B$8,2,1)</f>
        <v>1.75</v>
      </c>
      <c r="K76" s="35">
        <f t="shared" si="33"/>
        <v>2012.5</v>
      </c>
      <c r="L76" s="36">
        <f t="shared" si="30"/>
        <v>2090</v>
      </c>
      <c r="M76" s="39">
        <f>VLOOKUP($A76,'Выгр Кат'!$A:$R,M$1,0)</f>
        <v>1150</v>
      </c>
      <c r="N76" s="39">
        <f>VLOOKUP($A76,'Выгр Кат'!$A:$R,N$1,0)</f>
        <v>2090</v>
      </c>
      <c r="O76" s="18">
        <f t="shared" si="19"/>
        <v>0</v>
      </c>
      <c r="P76" s="18">
        <f t="shared" si="20"/>
        <v>0</v>
      </c>
      <c r="Q76" s="22">
        <f t="shared" si="25"/>
        <v>1943.6999999999998</v>
      </c>
      <c r="R76" s="49" t="str">
        <f>IFERROR((VLOOKUP($A76,'Из ГУГЛа'!$B:$G,6,0)+T76)*S76,VLOOKUP($A76,'Из ГУГЛа'!$B:$G,6,0))</f>
        <v/>
      </c>
      <c r="S76" s="15">
        <v>1</v>
      </c>
      <c r="T76" s="15">
        <v>0</v>
      </c>
      <c r="U76" s="41">
        <f t="shared" si="26"/>
        <v>0.69017391304347808</v>
      </c>
      <c r="V76" s="41" t="str">
        <f t="shared" si="27"/>
        <v/>
      </c>
      <c r="W76" s="41" t="str">
        <f t="shared" si="28"/>
        <v/>
      </c>
      <c r="X76" s="45" t="s">
        <v>272</v>
      </c>
    </row>
    <row r="77" spans="1:25" ht="30.75" thickBot="1" x14ac:dyDescent="0.3">
      <c r="A77" s="39">
        <v>247464</v>
      </c>
      <c r="B77" s="39">
        <f>VLOOKUP($A77,'Выгр Кат'!$A:$R,B$1,0)</f>
        <v>180196</v>
      </c>
      <c r="C77" s="40" t="str">
        <f>VLOOKUP($A77,'Выгр Кат'!$A:$R,C$1,0)</f>
        <v>Корпус фары (правый) для Лада Гранта FL</v>
      </c>
      <c r="D77" s="39" t="str">
        <f>VLOOKUP($A77,'Выгр Кат'!$A:$R,D$1,0)</f>
        <v>Y</v>
      </c>
      <c r="E77" s="39" t="str">
        <f>VLOOKUP($A77,'Выгр Кат'!$A:$R,E$1,0)</f>
        <v>1</v>
      </c>
      <c r="F77" s="39">
        <f>VLOOKUP($A77,'Выгр Кат'!$A:$R,F$1,0)</f>
        <v>0</v>
      </c>
      <c r="G77" s="7"/>
      <c r="H77" s="7" t="s">
        <v>3</v>
      </c>
      <c r="I77" s="33">
        <v>1200</v>
      </c>
      <c r="J77" s="34">
        <f>VLOOKUP(I77,Наценка!$A$1:$B$8,2,1)</f>
        <v>1.75</v>
      </c>
      <c r="K77" s="52">
        <f t="shared" ref="K77:K79" si="35">X77*1.04</f>
        <v>2485.6</v>
      </c>
      <c r="L77" s="36">
        <f t="shared" si="30"/>
        <v>2490</v>
      </c>
      <c r="M77" s="39">
        <f>VLOOKUP($A77,'Выгр Кат'!$A:$R,M$1,0)</f>
        <v>1200</v>
      </c>
      <c r="N77" s="39">
        <f>VLOOKUP($A77,'Выгр Кат'!$A:$R,N$1,0)</f>
        <v>2490</v>
      </c>
      <c r="O77" s="18">
        <f t="shared" si="19"/>
        <v>0</v>
      </c>
      <c r="P77" s="18">
        <f t="shared" si="20"/>
        <v>0</v>
      </c>
      <c r="Q77" s="22">
        <f t="shared" si="25"/>
        <v>2315.6999999999998</v>
      </c>
      <c r="R77" s="49">
        <f>IFERROR((VLOOKUP($A77,'Из ГУГЛа'!$B:$G,6,0)+T77)*S77,VLOOKUP($A77,'Из ГУГЛа'!$B:$G,6,0))</f>
        <v>2390</v>
      </c>
      <c r="S77" s="15">
        <v>1</v>
      </c>
      <c r="T77" s="15">
        <v>0</v>
      </c>
      <c r="U77" s="41">
        <f t="shared" si="26"/>
        <v>0.92974999999999985</v>
      </c>
      <c r="V77" s="41">
        <f t="shared" si="27"/>
        <v>3.1087866108786687E-2</v>
      </c>
      <c r="W77" s="41">
        <f t="shared" si="28"/>
        <v>0.9916666666666667</v>
      </c>
      <c r="X77" s="44">
        <v>2390</v>
      </c>
      <c r="Y77" s="24" t="s">
        <v>200</v>
      </c>
    </row>
    <row r="78" spans="1:25" ht="31.5" thickTop="1" thickBot="1" x14ac:dyDescent="0.3">
      <c r="A78" s="39">
        <v>247461</v>
      </c>
      <c r="B78" s="39">
        <f>VLOOKUP($A78,'Выгр Кат'!$A:$R,B$1,0)</f>
        <v>180197</v>
      </c>
      <c r="C78" s="40" t="str">
        <f>VLOOKUP($A78,'Выгр Кат'!$A:$R,C$1,0)</f>
        <v>Корпус фары (левый) для Лада Гранта FL</v>
      </c>
      <c r="D78" s="39" t="str">
        <f>VLOOKUP($A78,'Выгр Кат'!$A:$R,D$1,0)</f>
        <v>Y</v>
      </c>
      <c r="E78" s="39" t="str">
        <f>VLOOKUP($A78,'Выгр Кат'!$A:$R,E$1,0)</f>
        <v>1</v>
      </c>
      <c r="F78" s="39">
        <f>VLOOKUP($A78,'Выгр Кат'!$A:$R,F$1,0)</f>
        <v>0</v>
      </c>
      <c r="G78" s="7"/>
      <c r="H78" s="7" t="s">
        <v>3</v>
      </c>
      <c r="I78" s="33">
        <v>1200</v>
      </c>
      <c r="J78" s="34">
        <f>VLOOKUP(I78,Наценка!$A$1:$B$8,2,1)</f>
        <v>1.75</v>
      </c>
      <c r="K78" s="52">
        <f t="shared" si="35"/>
        <v>2485.6</v>
      </c>
      <c r="L78" s="36">
        <f t="shared" si="30"/>
        <v>2490</v>
      </c>
      <c r="M78" s="39">
        <f>VLOOKUP($A78,'Выгр Кат'!$A:$R,M$1,0)</f>
        <v>1200</v>
      </c>
      <c r="N78" s="39">
        <f>VLOOKUP($A78,'Выгр Кат'!$A:$R,N$1,0)</f>
        <v>2490</v>
      </c>
      <c r="O78" s="18">
        <f t="shared" si="19"/>
        <v>0</v>
      </c>
      <c r="P78" s="18">
        <f t="shared" si="20"/>
        <v>0</v>
      </c>
      <c r="Q78" s="22">
        <f t="shared" si="25"/>
        <v>2315.6999999999998</v>
      </c>
      <c r="R78" s="49">
        <f>IFERROR((VLOOKUP($A78,'Из ГУГЛа'!$B:$G,6,0)+T78)*S78,VLOOKUP($A78,'Из ГУГЛа'!$B:$G,6,0))</f>
        <v>2390</v>
      </c>
      <c r="S78" s="15">
        <v>1</v>
      </c>
      <c r="T78" s="15">
        <v>0</v>
      </c>
      <c r="U78" s="41">
        <f t="shared" si="26"/>
        <v>0.92974999999999985</v>
      </c>
      <c r="V78" s="41">
        <f t="shared" si="27"/>
        <v>3.1087866108786687E-2</v>
      </c>
      <c r="W78" s="41">
        <f t="shared" si="28"/>
        <v>0.9916666666666667</v>
      </c>
      <c r="X78" s="44">
        <v>2390</v>
      </c>
      <c r="Y78" s="24" t="s">
        <v>201</v>
      </c>
    </row>
    <row r="79" spans="1:25" ht="60.75" thickTop="1" x14ac:dyDescent="0.25">
      <c r="A79" s="39">
        <v>158512</v>
      </c>
      <c r="B79" s="39">
        <f>VLOOKUP($A79,'Выгр Кат'!$A:$R,B$1,0)</f>
        <v>23773</v>
      </c>
      <c r="C79" s="40" t="str">
        <f>VLOOKUP($A79,'Выгр Кат'!$A:$R,C$1,0)</f>
        <v>Комплект диодных противотуманных фар "ML Auto Light Technology" (3 полосы, 2 режима) для Лада Приора, Шевроле Нива</v>
      </c>
      <c r="D79" s="39" t="str">
        <f>VLOOKUP($A79,'Выгр Кат'!$A:$R,D$1,0)</f>
        <v>Y</v>
      </c>
      <c r="E79" s="39" t="str">
        <f>VLOOKUP($A79,'Выгр Кат'!$A:$R,E$1,0)</f>
        <v>1</v>
      </c>
      <c r="F79" s="39">
        <f>VLOOKUP($A79,'Выгр Кат'!$A:$R,F$1,0)</f>
        <v>0</v>
      </c>
      <c r="G79" s="7"/>
      <c r="H79" s="7" t="s">
        <v>3</v>
      </c>
      <c r="I79" s="33">
        <v>1200</v>
      </c>
      <c r="J79" s="34">
        <f>VLOOKUP(I79,Наценка!$A$1:$B$8,2,1)</f>
        <v>1.75</v>
      </c>
      <c r="K79" s="52">
        <f t="shared" si="35"/>
        <v>2589.6</v>
      </c>
      <c r="L79" s="36">
        <f t="shared" si="30"/>
        <v>2590</v>
      </c>
      <c r="M79" s="39">
        <f>VLOOKUP($A79,'Выгр Кат'!$A:$R,M$1,0)</f>
        <v>1200</v>
      </c>
      <c r="N79" s="39">
        <f>VLOOKUP($A79,'Выгр Кат'!$A:$R,N$1,0)</f>
        <v>2590</v>
      </c>
      <c r="O79" s="18">
        <f t="shared" si="19"/>
        <v>0</v>
      </c>
      <c r="P79" s="18">
        <f t="shared" si="20"/>
        <v>0</v>
      </c>
      <c r="Q79" s="22">
        <f t="shared" si="25"/>
        <v>2408.6999999999998</v>
      </c>
      <c r="R79" s="49">
        <f>IFERROR((VLOOKUP($A79,'Из ГУГЛа'!$B:$G,6,0)+T79)*S79,VLOOKUP($A79,'Из ГУГЛа'!$B:$G,6,0))</f>
        <v>2490</v>
      </c>
      <c r="S79" s="15">
        <v>1</v>
      </c>
      <c r="T79" s="15">
        <v>0</v>
      </c>
      <c r="U79" s="41">
        <f t="shared" si="26"/>
        <v>1.00725</v>
      </c>
      <c r="V79" s="41">
        <f t="shared" si="27"/>
        <v>3.2650602409638629E-2</v>
      </c>
      <c r="W79" s="41">
        <f t="shared" si="28"/>
        <v>1.0750000000000002</v>
      </c>
      <c r="X79" s="45">
        <v>2490</v>
      </c>
      <c r="Y79" s="24" t="s">
        <v>302</v>
      </c>
    </row>
    <row r="80" spans="1:25" x14ac:dyDescent="0.25">
      <c r="A80" s="39">
        <v>162826</v>
      </c>
      <c r="B80" s="39">
        <f>VLOOKUP($A80,'Выгр Кат'!$A:$R,B$1,0)</f>
        <v>5129</v>
      </c>
      <c r="C80" s="40" t="str">
        <f>VLOOKUP($A80,'Выгр Кат'!$A:$R,C$1,0)</f>
        <v>Ксенон "HID Ballast"</v>
      </c>
      <c r="D80" s="39" t="str">
        <f>VLOOKUP($A80,'Выгр Кат'!$A:$R,D$1,0)</f>
        <v>Y</v>
      </c>
      <c r="E80" s="39" t="str">
        <f>VLOOKUP($A80,'Выгр Кат'!$A:$R,E$1,0)</f>
        <v>1</v>
      </c>
      <c r="F80" s="39">
        <f>VLOOKUP($A80,'Выгр Кат'!$A:$R,F$1,0)</f>
        <v>0</v>
      </c>
      <c r="G80" s="7"/>
      <c r="H80" s="7" t="s">
        <v>3</v>
      </c>
      <c r="I80" s="33">
        <v>1500</v>
      </c>
      <c r="J80" s="34">
        <f>VLOOKUP(I80,Наценка!$A$1:$B$8,2,1)</f>
        <v>1.75</v>
      </c>
      <c r="K80" s="35">
        <f t="shared" si="33"/>
        <v>2625</v>
      </c>
      <c r="L80" s="36">
        <f t="shared" si="30"/>
        <v>2690</v>
      </c>
      <c r="M80" s="39">
        <f>VLOOKUP($A80,'Выгр Кат'!$A:$R,M$1,0)</f>
        <v>1500</v>
      </c>
      <c r="N80" s="39">
        <f>VLOOKUP($A80,'Выгр Кат'!$A:$R,N$1,0)</f>
        <v>2690</v>
      </c>
      <c r="O80" s="18">
        <f t="shared" si="19"/>
        <v>0</v>
      </c>
      <c r="P80" s="18">
        <f t="shared" si="20"/>
        <v>0</v>
      </c>
      <c r="Q80" s="22">
        <f t="shared" si="25"/>
        <v>2501.6999999999998</v>
      </c>
      <c r="R80" s="49" t="str">
        <f>IFERROR((VLOOKUP($A80,'Из ГУГЛа'!$B:$G,6,0)+T80)*S80,VLOOKUP($A80,'Из ГУГЛа'!$B:$G,6,0))</f>
        <v/>
      </c>
      <c r="S80" s="15">
        <v>1</v>
      </c>
      <c r="T80" s="15">
        <v>0</v>
      </c>
      <c r="U80" s="41">
        <f t="shared" si="26"/>
        <v>0.66779999999999995</v>
      </c>
      <c r="V80" s="41" t="str">
        <f t="shared" si="27"/>
        <v/>
      </c>
      <c r="W80" s="41" t="str">
        <f t="shared" si="28"/>
        <v/>
      </c>
      <c r="X80" s="45" t="s">
        <v>272</v>
      </c>
    </row>
    <row r="81" spans="1:25" ht="30" x14ac:dyDescent="0.25">
      <c r="A81" s="39">
        <v>143738</v>
      </c>
      <c r="B81" s="39">
        <f>VLOOKUP($A81,'Выгр Кат'!$A:$R,B$1,0)</f>
        <v>61664</v>
      </c>
      <c r="C81" s="40" t="str">
        <f>VLOOKUP($A81,'Выгр Кат'!$A:$R,C$1,0)</f>
        <v>Диодные LED ПТФ (3 линзы) для Лада Приора 2</v>
      </c>
      <c r="D81" s="39" t="str">
        <f>VLOOKUP($A81,'Выгр Кат'!$A:$R,D$1,0)</f>
        <v>Y</v>
      </c>
      <c r="E81" s="39" t="str">
        <f>VLOOKUP($A81,'Выгр Кат'!$A:$R,E$1,0)</f>
        <v>1</v>
      </c>
      <c r="F81" s="39">
        <f>VLOOKUP($A81,'Выгр Кат'!$A:$R,F$1,0)</f>
        <v>0</v>
      </c>
      <c r="G81" s="7"/>
      <c r="H81" s="7" t="s">
        <v>3</v>
      </c>
      <c r="I81" s="33">
        <v>1300</v>
      </c>
      <c r="J81" s="34">
        <f>VLOOKUP(I81,Наценка!$A$1:$B$8,2,1)</f>
        <v>1.75</v>
      </c>
      <c r="K81" s="52">
        <f>X81*1.04</f>
        <v>2693.6</v>
      </c>
      <c r="L81" s="36">
        <f t="shared" si="30"/>
        <v>2690</v>
      </c>
      <c r="M81" s="39">
        <f>VLOOKUP($A81,'Выгр Кат'!$A:$R,M$1,0)</f>
        <v>1300</v>
      </c>
      <c r="N81" s="39">
        <f>VLOOKUP($A81,'Выгр Кат'!$A:$R,N$1,0)</f>
        <v>2690</v>
      </c>
      <c r="O81" s="18">
        <f t="shared" si="19"/>
        <v>0</v>
      </c>
      <c r="P81" s="18">
        <f t="shared" si="20"/>
        <v>0</v>
      </c>
      <c r="Q81" s="22">
        <f t="shared" si="25"/>
        <v>2501.6999999999998</v>
      </c>
      <c r="R81" s="49">
        <f>IFERROR((VLOOKUP($A81,'Из ГУГЛа'!$B:$G,6,0)+T81)*S81,VLOOKUP($A81,'Из ГУГЛа'!$B:$G,6,0))</f>
        <v>2590</v>
      </c>
      <c r="S81" s="15">
        <v>1</v>
      </c>
      <c r="T81" s="15">
        <v>0</v>
      </c>
      <c r="U81" s="41">
        <f t="shared" si="26"/>
        <v>0.92438461538461514</v>
      </c>
      <c r="V81" s="41">
        <f t="shared" si="27"/>
        <v>3.4092664092664163E-2</v>
      </c>
      <c r="W81" s="41">
        <f t="shared" si="28"/>
        <v>0.99230769230769234</v>
      </c>
      <c r="X81" s="45">
        <v>2590</v>
      </c>
      <c r="Y81" s="24" t="s">
        <v>301</v>
      </c>
    </row>
    <row r="82" spans="1:25" ht="45" x14ac:dyDescent="0.25">
      <c r="A82" s="39">
        <v>136973</v>
      </c>
      <c r="B82" s="39">
        <f>VLOOKUP($A82,'Выгр Кат'!$A:$R,B$1,0)</f>
        <v>36730</v>
      </c>
      <c r="C82" s="40" t="str">
        <f>VLOOKUP($A82,'Выгр Кат'!$A:$R,C$1,0)</f>
        <v>Блок-фара "СЕВиЕМ" левая (стеклянный рассеиватель) для ВАЗ 2113-2115</v>
      </c>
      <c r="D82" s="39" t="str">
        <f>VLOOKUP($A82,'Выгр Кат'!$A:$R,D$1,0)</f>
        <v>Y</v>
      </c>
      <c r="E82" s="39" t="str">
        <f>VLOOKUP($A82,'Выгр Кат'!$A:$R,E$1,0)</f>
        <v>1ск1</v>
      </c>
      <c r="F82" s="39" t="str">
        <f>VLOOKUP($A82,'Выгр Кат'!$A:$R,F$1,0)</f>
        <v>21140-3713011-15</v>
      </c>
      <c r="G82" s="7"/>
      <c r="H82" s="7" t="s">
        <v>3</v>
      </c>
      <c r="I82" s="33">
        <v>1400</v>
      </c>
      <c r="J82" s="34">
        <f>VLOOKUP(I82,Наценка!$A$1:$B$8,2,1)</f>
        <v>1.75</v>
      </c>
      <c r="K82" s="35">
        <f t="shared" si="33"/>
        <v>2450</v>
      </c>
      <c r="L82" s="36">
        <f t="shared" si="30"/>
        <v>2490</v>
      </c>
      <c r="M82" s="39">
        <f>VLOOKUP($A82,'Выгр Кат'!$A:$R,M$1,0)</f>
        <v>1400</v>
      </c>
      <c r="N82" s="39">
        <f>VLOOKUP($A82,'Выгр Кат'!$A:$R,N$1,0)</f>
        <v>2490</v>
      </c>
      <c r="O82" s="18">
        <f t="shared" si="19"/>
        <v>0</v>
      </c>
      <c r="P82" s="18">
        <f t="shared" si="20"/>
        <v>0</v>
      </c>
      <c r="Q82" s="22">
        <f t="shared" si="25"/>
        <v>2315.6999999999998</v>
      </c>
      <c r="R82" s="49" t="str">
        <f>IFERROR((VLOOKUP($A82,'Из ГУГЛа'!$B:$G,6,0)+T82)*S82,VLOOKUP($A82,'Из ГУГЛа'!$B:$G,6,0))</f>
        <v/>
      </c>
      <c r="S82" s="15">
        <v>1</v>
      </c>
      <c r="T82" s="15">
        <v>0</v>
      </c>
      <c r="U82" s="41">
        <f t="shared" si="26"/>
        <v>0.65407142857142841</v>
      </c>
      <c r="V82" s="41" t="str">
        <f t="shared" si="27"/>
        <v/>
      </c>
      <c r="W82" s="41" t="str">
        <f t="shared" si="28"/>
        <v/>
      </c>
      <c r="X82" s="45" t="s">
        <v>272</v>
      </c>
    </row>
    <row r="83" spans="1:25" ht="45" x14ac:dyDescent="0.25">
      <c r="A83" s="39">
        <v>136982</v>
      </c>
      <c r="B83" s="39">
        <f>VLOOKUP($A83,'Выгр Кат'!$A:$R,B$1,0)</f>
        <v>36731</v>
      </c>
      <c r="C83" s="40" t="str">
        <f>VLOOKUP($A83,'Выгр Кат'!$A:$R,C$1,0)</f>
        <v>Блок-фара "СЕВиЕМ" правая (стеклянный рассеиватель) для ВАЗ 2113-2115</v>
      </c>
      <c r="D83" s="39" t="str">
        <f>VLOOKUP($A83,'Выгр Кат'!$A:$R,D$1,0)</f>
        <v>Y</v>
      </c>
      <c r="E83" s="39" t="str">
        <f>VLOOKUP($A83,'Выгр Кат'!$A:$R,E$1,0)</f>
        <v>1ск1</v>
      </c>
      <c r="F83" s="39" t="str">
        <f>VLOOKUP($A83,'Выгр Кат'!$A:$R,F$1,0)</f>
        <v>21140-3713010-15</v>
      </c>
      <c r="G83" s="7"/>
      <c r="H83" s="7" t="s">
        <v>3</v>
      </c>
      <c r="I83" s="33">
        <v>1400</v>
      </c>
      <c r="J83" s="34">
        <f>VLOOKUP(I83,Наценка!$A$1:$B$8,2,1)</f>
        <v>1.75</v>
      </c>
      <c r="K83" s="35">
        <f t="shared" si="33"/>
        <v>2450</v>
      </c>
      <c r="L83" s="36">
        <f t="shared" si="30"/>
        <v>2490</v>
      </c>
      <c r="M83" s="39">
        <f>VLOOKUP($A83,'Выгр Кат'!$A:$R,M$1,0)</f>
        <v>1400</v>
      </c>
      <c r="N83" s="39">
        <f>VLOOKUP($A83,'Выгр Кат'!$A:$R,N$1,0)</f>
        <v>2490</v>
      </c>
      <c r="O83" s="18">
        <f t="shared" si="19"/>
        <v>0</v>
      </c>
      <c r="P83" s="18">
        <f t="shared" si="20"/>
        <v>0</v>
      </c>
      <c r="Q83" s="22">
        <f t="shared" si="25"/>
        <v>2315.6999999999998</v>
      </c>
      <c r="R83" s="49" t="str">
        <f>IFERROR((VLOOKUP($A83,'Из ГУГЛа'!$B:$G,6,0)+T83)*S83,VLOOKUP($A83,'Из ГУГЛа'!$B:$G,6,0))</f>
        <v/>
      </c>
      <c r="S83" s="15">
        <v>1</v>
      </c>
      <c r="T83" s="15">
        <v>0</v>
      </c>
      <c r="U83" s="41">
        <f t="shared" si="26"/>
        <v>0.65407142857142841</v>
      </c>
      <c r="V83" s="41" t="str">
        <f t="shared" si="27"/>
        <v/>
      </c>
      <c r="W83" s="41" t="str">
        <f t="shared" si="28"/>
        <v/>
      </c>
      <c r="X83" s="45" t="s">
        <v>272</v>
      </c>
    </row>
    <row r="84" spans="1:25" ht="30" x14ac:dyDescent="0.25">
      <c r="A84" s="39">
        <v>136970</v>
      </c>
      <c r="B84" s="39">
        <f>VLOOKUP($A84,'Выгр Кат'!$A:$R,B$1,0)</f>
        <v>59056</v>
      </c>
      <c r="C84" s="40" t="str">
        <f>VLOOKUP($A84,'Выгр Кат'!$A:$R,C$1,0)</f>
        <v>Блок-фара "СЕВиЕМ" левая (белый поворотник) для ВАЗ 2113-2115</v>
      </c>
      <c r="D84" s="39" t="str">
        <f>VLOOKUP($A84,'Выгр Кат'!$A:$R,D$1,0)</f>
        <v>Y</v>
      </c>
      <c r="E84" s="39" t="str">
        <f>VLOOKUP($A84,'Выгр Кат'!$A:$R,E$1,0)</f>
        <v>1</v>
      </c>
      <c r="F84" s="39" t="str">
        <f>VLOOKUP($A84,'Выгр Кат'!$A:$R,F$1,0)</f>
        <v>21140-3713011-15</v>
      </c>
      <c r="G84" s="7"/>
      <c r="H84" s="7" t="s">
        <v>3</v>
      </c>
      <c r="I84" s="33">
        <v>1400</v>
      </c>
      <c r="J84" s="34">
        <f>VLOOKUP(I84,Наценка!$A$1:$B$8,2,1)</f>
        <v>1.75</v>
      </c>
      <c r="K84" s="35">
        <f t="shared" si="33"/>
        <v>2450</v>
      </c>
      <c r="L84" s="36">
        <f t="shared" si="30"/>
        <v>2490</v>
      </c>
      <c r="M84" s="39">
        <f>VLOOKUP($A84,'Выгр Кат'!$A:$R,M$1,0)</f>
        <v>1400</v>
      </c>
      <c r="N84" s="39">
        <f>VLOOKUP($A84,'Выгр Кат'!$A:$R,N$1,0)</f>
        <v>2490</v>
      </c>
      <c r="O84" s="18">
        <f t="shared" si="19"/>
        <v>0</v>
      </c>
      <c r="P84" s="18">
        <f t="shared" si="20"/>
        <v>0</v>
      </c>
      <c r="Q84" s="22">
        <f t="shared" si="25"/>
        <v>2315.6999999999998</v>
      </c>
      <c r="R84" s="49" t="str">
        <f>IFERROR((VLOOKUP($A84,'Из ГУГЛа'!$B:$G,6,0)+T84)*S84,VLOOKUP($A84,'Из ГУГЛа'!$B:$G,6,0))</f>
        <v/>
      </c>
      <c r="S84" s="15">
        <v>1</v>
      </c>
      <c r="T84" s="15">
        <v>0</v>
      </c>
      <c r="U84" s="41">
        <f t="shared" si="26"/>
        <v>0.65407142857142841</v>
      </c>
      <c r="V84" s="41" t="str">
        <f t="shared" si="27"/>
        <v/>
      </c>
      <c r="W84" s="41" t="str">
        <f t="shared" si="28"/>
        <v/>
      </c>
      <c r="X84" s="45" t="s">
        <v>272</v>
      </c>
    </row>
    <row r="85" spans="1:25" ht="30" x14ac:dyDescent="0.25">
      <c r="A85" s="39">
        <v>136979</v>
      </c>
      <c r="B85" s="39">
        <f>VLOOKUP($A85,'Выгр Кат'!$A:$R,B$1,0)</f>
        <v>59063</v>
      </c>
      <c r="C85" s="40" t="str">
        <f>VLOOKUP($A85,'Выгр Кат'!$A:$R,C$1,0)</f>
        <v>Блок-фара "СЕВиЕМ" правая (белый поворотник) для ВАЗ 2113-2115</v>
      </c>
      <c r="D85" s="39" t="str">
        <f>VLOOKUP($A85,'Выгр Кат'!$A:$R,D$1,0)</f>
        <v>Y</v>
      </c>
      <c r="E85" s="39" t="str">
        <f>VLOOKUP($A85,'Выгр Кат'!$A:$R,E$1,0)</f>
        <v>1</v>
      </c>
      <c r="F85" s="39" t="str">
        <f>VLOOKUP($A85,'Выгр Кат'!$A:$R,F$1,0)</f>
        <v>21140-3713010-15</v>
      </c>
      <c r="G85" s="7"/>
      <c r="H85" s="7" t="s">
        <v>3</v>
      </c>
      <c r="I85" s="33">
        <v>1400</v>
      </c>
      <c r="J85" s="34">
        <f>VLOOKUP(I85,Наценка!$A$1:$B$8,2,1)</f>
        <v>1.75</v>
      </c>
      <c r="K85" s="35">
        <f t="shared" si="33"/>
        <v>2450</v>
      </c>
      <c r="L85" s="36">
        <f t="shared" si="30"/>
        <v>2490</v>
      </c>
      <c r="M85" s="39">
        <f>VLOOKUP($A85,'Выгр Кат'!$A:$R,M$1,0)</f>
        <v>1400</v>
      </c>
      <c r="N85" s="39">
        <f>VLOOKUP($A85,'Выгр Кат'!$A:$R,N$1,0)</f>
        <v>2490</v>
      </c>
      <c r="O85" s="18">
        <f t="shared" si="19"/>
        <v>0</v>
      </c>
      <c r="P85" s="18">
        <f t="shared" si="20"/>
        <v>0</v>
      </c>
      <c r="Q85" s="22">
        <f t="shared" si="25"/>
        <v>2315.6999999999998</v>
      </c>
      <c r="R85" s="49" t="str">
        <f>IFERROR((VLOOKUP($A85,'Из ГУГЛа'!$B:$G,6,0)+T85)*S85,VLOOKUP($A85,'Из ГУГЛа'!$B:$G,6,0))</f>
        <v/>
      </c>
      <c r="S85" s="15">
        <v>1</v>
      </c>
      <c r="T85" s="15">
        <v>0</v>
      </c>
      <c r="U85" s="41">
        <f t="shared" si="26"/>
        <v>0.65407142857142841</v>
      </c>
      <c r="V85" s="41" t="str">
        <f t="shared" si="27"/>
        <v/>
      </c>
      <c r="W85" s="41" t="str">
        <f t="shared" si="28"/>
        <v/>
      </c>
      <c r="X85" s="45" t="s">
        <v>272</v>
      </c>
    </row>
    <row r="86" spans="1:25" ht="60.75" thickBot="1" x14ac:dyDescent="0.3">
      <c r="A86" s="39">
        <v>158511</v>
      </c>
      <c r="B86" s="39">
        <f>VLOOKUP($A86,'Выгр Кат'!$A:$R,B$1,0)</f>
        <v>21040</v>
      </c>
      <c r="C86" s="40" t="str">
        <f>VLOOKUP($A86,'Выгр Кат'!$A:$R,C$1,0)</f>
        <v>Комплект диодных противотуманных фар "ML Auto Light Technology" (3 полосы) для Лада Приора, Шевроле Нива</v>
      </c>
      <c r="D86" s="39" t="str">
        <f>VLOOKUP($A86,'Выгр Кат'!$A:$R,D$1,0)</f>
        <v>Y</v>
      </c>
      <c r="E86" s="39" t="str">
        <f>VLOOKUP($A86,'Выгр Кат'!$A:$R,E$1,0)</f>
        <v>1</v>
      </c>
      <c r="F86" s="39" t="str">
        <f>VLOOKUP($A86,'Выгр Кат'!$A:$R,F$1,0)</f>
        <v>7ML19221701305</v>
      </c>
      <c r="G86" s="5"/>
      <c r="H86" s="7" t="s">
        <v>3</v>
      </c>
      <c r="I86" s="33">
        <v>1500</v>
      </c>
      <c r="J86" s="34">
        <f>VLOOKUP(I86,Наценка!$A$1:$B$8,2,1)</f>
        <v>1.75</v>
      </c>
      <c r="K86" s="56">
        <f>I86*1.23*100/93</f>
        <v>1983.8709677419354</v>
      </c>
      <c r="L86" s="36">
        <f t="shared" si="30"/>
        <v>1990</v>
      </c>
      <c r="M86" s="39">
        <f>VLOOKUP($A86,'Выгр Кат'!$A:$R,M$1,0)</f>
        <v>1500</v>
      </c>
      <c r="N86" s="39">
        <f>VLOOKUP($A86,'Выгр Кат'!$A:$R,N$1,0)</f>
        <v>1990</v>
      </c>
      <c r="O86" s="18">
        <f t="shared" si="19"/>
        <v>0</v>
      </c>
      <c r="P86" s="18">
        <f t="shared" si="20"/>
        <v>0</v>
      </c>
      <c r="Q86" s="22">
        <f t="shared" si="25"/>
        <v>1850.6999999999998</v>
      </c>
      <c r="R86" s="49">
        <f>IFERROR((VLOOKUP($A86,'Из ГУГЛа'!$B:$G,6,0)+T86)*S86,VLOOKUP($A86,'Из ГУГЛа'!$B:$G,6,0))</f>
        <v>1790</v>
      </c>
      <c r="S86" s="15">
        <v>1</v>
      </c>
      <c r="T86" s="15">
        <v>0</v>
      </c>
      <c r="U86" s="41">
        <f t="shared" si="26"/>
        <v>0.23379999999999979</v>
      </c>
      <c r="V86" s="41">
        <f t="shared" si="27"/>
        <v>-3.3910614525139562E-2</v>
      </c>
      <c r="W86" s="41">
        <f t="shared" si="28"/>
        <v>0.19333333333333336</v>
      </c>
      <c r="X86" s="44">
        <v>1790</v>
      </c>
      <c r="Y86" s="24" t="s">
        <v>202</v>
      </c>
    </row>
    <row r="87" spans="1:25" ht="46.5" thickTop="1" thickBot="1" x14ac:dyDescent="0.3">
      <c r="A87" s="39">
        <v>143743</v>
      </c>
      <c r="B87" s="39">
        <f>VLOOKUP($A87,'Выгр Кат'!$A:$R,B$1,0)</f>
        <v>23608</v>
      </c>
      <c r="C87" s="40" t="str">
        <f>VLOOKUP($A87,'Выгр Кат'!$A:$R,C$1,0)</f>
        <v>Диодные LED ПТФ 5 линз, 2 режима (6000К бело-синий, 3000K жёлтый) для Лада Приора 2</v>
      </c>
      <c r="D87" s="39" t="str">
        <f>VLOOKUP($A87,'Выгр Кат'!$A:$R,D$1,0)</f>
        <v>Y</v>
      </c>
      <c r="E87" s="39" t="str">
        <f>VLOOKUP($A87,'Выгр Кат'!$A:$R,E$1,0)</f>
        <v>1</v>
      </c>
      <c r="F87" s="39">
        <f>VLOOKUP($A87,'Выгр Кат'!$A:$R,F$1,0)</f>
        <v>0</v>
      </c>
      <c r="G87" s="5"/>
      <c r="H87" s="7" t="s">
        <v>3</v>
      </c>
      <c r="I87" s="33">
        <v>1500</v>
      </c>
      <c r="J87" s="34">
        <f>VLOOKUP(I87,Наценка!$A$1:$B$8,2,1)</f>
        <v>1.75</v>
      </c>
      <c r="K87" s="35">
        <f t="shared" si="33"/>
        <v>2625</v>
      </c>
      <c r="L87" s="36">
        <f t="shared" si="30"/>
        <v>2690</v>
      </c>
      <c r="M87" s="39">
        <f>VLOOKUP($A87,'Выгр Кат'!$A:$R,M$1,0)</f>
        <v>1500</v>
      </c>
      <c r="N87" s="39">
        <f>VLOOKUP($A87,'Выгр Кат'!$A:$R,N$1,0)</f>
        <v>2690</v>
      </c>
      <c r="O87" s="18">
        <f t="shared" si="19"/>
        <v>0</v>
      </c>
      <c r="P87" s="18">
        <f t="shared" si="20"/>
        <v>0</v>
      </c>
      <c r="Q87" s="22">
        <f t="shared" si="25"/>
        <v>2501.6999999999998</v>
      </c>
      <c r="R87" s="49" t="str">
        <f>IFERROR((VLOOKUP($A87,'Из ГУГЛа'!$B:$G,6,0)+T87)*S87,VLOOKUP($A87,'Из ГУГЛа'!$B:$G,6,0))</f>
        <v/>
      </c>
      <c r="S87" s="15">
        <v>1</v>
      </c>
      <c r="T87" s="15">
        <v>0</v>
      </c>
      <c r="U87" s="41">
        <f t="shared" si="26"/>
        <v>0.66779999999999995</v>
      </c>
      <c r="V87" s="41" t="str">
        <f t="shared" si="27"/>
        <v/>
      </c>
      <c r="W87" s="41" t="str">
        <f t="shared" si="28"/>
        <v/>
      </c>
      <c r="X87" s="44" t="s">
        <v>273</v>
      </c>
    </row>
    <row r="88" spans="1:25" ht="30.75" thickTop="1" x14ac:dyDescent="0.25">
      <c r="A88" s="39">
        <v>145430</v>
      </c>
      <c r="B88" s="39">
        <f>VLOOKUP($A88,'Выгр Кат'!$A:$R,B$1,0)</f>
        <v>28079</v>
      </c>
      <c r="C88" s="40" t="str">
        <f>VLOOKUP($A88,'Выгр Кат'!$A:$R,C$1,0)</f>
        <v>Задние дополнительные диодные фонари "СЕВиЕМ" для Лада Ларгус</v>
      </c>
      <c r="D88" s="39" t="str">
        <f>VLOOKUP($A88,'Выгр Кат'!$A:$R,D$1,0)</f>
        <v>Y</v>
      </c>
      <c r="E88" s="39" t="str">
        <f>VLOOKUP($A88,'Выгр Кат'!$A:$R,E$1,0)</f>
        <v>1</v>
      </c>
      <c r="F88" s="39">
        <f>VLOOKUP($A88,'Выгр Кат'!$A:$R,F$1,0)</f>
        <v>0</v>
      </c>
      <c r="G88" s="5"/>
      <c r="H88" s="7" t="s">
        <v>3</v>
      </c>
      <c r="I88" s="33">
        <v>1500</v>
      </c>
      <c r="J88" s="34">
        <f>VLOOKUP(I88,Наценка!$A$1:$B$8,2,1)</f>
        <v>1.75</v>
      </c>
      <c r="K88" s="35">
        <f t="shared" si="33"/>
        <v>2625</v>
      </c>
      <c r="L88" s="36">
        <f t="shared" si="30"/>
        <v>2690</v>
      </c>
      <c r="M88" s="39">
        <f>VLOOKUP($A88,'Выгр Кат'!$A:$R,M$1,0)</f>
        <v>1500</v>
      </c>
      <c r="N88" s="39">
        <f>VLOOKUP($A88,'Выгр Кат'!$A:$R,N$1,0)</f>
        <v>2690</v>
      </c>
      <c r="O88" s="18">
        <f t="shared" si="19"/>
        <v>0</v>
      </c>
      <c r="P88" s="18">
        <f t="shared" si="20"/>
        <v>0</v>
      </c>
      <c r="Q88" s="22">
        <f t="shared" si="25"/>
        <v>2501.6999999999998</v>
      </c>
      <c r="R88" s="49" t="str">
        <f>IFERROR((VLOOKUP($A88,'Из ГУГЛа'!$B:$G,6,0)+T88)*S88,VLOOKUP($A88,'Из ГУГЛа'!$B:$G,6,0))</f>
        <v/>
      </c>
      <c r="S88" s="15">
        <v>1</v>
      </c>
      <c r="T88" s="15">
        <v>0</v>
      </c>
      <c r="U88" s="41">
        <f t="shared" si="26"/>
        <v>0.66779999999999995</v>
      </c>
      <c r="V88" s="41" t="str">
        <f t="shared" si="27"/>
        <v/>
      </c>
      <c r="W88" s="41" t="str">
        <f t="shared" si="28"/>
        <v/>
      </c>
      <c r="X88" s="45" t="s">
        <v>273</v>
      </c>
    </row>
    <row r="89" spans="1:25" ht="30" x14ac:dyDescent="0.25">
      <c r="A89" s="39">
        <v>145563</v>
      </c>
      <c r="B89" s="39">
        <f>VLOOKUP($A89,'Выгр Кат'!$A:$R,B$1,0)</f>
        <v>11769</v>
      </c>
      <c r="C89" s="40" t="str">
        <f>VLOOKUP($A89,'Выгр Кат'!$A:$R,C$1,0)</f>
        <v>Задние фонари клюшка "СЕВиЕМ" чёрные для ВАЗ 2110</v>
      </c>
      <c r="D89" s="39" t="str">
        <f>VLOOKUP($A89,'Выгр Кат'!$A:$R,D$1,0)</f>
        <v>Y</v>
      </c>
      <c r="E89" s="39" t="str">
        <f>VLOOKUP($A89,'Выгр Кат'!$A:$R,E$1,0)</f>
        <v>1</v>
      </c>
      <c r="F89" s="39">
        <f>VLOOKUP($A89,'Выгр Кат'!$A:$R,F$1,0)</f>
        <v>0</v>
      </c>
      <c r="G89" s="5"/>
      <c r="H89" s="7" t="s">
        <v>3</v>
      </c>
      <c r="I89" s="33">
        <v>1700</v>
      </c>
      <c r="J89" s="34">
        <f>VLOOKUP(I89,Наценка!$A$1:$B$8,2,1)</f>
        <v>1.75</v>
      </c>
      <c r="K89" s="35">
        <f t="shared" si="33"/>
        <v>2975</v>
      </c>
      <c r="L89" s="36">
        <f t="shared" si="30"/>
        <v>2990</v>
      </c>
      <c r="M89" s="39">
        <f>VLOOKUP($A89,'Выгр Кат'!$A:$R,M$1,0)</f>
        <v>1700</v>
      </c>
      <c r="N89" s="39">
        <f>VLOOKUP($A89,'Выгр Кат'!$A:$R,N$1,0)</f>
        <v>2990</v>
      </c>
      <c r="O89" s="18">
        <f t="shared" si="19"/>
        <v>0</v>
      </c>
      <c r="P89" s="18">
        <f t="shared" si="20"/>
        <v>0</v>
      </c>
      <c r="Q89" s="22">
        <f t="shared" si="25"/>
        <v>2780.7</v>
      </c>
      <c r="R89" s="49" t="str">
        <f>IFERROR((VLOOKUP($A89,'Из ГУГЛа'!$B:$G,6,0)+T89)*S89,VLOOKUP($A89,'Из ГУГЛа'!$B:$G,6,0))</f>
        <v/>
      </c>
      <c r="S89" s="15">
        <v>1</v>
      </c>
      <c r="T89" s="15">
        <v>0</v>
      </c>
      <c r="U89" s="41">
        <f t="shared" si="26"/>
        <v>0.63570588235294112</v>
      </c>
      <c r="V89" s="41" t="str">
        <f t="shared" si="27"/>
        <v/>
      </c>
      <c r="W89" s="41" t="str">
        <f t="shared" si="28"/>
        <v/>
      </c>
      <c r="X89" s="45" t="s">
        <v>272</v>
      </c>
    </row>
    <row r="90" spans="1:25" x14ac:dyDescent="0.25">
      <c r="A90" s="39">
        <v>247460</v>
      </c>
      <c r="B90" s="39">
        <f>VLOOKUP($A90,'Выгр Кат'!$A:$R,B$1,0)</f>
        <v>180190</v>
      </c>
      <c r="C90" s="40" t="str">
        <f>VLOOKUP($A90,'Выгр Кат'!$A:$R,C$1,0)</f>
        <v>Корпус фары (левый) для Лада Веста</v>
      </c>
      <c r="D90" s="39" t="str">
        <f>VLOOKUP($A90,'Выгр Кат'!$A:$R,D$1,0)</f>
        <v>Y</v>
      </c>
      <c r="E90" s="39" t="str">
        <f>VLOOKUP($A90,'Выгр Кат'!$A:$R,E$1,0)</f>
        <v>0</v>
      </c>
      <c r="F90" s="39" t="str">
        <f>VLOOKUP($A90,'Выгр Кат'!$A:$R,F$1,0)</f>
        <v>8450006953/2</v>
      </c>
      <c r="G90" s="5"/>
      <c r="H90" s="7" t="s">
        <v>3</v>
      </c>
      <c r="I90" s="33">
        <v>1700</v>
      </c>
      <c r="J90" s="34">
        <f>VLOOKUP(I90,Наценка!$A$1:$B$8,2,1)</f>
        <v>1.75</v>
      </c>
      <c r="K90" s="54">
        <f t="shared" ref="K90:K91" si="36">X90*1.07</f>
        <v>3092.3</v>
      </c>
      <c r="L90" s="36">
        <f t="shared" si="30"/>
        <v>3090</v>
      </c>
      <c r="M90" s="39">
        <f>VLOOKUP($A90,'Выгр Кат'!$A:$R,M$1,0)</f>
        <v>1700</v>
      </c>
      <c r="N90" s="39">
        <f>VLOOKUP($A90,'Выгр Кат'!$A:$R,N$1,0)</f>
        <v>3090</v>
      </c>
      <c r="O90" s="18">
        <f t="shared" ref="O90:O135" si="37">M90-I90</f>
        <v>0</v>
      </c>
      <c r="P90" s="18">
        <f t="shared" ref="P90:P135" si="38">N90-L90</f>
        <v>0</v>
      </c>
      <c r="Q90" s="22">
        <f t="shared" si="25"/>
        <v>2873.7</v>
      </c>
      <c r="R90" s="49">
        <f>IFERROR((VLOOKUP($A90,'Из ГУГЛа'!$B:$G,6,0)+T90)*S90,VLOOKUP($A90,'Из ГУГЛа'!$B:$G,6,0))</f>
        <v>2890</v>
      </c>
      <c r="S90" s="15">
        <v>1</v>
      </c>
      <c r="T90" s="15">
        <v>0</v>
      </c>
      <c r="U90" s="41">
        <f t="shared" si="26"/>
        <v>0.69041176470588228</v>
      </c>
      <c r="V90" s="41">
        <f t="shared" si="27"/>
        <v>5.6401384083045614E-3</v>
      </c>
      <c r="W90" s="41">
        <f t="shared" si="28"/>
        <v>0.7</v>
      </c>
      <c r="X90" s="42">
        <v>2890</v>
      </c>
      <c r="Y90" s="24" t="s">
        <v>304</v>
      </c>
    </row>
    <row r="91" spans="1:25" x14ac:dyDescent="0.25">
      <c r="A91" s="39">
        <v>247463</v>
      </c>
      <c r="B91" s="39">
        <f>VLOOKUP($A91,'Выгр Кат'!$A:$R,B$1,0)</f>
        <v>180192</v>
      </c>
      <c r="C91" s="40" t="str">
        <f>VLOOKUP($A91,'Выгр Кат'!$A:$R,C$1,0)</f>
        <v>Корпус фары (правый) для Лада Веста</v>
      </c>
      <c r="D91" s="39" t="str">
        <f>VLOOKUP($A91,'Выгр Кат'!$A:$R,D$1,0)</f>
        <v>Y</v>
      </c>
      <c r="E91" s="39" t="str">
        <f>VLOOKUP($A91,'Выгр Кат'!$A:$R,E$1,0)</f>
        <v>0</v>
      </c>
      <c r="F91" s="39" t="str">
        <f>VLOOKUP($A91,'Выгр Кат'!$A:$R,F$1,0)</f>
        <v>8450006952/2</v>
      </c>
      <c r="G91" s="5"/>
      <c r="H91" s="7" t="s">
        <v>3</v>
      </c>
      <c r="I91" s="33">
        <v>1700</v>
      </c>
      <c r="J91" s="34">
        <f>VLOOKUP(I91,Наценка!$A$1:$B$8,2,1)</f>
        <v>1.75</v>
      </c>
      <c r="K91" s="54">
        <f t="shared" si="36"/>
        <v>3092.3</v>
      </c>
      <c r="L91" s="36">
        <f t="shared" si="30"/>
        <v>3090</v>
      </c>
      <c r="M91" s="39">
        <f>VLOOKUP($A91,'Выгр Кат'!$A:$R,M$1,0)</f>
        <v>1700</v>
      </c>
      <c r="N91" s="39">
        <f>VLOOKUP($A91,'Выгр Кат'!$A:$R,N$1,0)</f>
        <v>3090</v>
      </c>
      <c r="O91" s="18">
        <f t="shared" si="37"/>
        <v>0</v>
      </c>
      <c r="P91" s="18">
        <f t="shared" si="38"/>
        <v>0</v>
      </c>
      <c r="Q91" s="22">
        <f t="shared" si="25"/>
        <v>2873.7</v>
      </c>
      <c r="R91" s="49">
        <f>IFERROR((VLOOKUP($A91,'Из ГУГЛа'!$B:$G,6,0)+T91)*S91,VLOOKUP($A91,'Из ГУГЛа'!$B:$G,6,0))</f>
        <v>2890</v>
      </c>
      <c r="S91" s="15">
        <v>1</v>
      </c>
      <c r="T91" s="15">
        <v>0</v>
      </c>
      <c r="U91" s="41">
        <f t="shared" si="26"/>
        <v>0.69041176470588228</v>
      </c>
      <c r="V91" s="41">
        <f t="shared" si="27"/>
        <v>5.6401384083045614E-3</v>
      </c>
      <c r="W91" s="41">
        <f t="shared" si="28"/>
        <v>0.7</v>
      </c>
      <c r="X91" s="42">
        <v>2890</v>
      </c>
      <c r="Y91" s="24" t="s">
        <v>305</v>
      </c>
    </row>
    <row r="92" spans="1:25" ht="30" x14ac:dyDescent="0.25">
      <c r="A92" s="39">
        <v>136975</v>
      </c>
      <c r="B92" s="39">
        <f>VLOOKUP($A92,'Выгр Кат'!$A:$R,B$1,0)</f>
        <v>36736</v>
      </c>
      <c r="C92" s="40" t="str">
        <f>VLOOKUP($A92,'Выгр Кат'!$A:$R,C$1,0)</f>
        <v>Блок-фара "СЕВиЕМ" левая для Лада Гранта</v>
      </c>
      <c r="D92" s="39" t="str">
        <f>VLOOKUP($A92,'Выгр Кат'!$A:$R,D$1,0)</f>
        <v>Y</v>
      </c>
      <c r="E92" s="39" t="str">
        <f>VLOOKUP($A92,'Выгр Кат'!$A:$R,E$1,0)</f>
        <v>1</v>
      </c>
      <c r="F92" s="39" t="str">
        <f>VLOOKUP($A92,'Выгр Кат'!$A:$R,F$1,0)</f>
        <v>5190-3713011-15</v>
      </c>
      <c r="G92" s="5"/>
      <c r="H92" s="7" t="s">
        <v>3</v>
      </c>
      <c r="I92" s="33">
        <v>2100</v>
      </c>
      <c r="J92" s="34">
        <f>VLOOKUP(I92,Наценка!$A$1:$B$8,2,1)</f>
        <v>1.35</v>
      </c>
      <c r="K92" s="35">
        <f t="shared" si="33"/>
        <v>2835</v>
      </c>
      <c r="L92" s="36">
        <f t="shared" si="30"/>
        <v>2890</v>
      </c>
      <c r="M92" s="39">
        <f>VLOOKUP($A92,'Выгр Кат'!$A:$R,M$1,0)</f>
        <v>2100</v>
      </c>
      <c r="N92" s="39">
        <f>VLOOKUP($A92,'Выгр Кат'!$A:$R,N$1,0)</f>
        <v>2890</v>
      </c>
      <c r="O92" s="18">
        <f t="shared" si="37"/>
        <v>0</v>
      </c>
      <c r="P92" s="18">
        <f t="shared" si="38"/>
        <v>0</v>
      </c>
      <c r="Q92" s="22">
        <f t="shared" si="25"/>
        <v>2687.7</v>
      </c>
      <c r="R92" s="49" t="str">
        <f>IFERROR((VLOOKUP($A92,'Из ГУГЛа'!$B:$G,6,0)+T92)*S92,VLOOKUP($A92,'Из ГУГЛа'!$B:$G,6,0))</f>
        <v/>
      </c>
      <c r="S92" s="15">
        <v>1</v>
      </c>
      <c r="T92" s="15">
        <v>0</v>
      </c>
      <c r="U92" s="41">
        <f t="shared" si="26"/>
        <v>0.2798571428571428</v>
      </c>
      <c r="V92" s="41" t="str">
        <f t="shared" si="27"/>
        <v/>
      </c>
      <c r="W92" s="41" t="str">
        <f t="shared" si="28"/>
        <v/>
      </c>
      <c r="X92" s="45" t="s">
        <v>273</v>
      </c>
    </row>
    <row r="93" spans="1:25" ht="30" x14ac:dyDescent="0.25">
      <c r="A93" s="39">
        <v>136978</v>
      </c>
      <c r="B93" s="39">
        <f>VLOOKUP($A93,'Выгр Кат'!$A:$R,B$1,0)</f>
        <v>36732</v>
      </c>
      <c r="C93" s="40" t="str">
        <f>VLOOKUP($A93,'Выгр Кат'!$A:$R,C$1,0)</f>
        <v>Блок-фара "СЕВиЕМ" левая для Лада Ларгус</v>
      </c>
      <c r="D93" s="39" t="str">
        <f>VLOOKUP($A93,'Выгр Кат'!$A:$R,D$1,0)</f>
        <v>Y</v>
      </c>
      <c r="E93" s="39" t="str">
        <f>VLOOKUP($A93,'Выгр Кат'!$A:$R,E$1,0)</f>
        <v>1</v>
      </c>
      <c r="F93" s="39" t="str">
        <f>VLOOKUP($A93,'Выгр Кат'!$A:$R,F$1,0)</f>
        <v>5200744753</v>
      </c>
      <c r="G93" s="5"/>
      <c r="H93" s="7" t="s">
        <v>3</v>
      </c>
      <c r="I93" s="33">
        <v>1800</v>
      </c>
      <c r="J93" s="34">
        <f>VLOOKUP(I93,Наценка!$A$1:$B$8,2,1)</f>
        <v>1.75</v>
      </c>
      <c r="K93" s="53">
        <f>X93*1.06</f>
        <v>3492.7000000000003</v>
      </c>
      <c r="L93" s="36">
        <f t="shared" si="30"/>
        <v>3490</v>
      </c>
      <c r="M93" s="39">
        <f>VLOOKUP($A93,'Выгр Кат'!$A:$R,M$1,0)</f>
        <v>1800</v>
      </c>
      <c r="N93" s="39">
        <f>VLOOKUP($A93,'Выгр Кат'!$A:$R,N$1,0)</f>
        <v>3490</v>
      </c>
      <c r="O93" s="18">
        <f t="shared" si="37"/>
        <v>0</v>
      </c>
      <c r="P93" s="18">
        <f t="shared" si="38"/>
        <v>0</v>
      </c>
      <c r="Q93" s="22">
        <f t="shared" si="25"/>
        <v>3245.7</v>
      </c>
      <c r="R93" s="49">
        <f>IFERROR((VLOOKUP($A93,'Из ГУГЛа'!$B:$G,6,0)+T93)*S93,VLOOKUP($A93,'Из ГУГЛа'!$B:$G,6,0))</f>
        <v>3295</v>
      </c>
      <c r="S93" s="15">
        <v>0.5</v>
      </c>
      <c r="T93" s="15">
        <v>0</v>
      </c>
      <c r="U93" s="41">
        <f t="shared" si="26"/>
        <v>0.80316666666666658</v>
      </c>
      <c r="V93" s="41">
        <f t="shared" si="27"/>
        <v>1.4962063732928734E-2</v>
      </c>
      <c r="W93" s="41">
        <f t="shared" si="28"/>
        <v>0.83055555555555549</v>
      </c>
      <c r="X93" s="45">
        <f>6590/2</f>
        <v>3295</v>
      </c>
      <c r="Y93" s="24" t="s">
        <v>284</v>
      </c>
    </row>
    <row r="94" spans="1:25" ht="30" x14ac:dyDescent="0.25">
      <c r="A94" s="39">
        <v>136984</v>
      </c>
      <c r="B94" s="39">
        <f>VLOOKUP($A94,'Выгр Кат'!$A:$R,B$1,0)</f>
        <v>36737</v>
      </c>
      <c r="C94" s="40" t="str">
        <f>VLOOKUP($A94,'Выгр Кат'!$A:$R,C$1,0)</f>
        <v>Блок-фара "СЕВиЕМ" правая для Лада Гранта</v>
      </c>
      <c r="D94" s="39" t="str">
        <f>VLOOKUP($A94,'Выгр Кат'!$A:$R,D$1,0)</f>
        <v>Y</v>
      </c>
      <c r="E94" s="39" t="str">
        <f>VLOOKUP($A94,'Выгр Кат'!$A:$R,E$1,0)</f>
        <v>1</v>
      </c>
      <c r="F94" s="39" t="str">
        <f>VLOOKUP($A94,'Выгр Кат'!$A:$R,F$1,0)</f>
        <v>5190-3713010-15</v>
      </c>
      <c r="G94" s="5"/>
      <c r="H94" s="7" t="s">
        <v>3</v>
      </c>
      <c r="I94" s="33">
        <v>2100</v>
      </c>
      <c r="J94" s="34">
        <f>VLOOKUP(I94,Наценка!$A$1:$B$8,2,1)</f>
        <v>1.35</v>
      </c>
      <c r="K94" s="35">
        <f t="shared" si="33"/>
        <v>2835</v>
      </c>
      <c r="L94" s="36">
        <f t="shared" si="30"/>
        <v>2890</v>
      </c>
      <c r="M94" s="39">
        <f>VLOOKUP($A94,'Выгр Кат'!$A:$R,M$1,0)</f>
        <v>2100</v>
      </c>
      <c r="N94" s="39">
        <f>VLOOKUP($A94,'Выгр Кат'!$A:$R,N$1,0)</f>
        <v>2890</v>
      </c>
      <c r="O94" s="18">
        <f t="shared" si="37"/>
        <v>0</v>
      </c>
      <c r="P94" s="18">
        <f t="shared" si="38"/>
        <v>0</v>
      </c>
      <c r="Q94" s="22">
        <f t="shared" si="25"/>
        <v>2687.7</v>
      </c>
      <c r="R94" s="49" t="str">
        <f>IFERROR((VLOOKUP($A94,'Из ГУГЛа'!$B:$G,6,0)+T94)*S94,VLOOKUP($A94,'Из ГУГЛа'!$B:$G,6,0))</f>
        <v/>
      </c>
      <c r="S94" s="15">
        <v>1</v>
      </c>
      <c r="T94" s="15">
        <v>0</v>
      </c>
      <c r="U94" s="41">
        <f t="shared" si="26"/>
        <v>0.2798571428571428</v>
      </c>
      <c r="V94" s="41" t="str">
        <f t="shared" si="27"/>
        <v/>
      </c>
      <c r="W94" s="41" t="str">
        <f t="shared" si="28"/>
        <v/>
      </c>
      <c r="X94" s="45" t="s">
        <v>273</v>
      </c>
    </row>
    <row r="95" spans="1:25" ht="30" x14ac:dyDescent="0.25">
      <c r="A95" s="39">
        <v>136987</v>
      </c>
      <c r="B95" s="39">
        <f>VLOOKUP($A95,'Выгр Кат'!$A:$R,B$1,0)</f>
        <v>36733</v>
      </c>
      <c r="C95" s="40" t="str">
        <f>VLOOKUP($A95,'Выгр Кат'!$A:$R,C$1,0)</f>
        <v>Блок-фара "СЕВиЕМ" правая для Лада Ларгус</v>
      </c>
      <c r="D95" s="39" t="str">
        <f>VLOOKUP($A95,'Выгр Кат'!$A:$R,D$1,0)</f>
        <v>Y</v>
      </c>
      <c r="E95" s="39" t="str">
        <f>VLOOKUP($A95,'Выгр Кат'!$A:$R,E$1,0)</f>
        <v>1</v>
      </c>
      <c r="F95" s="39" t="str">
        <f>VLOOKUP($A95,'Выгр Кат'!$A:$R,F$1,0)</f>
        <v>5200744754</v>
      </c>
      <c r="G95" s="5"/>
      <c r="H95" s="7" t="s">
        <v>3</v>
      </c>
      <c r="I95" s="33">
        <v>1800</v>
      </c>
      <c r="J95" s="34">
        <f>VLOOKUP(I95,Наценка!$A$1:$B$8,2,1)</f>
        <v>1.75</v>
      </c>
      <c r="K95" s="53">
        <f>X95*1.06</f>
        <v>3492.7000000000003</v>
      </c>
      <c r="L95" s="36">
        <f t="shared" si="30"/>
        <v>3490</v>
      </c>
      <c r="M95" s="39">
        <f>VLOOKUP($A95,'Выгр Кат'!$A:$R,M$1,0)</f>
        <v>1800</v>
      </c>
      <c r="N95" s="39">
        <f>VLOOKUP($A95,'Выгр Кат'!$A:$R,N$1,0)</f>
        <v>3490</v>
      </c>
      <c r="O95" s="18">
        <f t="shared" si="37"/>
        <v>0</v>
      </c>
      <c r="P95" s="18">
        <f t="shared" si="38"/>
        <v>0</v>
      </c>
      <c r="Q95" s="22">
        <f t="shared" si="25"/>
        <v>3245.7</v>
      </c>
      <c r="R95" s="49">
        <f>IFERROR((VLOOKUP($A95,'Из ГУГЛа'!$B:$G,6,0)+T95)*S95,VLOOKUP($A95,'Из ГУГЛа'!$B:$G,6,0))</f>
        <v>3295</v>
      </c>
      <c r="S95" s="15">
        <v>0.5</v>
      </c>
      <c r="T95" s="15">
        <v>0</v>
      </c>
      <c r="U95" s="41">
        <f t="shared" si="26"/>
        <v>0.80316666666666658</v>
      </c>
      <c r="V95" s="41">
        <f t="shared" si="27"/>
        <v>1.4962063732928734E-2</v>
      </c>
      <c r="W95" s="41">
        <f t="shared" si="28"/>
        <v>0.83055555555555549</v>
      </c>
      <c r="X95" s="45">
        <f>6590/2</f>
        <v>3295</v>
      </c>
      <c r="Y95" s="24" t="s">
        <v>284</v>
      </c>
    </row>
    <row r="96" spans="1:25" ht="60" x14ac:dyDescent="0.25">
      <c r="A96" s="39">
        <v>213676</v>
      </c>
      <c r="B96" s="39">
        <f>VLOOKUP($A96,'Выгр Кат'!$A:$R,B$1,0)</f>
        <v>23637</v>
      </c>
      <c r="C96" s="40" t="str">
        <f>VLOOKUP($A96,'Выгр Кат'!$A:$R,C$1,0)</f>
        <v>Светодиодные противотуманные фары (4 полосы + ДХО, 40W) для ВАЗ 2110-2112, 2113-2115, Шевроле Нива (до рестайлинга)</v>
      </c>
      <c r="D96" s="39" t="str">
        <f>VLOOKUP($A96,'Выгр Кат'!$A:$R,D$1,0)</f>
        <v>Y</v>
      </c>
      <c r="E96" s="39" t="str">
        <f>VLOOKUP($A96,'Выгр Кат'!$A:$R,E$1,0)</f>
        <v>1</v>
      </c>
      <c r="F96" s="39">
        <f>VLOOKUP($A96,'Выгр Кат'!$A:$R,F$1,0)</f>
        <v>0</v>
      </c>
      <c r="G96" s="5"/>
      <c r="H96" s="7" t="s">
        <v>3</v>
      </c>
      <c r="I96" s="33">
        <v>1800</v>
      </c>
      <c r="J96" s="34">
        <f>VLOOKUP(I96,Наценка!$A$1:$B$8,2,1)</f>
        <v>1.75</v>
      </c>
      <c r="K96" s="35">
        <f t="shared" si="33"/>
        <v>3150</v>
      </c>
      <c r="L96" s="36">
        <f t="shared" si="30"/>
        <v>3190</v>
      </c>
      <c r="M96" s="39">
        <f>VLOOKUP($A96,'Выгр Кат'!$A:$R,M$1,0)</f>
        <v>1800</v>
      </c>
      <c r="N96" s="39">
        <f>VLOOKUP($A96,'Выгр Кат'!$A:$R,N$1,0)</f>
        <v>3190</v>
      </c>
      <c r="O96" s="18">
        <f t="shared" si="37"/>
        <v>0</v>
      </c>
      <c r="P96" s="18">
        <f t="shared" si="38"/>
        <v>0</v>
      </c>
      <c r="Q96" s="22">
        <f t="shared" si="25"/>
        <v>2966.7</v>
      </c>
      <c r="R96" s="49" t="str">
        <f>IFERROR((VLOOKUP($A96,'Из ГУГЛа'!$B:$G,6,0)+T96)*S96,VLOOKUP($A96,'Из ГУГЛа'!$B:$G,6,0))</f>
        <v/>
      </c>
      <c r="S96" s="15">
        <v>1</v>
      </c>
      <c r="T96" s="15">
        <v>0</v>
      </c>
      <c r="U96" s="41">
        <f t="shared" si="26"/>
        <v>0.64816666666666656</v>
      </c>
      <c r="V96" s="41" t="str">
        <f t="shared" si="27"/>
        <v/>
      </c>
      <c r="W96" s="41" t="str">
        <f t="shared" si="28"/>
        <v/>
      </c>
      <c r="X96" s="45" t="s">
        <v>273</v>
      </c>
    </row>
    <row r="97" spans="1:25" ht="45" x14ac:dyDescent="0.25">
      <c r="A97" s="39">
        <v>145429</v>
      </c>
      <c r="B97" s="39">
        <f>VLOOKUP($A97,'Выгр Кат'!$A:$R,B$1,0)</f>
        <v>166965</v>
      </c>
      <c r="C97" s="40" t="str">
        <f>VLOOKUP($A97,'Выгр Кат'!$A:$R,C$1,0)</f>
        <v>Задние дополнительные диодные фонари "СЕВиЕМ" (красные) для Лада Ларгус</v>
      </c>
      <c r="D97" s="39" t="str">
        <f>VLOOKUP($A97,'Выгр Кат'!$A:$R,D$1,0)</f>
        <v>Y</v>
      </c>
      <c r="E97" s="39" t="str">
        <f>VLOOKUP($A97,'Выгр Кат'!$A:$R,E$1,0)</f>
        <v>0</v>
      </c>
      <c r="F97" s="39">
        <f>VLOOKUP($A97,'Выгр Кат'!$A:$R,F$1,0)</f>
        <v>0</v>
      </c>
      <c r="G97" s="5"/>
      <c r="H97" s="7" t="s">
        <v>3</v>
      </c>
      <c r="I97" s="33">
        <v>1800</v>
      </c>
      <c r="J97" s="34">
        <f>VLOOKUP(I97,Наценка!$A$1:$B$8,2,1)</f>
        <v>1.75</v>
      </c>
      <c r="K97" s="35">
        <f t="shared" si="33"/>
        <v>3150</v>
      </c>
      <c r="L97" s="36">
        <f t="shared" si="30"/>
        <v>3190</v>
      </c>
      <c r="M97" s="39">
        <f>VLOOKUP($A97,'Выгр Кат'!$A:$R,M$1,0)</f>
        <v>1800</v>
      </c>
      <c r="N97" s="39">
        <f>VLOOKUP($A97,'Выгр Кат'!$A:$R,N$1,0)</f>
        <v>3190</v>
      </c>
      <c r="O97" s="18">
        <f t="shared" si="37"/>
        <v>0</v>
      </c>
      <c r="P97" s="18">
        <f t="shared" si="38"/>
        <v>0</v>
      </c>
      <c r="Q97" s="22">
        <f t="shared" si="25"/>
        <v>2966.7</v>
      </c>
      <c r="R97" s="49" t="str">
        <f>IFERROR((VLOOKUP($A97,'Из ГУГЛа'!$B:$G,6,0)+T97)*S97,VLOOKUP($A97,'Из ГУГЛа'!$B:$G,6,0))</f>
        <v/>
      </c>
      <c r="S97" s="15">
        <v>1</v>
      </c>
      <c r="T97" s="15">
        <v>0</v>
      </c>
      <c r="U97" s="41">
        <f t="shared" si="26"/>
        <v>0.64816666666666656</v>
      </c>
      <c r="V97" s="41" t="str">
        <f t="shared" si="27"/>
        <v/>
      </c>
      <c r="W97" s="41" t="str">
        <f t="shared" si="28"/>
        <v/>
      </c>
      <c r="X97" s="42"/>
    </row>
    <row r="98" spans="1:25" ht="45" x14ac:dyDescent="0.25">
      <c r="A98" s="39">
        <v>223807</v>
      </c>
      <c r="B98" s="39">
        <f>VLOOKUP($A98,'Выгр Кат'!$A:$R,B$1,0)</f>
        <v>70401</v>
      </c>
      <c r="C98" s="40" t="str">
        <f>VLOOKUP($A98,'Выгр Кат'!$A:$R,C$1,0)</f>
        <v>Фара "СЕВиЕМ" правая, гладкое стекло (тонированный поворотник и отражатель) для ВАЗ 2110-2112</v>
      </c>
      <c r="D98" s="39" t="str">
        <f>VLOOKUP($A98,'Выгр Кат'!$A:$R,D$1,0)</f>
        <v>Y</v>
      </c>
      <c r="E98" s="39" t="str">
        <f>VLOOKUP($A98,'Выгр Кат'!$A:$R,E$1,0)</f>
        <v>0</v>
      </c>
      <c r="F98" s="39">
        <f>VLOOKUP($A98,'Выгр Кат'!$A:$R,F$1,0)</f>
        <v>0</v>
      </c>
      <c r="G98" s="5"/>
      <c r="H98" s="7" t="s">
        <v>3</v>
      </c>
      <c r="I98" s="33">
        <v>2000</v>
      </c>
      <c r="J98" s="34">
        <f>VLOOKUP(I98,Наценка!$A$1:$B$8,2,1)</f>
        <v>1.35</v>
      </c>
      <c r="K98" s="35">
        <f t="shared" si="33"/>
        <v>2700</v>
      </c>
      <c r="L98" s="36">
        <f t="shared" si="30"/>
        <v>2690</v>
      </c>
      <c r="M98" s="39">
        <f>VLOOKUP($A98,'Выгр Кат'!$A:$R,M$1,0)</f>
        <v>2000</v>
      </c>
      <c r="N98" s="39">
        <f>VLOOKUP($A98,'Выгр Кат'!$A:$R,N$1,0)</f>
        <v>2690</v>
      </c>
      <c r="O98" s="18">
        <f t="shared" si="37"/>
        <v>0</v>
      </c>
      <c r="P98" s="18">
        <f t="shared" si="38"/>
        <v>0</v>
      </c>
      <c r="Q98" s="22">
        <f t="shared" si="25"/>
        <v>2501.6999999999998</v>
      </c>
      <c r="R98" s="49" t="str">
        <f>IFERROR((VLOOKUP($A98,'Из ГУГЛа'!$B:$G,6,0)+T98)*S98,VLOOKUP($A98,'Из ГУГЛа'!$B:$G,6,0))</f>
        <v/>
      </c>
      <c r="S98" s="15">
        <v>1</v>
      </c>
      <c r="T98" s="15">
        <v>0</v>
      </c>
      <c r="U98" s="41">
        <f t="shared" si="26"/>
        <v>0.25085000000000002</v>
      </c>
      <c r="V98" s="41" t="str">
        <f t="shared" si="27"/>
        <v/>
      </c>
      <c r="W98" s="41" t="str">
        <f t="shared" si="28"/>
        <v/>
      </c>
      <c r="X98" s="42" t="s">
        <v>272</v>
      </c>
    </row>
    <row r="99" spans="1:25" ht="45" x14ac:dyDescent="0.25">
      <c r="A99" s="39">
        <v>223805</v>
      </c>
      <c r="B99" s="39">
        <f>VLOOKUP($A99,'Выгр Кат'!$A:$R,B$1,0)</f>
        <v>70406</v>
      </c>
      <c r="C99" s="40" t="str">
        <f>VLOOKUP($A99,'Выгр Кат'!$A:$R,C$1,0)</f>
        <v>Фара "СЕВиЕМ" левая, гладкое стекло (тонированный поворотник и отражатель) для ВАЗ 2110-2112</v>
      </c>
      <c r="D99" s="39" t="str">
        <f>VLOOKUP($A99,'Выгр Кат'!$A:$R,D$1,0)</f>
        <v>Y</v>
      </c>
      <c r="E99" s="39" t="str">
        <f>VLOOKUP($A99,'Выгр Кат'!$A:$R,E$1,0)</f>
        <v>0</v>
      </c>
      <c r="F99" s="39">
        <f>VLOOKUP($A99,'Выгр Кат'!$A:$R,F$1,0)</f>
        <v>0</v>
      </c>
      <c r="G99" s="5"/>
      <c r="H99" s="7" t="s">
        <v>3</v>
      </c>
      <c r="I99" s="33">
        <v>2000</v>
      </c>
      <c r="J99" s="34">
        <f>VLOOKUP(I99,Наценка!$A$1:$B$8,2,1)</f>
        <v>1.35</v>
      </c>
      <c r="K99" s="35">
        <f t="shared" si="33"/>
        <v>2700</v>
      </c>
      <c r="L99" s="36">
        <f t="shared" si="30"/>
        <v>2690</v>
      </c>
      <c r="M99" s="39">
        <f>VLOOKUP($A99,'Выгр Кат'!$A:$R,M$1,0)</f>
        <v>2000</v>
      </c>
      <c r="N99" s="39">
        <f>VLOOKUP($A99,'Выгр Кат'!$A:$R,N$1,0)</f>
        <v>2690</v>
      </c>
      <c r="O99" s="18">
        <f t="shared" si="37"/>
        <v>0</v>
      </c>
      <c r="P99" s="18">
        <f t="shared" si="38"/>
        <v>0</v>
      </c>
      <c r="Q99" s="22">
        <f t="shared" si="25"/>
        <v>2501.6999999999998</v>
      </c>
      <c r="R99" s="49" t="str">
        <f>IFERROR((VLOOKUP($A99,'Из ГУГЛа'!$B:$G,6,0)+T99)*S99,VLOOKUP($A99,'Из ГУГЛа'!$B:$G,6,0))</f>
        <v/>
      </c>
      <c r="S99" s="15">
        <v>1</v>
      </c>
      <c r="T99" s="15">
        <v>0</v>
      </c>
      <c r="U99" s="41">
        <f t="shared" si="26"/>
        <v>0.25085000000000002</v>
      </c>
      <c r="V99" s="41" t="str">
        <f t="shared" si="27"/>
        <v/>
      </c>
      <c r="W99" s="41" t="str">
        <f t="shared" si="28"/>
        <v/>
      </c>
      <c r="X99" s="42" t="s">
        <v>272</v>
      </c>
    </row>
    <row r="100" spans="1:25" ht="60" x14ac:dyDescent="0.25">
      <c r="A100" s="39">
        <v>143740</v>
      </c>
      <c r="B100" s="39">
        <f>VLOOKUP($A100,'Выгр Кат'!$A:$R,B$1,0)</f>
        <v>23843</v>
      </c>
      <c r="C100" s="40" t="str">
        <f>VLOOKUP($A100,'Выгр Кат'!$A:$R,C$1,0)</f>
        <v>Диодные LED ПТФ (алюминиевый корпус радиатора, 2 режима, 6000К бело-синий, 3000K жёлтый) для Лада Приора 2</v>
      </c>
      <c r="D100" s="39" t="str">
        <f>VLOOKUP($A100,'Выгр Кат'!$A:$R,D$1,0)</f>
        <v>Y</v>
      </c>
      <c r="E100" s="39" t="str">
        <f>VLOOKUP($A100,'Выгр Кат'!$A:$R,E$1,0)</f>
        <v>1</v>
      </c>
      <c r="F100" s="39">
        <f>VLOOKUP($A100,'Выгр Кат'!$A:$R,F$1,0)</f>
        <v>0</v>
      </c>
      <c r="G100" s="5"/>
      <c r="H100" s="7" t="s">
        <v>3</v>
      </c>
      <c r="I100" s="33">
        <v>2000</v>
      </c>
      <c r="J100" s="34">
        <f>VLOOKUP(I100,Наценка!$A$1:$B$8,2,1)</f>
        <v>1.35</v>
      </c>
      <c r="K100" s="35">
        <f t="shared" si="33"/>
        <v>2700</v>
      </c>
      <c r="L100" s="36">
        <f t="shared" si="30"/>
        <v>2690</v>
      </c>
      <c r="M100" s="39">
        <f>VLOOKUP($A100,'Выгр Кат'!$A:$R,M$1,0)</f>
        <v>2000</v>
      </c>
      <c r="N100" s="39">
        <f>VLOOKUP($A100,'Выгр Кат'!$A:$R,N$1,0)</f>
        <v>2690</v>
      </c>
      <c r="O100" s="18">
        <f t="shared" si="37"/>
        <v>0</v>
      </c>
      <c r="P100" s="18">
        <f t="shared" si="38"/>
        <v>0</v>
      </c>
      <c r="Q100" s="22">
        <f t="shared" si="25"/>
        <v>2501.6999999999998</v>
      </c>
      <c r="R100" s="49" t="str">
        <f>IFERROR((VLOOKUP($A100,'Из ГУГЛа'!$B:$G,6,0)+T100)*S100,VLOOKUP($A100,'Из ГУГЛа'!$B:$G,6,0))</f>
        <v/>
      </c>
      <c r="S100" s="15">
        <v>1</v>
      </c>
      <c r="T100" s="15">
        <v>0</v>
      </c>
      <c r="U100" s="41">
        <f t="shared" si="26"/>
        <v>0.25085000000000002</v>
      </c>
      <c r="V100" s="41" t="str">
        <f t="shared" si="27"/>
        <v/>
      </c>
      <c r="W100" s="41" t="str">
        <f t="shared" si="28"/>
        <v/>
      </c>
      <c r="X100" s="45" t="s">
        <v>272</v>
      </c>
    </row>
    <row r="101" spans="1:25" ht="45" x14ac:dyDescent="0.25">
      <c r="A101" s="39">
        <v>213684</v>
      </c>
      <c r="B101" s="39">
        <f>VLOOKUP($A101,'Выгр Кат'!$A:$R,B$1,0)</f>
        <v>26147</v>
      </c>
      <c r="C101" s="40" t="str">
        <f>VLOOKUP($A101,'Выгр Кат'!$A:$R,C$1,0)</f>
        <v>Светодиодные ПТФ с ДХО и поворотниками для Лада Нива 4x4 Урбан, Гранта 2, Веста, XRAY</v>
      </c>
      <c r="D101" s="39" t="str">
        <f>VLOOKUP($A101,'Выгр Кат'!$A:$R,D$1,0)</f>
        <v>Y</v>
      </c>
      <c r="E101" s="39" t="str">
        <f>VLOOKUP($A101,'Выгр Кат'!$A:$R,E$1,0)</f>
        <v>0</v>
      </c>
      <c r="F101" s="39">
        <f>VLOOKUP($A101,'Выгр Кат'!$A:$R,F$1,0)</f>
        <v>0</v>
      </c>
      <c r="G101" s="5"/>
      <c r="H101" s="7" t="s">
        <v>3</v>
      </c>
      <c r="I101" s="33">
        <v>2000</v>
      </c>
      <c r="J101" s="34">
        <f>VLOOKUP(I101,Наценка!$A$1:$B$8,2,1)</f>
        <v>1.35</v>
      </c>
      <c r="K101" s="35">
        <f t="shared" si="33"/>
        <v>2700</v>
      </c>
      <c r="L101" s="36">
        <f t="shared" si="30"/>
        <v>2690</v>
      </c>
      <c r="M101" s="39">
        <f>VLOOKUP($A101,'Выгр Кат'!$A:$R,M$1,0)</f>
        <v>2000</v>
      </c>
      <c r="N101" s="39">
        <f>VLOOKUP($A101,'Выгр Кат'!$A:$R,N$1,0)</f>
        <v>2690</v>
      </c>
      <c r="O101" s="18">
        <f t="shared" si="37"/>
        <v>0</v>
      </c>
      <c r="P101" s="18">
        <f t="shared" si="38"/>
        <v>0</v>
      </c>
      <c r="Q101" s="22">
        <f t="shared" si="25"/>
        <v>2501.6999999999998</v>
      </c>
      <c r="R101" s="49" t="str">
        <f>IFERROR((VLOOKUP($A101,'Из ГУГЛа'!$B:$G,6,0)+T101)*S101,VLOOKUP($A101,'Из ГУГЛа'!$B:$G,6,0))</f>
        <v/>
      </c>
      <c r="S101" s="15">
        <v>1</v>
      </c>
      <c r="T101" s="15">
        <v>0</v>
      </c>
      <c r="U101" s="41">
        <f t="shared" si="26"/>
        <v>0.25085000000000002</v>
      </c>
      <c r="V101" s="41" t="str">
        <f t="shared" si="27"/>
        <v/>
      </c>
      <c r="W101" s="41" t="str">
        <f t="shared" si="28"/>
        <v/>
      </c>
      <c r="X101" s="42"/>
    </row>
    <row r="102" spans="1:25" ht="45" x14ac:dyDescent="0.25">
      <c r="A102" s="39">
        <v>136974</v>
      </c>
      <c r="B102" s="39">
        <f>VLOOKUP($A102,'Выгр Кат'!$A:$R,B$1,0)</f>
        <v>36728</v>
      </c>
      <c r="C102" s="40" t="str">
        <f>VLOOKUP($A102,'Выгр Кат'!$A:$R,C$1,0)</f>
        <v>Блок-фара "СЕВиЕМ" левая (стеклянный рассеиватель) для Лада Калина</v>
      </c>
      <c r="D102" s="39" t="str">
        <f>VLOOKUP($A102,'Выгр Кат'!$A:$R,D$1,0)</f>
        <v>Y</v>
      </c>
      <c r="E102" s="39" t="str">
        <f>VLOOKUP($A102,'Выгр Кат'!$A:$R,E$1,0)</f>
        <v>1</v>
      </c>
      <c r="F102" s="39" t="str">
        <f>VLOOKUP($A102,'Выгр Кат'!$A:$R,F$1,0)</f>
        <v>51180-3711011-35</v>
      </c>
      <c r="G102" s="5"/>
      <c r="H102" s="7" t="s">
        <v>3</v>
      </c>
      <c r="I102" s="33">
        <v>2255</v>
      </c>
      <c r="J102" s="34">
        <f>VLOOKUP(I102,Наценка!$A$1:$B$8,2,1)</f>
        <v>1.35</v>
      </c>
      <c r="K102" s="35">
        <f t="shared" si="33"/>
        <v>3044.25</v>
      </c>
      <c r="L102" s="36">
        <f t="shared" si="30"/>
        <v>3090</v>
      </c>
      <c r="M102" s="39">
        <f>VLOOKUP($A102,'Выгр Кат'!$A:$R,M$1,0)</f>
        <v>2255</v>
      </c>
      <c r="N102" s="39">
        <f>VLOOKUP($A102,'Выгр Кат'!$A:$R,N$1,0)</f>
        <v>3090</v>
      </c>
      <c r="O102" s="18">
        <f t="shared" si="37"/>
        <v>0</v>
      </c>
      <c r="P102" s="18">
        <f t="shared" si="38"/>
        <v>0</v>
      </c>
      <c r="Q102" s="22">
        <f t="shared" si="25"/>
        <v>2873.7</v>
      </c>
      <c r="R102" s="49" t="str">
        <f>IFERROR((VLOOKUP($A102,'Из ГУГЛа'!$B:$G,6,0)+T102)*S102,VLOOKUP($A102,'Из ГУГЛа'!$B:$G,6,0))</f>
        <v/>
      </c>
      <c r="S102" s="15">
        <v>1</v>
      </c>
      <c r="T102" s="15">
        <v>0</v>
      </c>
      <c r="U102" s="41">
        <f t="shared" si="26"/>
        <v>0.27436807095343663</v>
      </c>
      <c r="V102" s="41" t="str">
        <f t="shared" si="27"/>
        <v/>
      </c>
      <c r="W102" s="41" t="str">
        <f t="shared" si="28"/>
        <v/>
      </c>
      <c r="X102" s="45" t="s">
        <v>272</v>
      </c>
    </row>
    <row r="103" spans="1:25" ht="30" x14ac:dyDescent="0.25">
      <c r="A103" s="39">
        <v>136981</v>
      </c>
      <c r="B103" s="39">
        <f>VLOOKUP($A103,'Выгр Кат'!$A:$R,B$1,0)</f>
        <v>39497</v>
      </c>
      <c r="C103" s="40" t="str">
        <f>VLOOKUP($A103,'Выгр Кат'!$A:$R,C$1,0)</f>
        <v>Блок-фара "СЕВиЕМ" правая (под Киржач) для Лада Приора</v>
      </c>
      <c r="D103" s="39" t="str">
        <f>VLOOKUP($A103,'Выгр Кат'!$A:$R,D$1,0)</f>
        <v>Y</v>
      </c>
      <c r="E103" s="39" t="str">
        <f>VLOOKUP($A103,'Выгр Кат'!$A:$R,E$1,0)</f>
        <v>1ск1</v>
      </c>
      <c r="F103" s="39" t="str">
        <f>VLOOKUP($A103,'Выгр Кат'!$A:$R,F$1,0)</f>
        <v>51700-3711010-35</v>
      </c>
      <c r="G103" s="5"/>
      <c r="H103" s="7" t="s">
        <v>3</v>
      </c>
      <c r="I103" s="33">
        <v>2500</v>
      </c>
      <c r="J103" s="34">
        <f>VLOOKUP(I103,Наценка!$A$1:$B$8,2,1)</f>
        <v>1.35</v>
      </c>
      <c r="K103" s="35">
        <f t="shared" si="33"/>
        <v>3375</v>
      </c>
      <c r="L103" s="36">
        <f t="shared" si="30"/>
        <v>3390</v>
      </c>
      <c r="M103" s="39">
        <f>VLOOKUP($A103,'Выгр Кат'!$A:$R,M$1,0)</f>
        <v>2500</v>
      </c>
      <c r="N103" s="39">
        <f>VLOOKUP($A103,'Выгр Кат'!$A:$R,N$1,0)</f>
        <v>3390</v>
      </c>
      <c r="O103" s="18">
        <f t="shared" si="37"/>
        <v>0</v>
      </c>
      <c r="P103" s="18">
        <f t="shared" si="38"/>
        <v>0</v>
      </c>
      <c r="Q103" s="22">
        <f t="shared" si="25"/>
        <v>3152.7</v>
      </c>
      <c r="R103" s="49" t="str">
        <f>IFERROR((VLOOKUP($A103,'Из ГУГЛа'!$B:$G,6,0)+T103)*S103,VLOOKUP($A103,'Из ГУГЛа'!$B:$G,6,0))</f>
        <v/>
      </c>
      <c r="S103" s="15">
        <v>1</v>
      </c>
      <c r="T103" s="15">
        <v>0</v>
      </c>
      <c r="U103" s="41">
        <f t="shared" si="26"/>
        <v>0.26107999999999998</v>
      </c>
      <c r="V103" s="41" t="str">
        <f t="shared" si="27"/>
        <v/>
      </c>
      <c r="W103" s="41" t="str">
        <f t="shared" si="28"/>
        <v/>
      </c>
      <c r="X103" s="45" t="s">
        <v>272</v>
      </c>
    </row>
    <row r="104" spans="1:25" ht="30" x14ac:dyDescent="0.25">
      <c r="A104" s="39">
        <v>136972</v>
      </c>
      <c r="B104" s="39">
        <f>VLOOKUP($A104,'Выгр Кат'!$A:$R,B$1,0)</f>
        <v>39510</v>
      </c>
      <c r="C104" s="40" t="str">
        <f>VLOOKUP($A104,'Выгр Кат'!$A:$R,C$1,0)</f>
        <v>Блок-фара "СЕВиЕМ" левая (под Киржач) для Лада Приора</v>
      </c>
      <c r="D104" s="39" t="str">
        <f>VLOOKUP($A104,'Выгр Кат'!$A:$R,D$1,0)</f>
        <v>Y</v>
      </c>
      <c r="E104" s="39" t="str">
        <f>VLOOKUP($A104,'Выгр Кат'!$A:$R,E$1,0)</f>
        <v>1</v>
      </c>
      <c r="F104" s="39" t="str">
        <f>VLOOKUP($A104,'Выгр Кат'!$A:$R,F$1,0)</f>
        <v>51700-3711011-35</v>
      </c>
      <c r="G104" s="5"/>
      <c r="H104" s="7" t="s">
        <v>3</v>
      </c>
      <c r="I104" s="33">
        <v>2500</v>
      </c>
      <c r="J104" s="34">
        <f>VLOOKUP(I104,Наценка!$A$1:$B$8,2,1)</f>
        <v>1.35</v>
      </c>
      <c r="K104" s="35">
        <f t="shared" si="33"/>
        <v>3375</v>
      </c>
      <c r="L104" s="36">
        <f t="shared" si="30"/>
        <v>3390</v>
      </c>
      <c r="M104" s="39">
        <f>VLOOKUP($A104,'Выгр Кат'!$A:$R,M$1,0)</f>
        <v>2500</v>
      </c>
      <c r="N104" s="39">
        <f>VLOOKUP($A104,'Выгр Кат'!$A:$R,N$1,0)</f>
        <v>3390</v>
      </c>
      <c r="O104" s="18">
        <f t="shared" si="37"/>
        <v>0</v>
      </c>
      <c r="P104" s="18">
        <f t="shared" si="38"/>
        <v>0</v>
      </c>
      <c r="Q104" s="22">
        <f t="shared" si="25"/>
        <v>3152.7</v>
      </c>
      <c r="R104" s="49" t="str">
        <f>IFERROR((VLOOKUP($A104,'Из ГУГЛа'!$B:$G,6,0)+T104)*S104,VLOOKUP($A104,'Из ГУГЛа'!$B:$G,6,0))</f>
        <v/>
      </c>
      <c r="S104" s="15">
        <v>1</v>
      </c>
      <c r="T104" s="15">
        <v>0</v>
      </c>
      <c r="U104" s="41">
        <f t="shared" si="26"/>
        <v>0.26107999999999998</v>
      </c>
      <c r="V104" s="41" t="str">
        <f t="shared" si="27"/>
        <v/>
      </c>
      <c r="W104" s="41" t="str">
        <f t="shared" si="28"/>
        <v/>
      </c>
      <c r="X104" s="45" t="s">
        <v>272</v>
      </c>
    </row>
    <row r="105" spans="1:25" ht="30" x14ac:dyDescent="0.25">
      <c r="A105" s="39">
        <v>136977</v>
      </c>
      <c r="B105" s="39">
        <f>VLOOKUP($A105,'Выгр Кат'!$A:$R,B$1,0)</f>
        <v>36734</v>
      </c>
      <c r="C105" s="40" t="str">
        <f>VLOOKUP($A105,'Выгр Кат'!$A:$R,C$1,0)</f>
        <v>Блок-фара "СЕВиЕМ" левая для Лада Калина 2</v>
      </c>
      <c r="D105" s="39" t="str">
        <f>VLOOKUP($A105,'Выгр Кат'!$A:$R,D$1,0)</f>
        <v>Y</v>
      </c>
      <c r="E105" s="39" t="str">
        <f>VLOOKUP($A105,'Выгр Кат'!$A:$R,E$1,0)</f>
        <v>1</v>
      </c>
      <c r="F105" s="39" t="str">
        <f>VLOOKUP($A105,'Выгр Кат'!$A:$R,F$1,0)</f>
        <v>5192/94-3711011-15</v>
      </c>
      <c r="G105" s="5"/>
      <c r="H105" s="7" t="s">
        <v>3</v>
      </c>
      <c r="I105" s="33">
        <v>2600</v>
      </c>
      <c r="J105" s="34">
        <f>VLOOKUP(I105,Наценка!$A$1:$B$8,2,1)</f>
        <v>1.35</v>
      </c>
      <c r="K105" s="35">
        <f t="shared" si="33"/>
        <v>3510.0000000000005</v>
      </c>
      <c r="L105" s="36">
        <f t="shared" si="30"/>
        <v>3590</v>
      </c>
      <c r="M105" s="39">
        <f>VLOOKUP($A105,'Выгр Кат'!$A:$R,M$1,0)</f>
        <v>2600</v>
      </c>
      <c r="N105" s="39">
        <f>VLOOKUP($A105,'Выгр Кат'!$A:$R,N$1,0)</f>
        <v>3590</v>
      </c>
      <c r="O105" s="18">
        <f t="shared" si="37"/>
        <v>0</v>
      </c>
      <c r="P105" s="18">
        <f t="shared" si="38"/>
        <v>0</v>
      </c>
      <c r="Q105" s="22">
        <f t="shared" si="25"/>
        <v>3338.7</v>
      </c>
      <c r="R105" s="49" t="str">
        <f>IFERROR((VLOOKUP($A105,'Из ГУГЛа'!$B:$G,6,0)+T105)*S105,VLOOKUP($A105,'Из ГУГЛа'!$B:$G,6,0))</f>
        <v/>
      </c>
      <c r="S105" s="15">
        <v>1</v>
      </c>
      <c r="T105" s="15">
        <v>0</v>
      </c>
      <c r="U105" s="41">
        <f t="shared" si="26"/>
        <v>0.28411538461538455</v>
      </c>
      <c r="V105" s="41" t="str">
        <f t="shared" si="27"/>
        <v/>
      </c>
      <c r="W105" s="41" t="str">
        <f t="shared" si="28"/>
        <v/>
      </c>
      <c r="X105" s="45" t="s">
        <v>272</v>
      </c>
    </row>
    <row r="106" spans="1:25" ht="30" x14ac:dyDescent="0.25">
      <c r="A106" s="39">
        <v>136986</v>
      </c>
      <c r="B106" s="39">
        <f>VLOOKUP($A106,'Выгр Кат'!$A:$R,B$1,0)</f>
        <v>36735</v>
      </c>
      <c r="C106" s="40" t="str">
        <f>VLOOKUP($A106,'Выгр Кат'!$A:$R,C$1,0)</f>
        <v>Блок-фара "СЕВиЕМ" правая для Лада Калина 2</v>
      </c>
      <c r="D106" s="39" t="str">
        <f>VLOOKUP($A106,'Выгр Кат'!$A:$R,D$1,0)</f>
        <v>Y</v>
      </c>
      <c r="E106" s="39" t="str">
        <f>VLOOKUP($A106,'Выгр Кат'!$A:$R,E$1,0)</f>
        <v>1</v>
      </c>
      <c r="F106" s="39" t="str">
        <f>VLOOKUP($A106,'Выгр Кат'!$A:$R,F$1,0)</f>
        <v>5192/94-3711010-15</v>
      </c>
      <c r="G106" s="5"/>
      <c r="H106" s="7" t="s">
        <v>3</v>
      </c>
      <c r="I106" s="33">
        <v>2600</v>
      </c>
      <c r="J106" s="34">
        <f>VLOOKUP(I106,Наценка!$A$1:$B$8,2,1)</f>
        <v>1.35</v>
      </c>
      <c r="K106" s="35">
        <f t="shared" si="33"/>
        <v>3510.0000000000005</v>
      </c>
      <c r="L106" s="36">
        <f t="shared" si="30"/>
        <v>3590</v>
      </c>
      <c r="M106" s="39">
        <f>VLOOKUP($A106,'Выгр Кат'!$A:$R,M$1,0)</f>
        <v>2600</v>
      </c>
      <c r="N106" s="39">
        <f>VLOOKUP($A106,'Выгр Кат'!$A:$R,N$1,0)</f>
        <v>3590</v>
      </c>
      <c r="O106" s="18">
        <f t="shared" si="37"/>
        <v>0</v>
      </c>
      <c r="P106" s="18">
        <f t="shared" si="38"/>
        <v>0</v>
      </c>
      <c r="Q106" s="22">
        <f t="shared" si="25"/>
        <v>3338.7</v>
      </c>
      <c r="R106" s="49" t="str">
        <f>IFERROR((VLOOKUP($A106,'Из ГУГЛа'!$B:$G,6,0)+T106)*S106,VLOOKUP($A106,'Из ГУГЛа'!$B:$G,6,0))</f>
        <v/>
      </c>
      <c r="S106" s="15">
        <v>1</v>
      </c>
      <c r="T106" s="15">
        <v>0</v>
      </c>
      <c r="U106" s="41">
        <f t="shared" si="26"/>
        <v>0.28411538461538455</v>
      </c>
      <c r="V106" s="41" t="str">
        <f t="shared" si="27"/>
        <v/>
      </c>
      <c r="W106" s="41" t="str">
        <f t="shared" si="28"/>
        <v/>
      </c>
      <c r="X106" s="45" t="s">
        <v>272</v>
      </c>
    </row>
    <row r="107" spans="1:25" ht="45" x14ac:dyDescent="0.25">
      <c r="A107" s="39">
        <v>143745</v>
      </c>
      <c r="B107" s="39">
        <f>VLOOKUP($A107,'Выгр Кат'!$A:$R,B$1,0)</f>
        <v>76509</v>
      </c>
      <c r="C107" s="40" t="str">
        <f>VLOOKUP($A107,'Выгр Кат'!$A:$R,C$1,0)</f>
        <v>Диодные задние фонари "СЕВиЕМ" тонированные для Лада Приора, Приора 2</v>
      </c>
      <c r="D107" s="39" t="str">
        <f>VLOOKUP($A107,'Выгр Кат'!$A:$R,D$1,0)</f>
        <v>Y</v>
      </c>
      <c r="E107" s="39" t="str">
        <f>VLOOKUP($A107,'Выгр Кат'!$A:$R,E$1,0)</f>
        <v>0</v>
      </c>
      <c r="F107" s="39">
        <f>VLOOKUP($A107,'Выгр Кат'!$A:$R,F$1,0)</f>
        <v>0</v>
      </c>
      <c r="G107" s="5"/>
      <c r="H107" s="7" t="s">
        <v>3</v>
      </c>
      <c r="I107" s="33">
        <v>2600</v>
      </c>
      <c r="J107" s="34">
        <f>VLOOKUP(I107,Наценка!$A$1:$B$8,2,1)</f>
        <v>1.35</v>
      </c>
      <c r="K107" s="35">
        <f t="shared" si="33"/>
        <v>3510.0000000000005</v>
      </c>
      <c r="L107" s="36">
        <f t="shared" si="30"/>
        <v>3590</v>
      </c>
      <c r="M107" s="39">
        <f>VLOOKUP($A107,'Выгр Кат'!$A:$R,M$1,0)</f>
        <v>2600</v>
      </c>
      <c r="N107" s="39">
        <f>VLOOKUP($A107,'Выгр Кат'!$A:$R,N$1,0)</f>
        <v>3590</v>
      </c>
      <c r="O107" s="18">
        <f t="shared" si="37"/>
        <v>0</v>
      </c>
      <c r="P107" s="18">
        <f t="shared" si="38"/>
        <v>0</v>
      </c>
      <c r="Q107" s="22">
        <f t="shared" si="25"/>
        <v>3338.7</v>
      </c>
      <c r="R107" s="49" t="str">
        <f>IFERROR((VLOOKUP($A107,'Из ГУГЛа'!$B:$G,6,0)+T107)*S107,VLOOKUP($A107,'Из ГУГЛа'!$B:$G,6,0))</f>
        <v/>
      </c>
      <c r="S107" s="15">
        <v>1</v>
      </c>
      <c r="T107" s="15">
        <v>0</v>
      </c>
      <c r="U107" s="41">
        <f t="shared" si="26"/>
        <v>0.28411538461538455</v>
      </c>
      <c r="V107" s="41" t="str">
        <f t="shared" si="27"/>
        <v/>
      </c>
      <c r="W107" s="41" t="str">
        <f t="shared" si="28"/>
        <v/>
      </c>
      <c r="X107" s="42"/>
    </row>
    <row r="108" spans="1:25" ht="60" x14ac:dyDescent="0.25">
      <c r="A108" s="39">
        <v>162939</v>
      </c>
      <c r="B108" s="39">
        <f>VLOOKUP($A108,'Выгр Кат'!$A:$R,B$1,0)</f>
        <v>18909</v>
      </c>
      <c r="C108" s="40" t="str">
        <f>VLOOKUP($A108,'Выгр Кат'!$A:$R,C$1,0)</f>
        <v>Линзованные "Bi-Xenon" противотуманные фары (ПТФ) для Лада Гранта FL, Веста, XRAY, Ларгус FL, Нива 4х4, Нива Легенд</v>
      </c>
      <c r="D108" s="39" t="str">
        <f>VLOOKUP($A108,'Выгр Кат'!$A:$R,D$1,0)</f>
        <v>Y</v>
      </c>
      <c r="E108" s="39" t="str">
        <f>VLOOKUP($A108,'Выгр Кат'!$A:$R,E$1,0)</f>
        <v>0</v>
      </c>
      <c r="F108" s="39">
        <f>VLOOKUP($A108,'Выгр Кат'!$A:$R,F$1,0)</f>
        <v>0</v>
      </c>
      <c r="G108" s="5"/>
      <c r="H108" s="7" t="s">
        <v>3</v>
      </c>
      <c r="I108" s="33">
        <v>3000</v>
      </c>
      <c r="J108" s="34">
        <f>VLOOKUP(I108,Наценка!$A$1:$B$8,2,1)</f>
        <v>1.35</v>
      </c>
      <c r="K108" s="35">
        <f t="shared" si="33"/>
        <v>4050.0000000000005</v>
      </c>
      <c r="L108" s="36">
        <f t="shared" si="30"/>
        <v>4090</v>
      </c>
      <c r="M108" s="39">
        <f>VLOOKUP($A108,'Выгр Кат'!$A:$R,M$1,0)</f>
        <v>3000</v>
      </c>
      <c r="N108" s="39">
        <f>VLOOKUP($A108,'Выгр Кат'!$A:$R,N$1,0)</f>
        <v>4090</v>
      </c>
      <c r="O108" s="18">
        <f t="shared" si="37"/>
        <v>0</v>
      </c>
      <c r="P108" s="18">
        <f t="shared" si="38"/>
        <v>0</v>
      </c>
      <c r="Q108" s="22">
        <f t="shared" si="25"/>
        <v>3803.7</v>
      </c>
      <c r="R108" s="49" t="str">
        <f>IFERROR((VLOOKUP($A108,'Из ГУГЛа'!$B:$G,6,0)+T108)*S108,VLOOKUP($A108,'Из ГУГЛа'!$B:$G,6,0))</f>
        <v/>
      </c>
      <c r="S108" s="15">
        <v>1</v>
      </c>
      <c r="T108" s="15">
        <v>0</v>
      </c>
      <c r="U108" s="41">
        <f t="shared" si="26"/>
        <v>0.26790000000000003</v>
      </c>
      <c r="V108" s="41" t="str">
        <f t="shared" si="27"/>
        <v/>
      </c>
      <c r="W108" s="41" t="str">
        <f t="shared" si="28"/>
        <v/>
      </c>
      <c r="X108" s="42"/>
    </row>
    <row r="109" spans="1:25" ht="45" x14ac:dyDescent="0.25">
      <c r="A109" s="39">
        <v>136968</v>
      </c>
      <c r="B109" s="39">
        <f>VLOOKUP($A109,'Выгр Кат'!$A:$R,B$1,0)</f>
        <v>151638</v>
      </c>
      <c r="C109" s="40" t="str">
        <f>VLOOKUP($A109,'Выгр Кат'!$A:$R,C$1,0)</f>
        <v>Блок-фара "СЕВиЕМ" (лампа H7) левая для Лада Ларгус FL, Renault (Logan II, Sandero)</v>
      </c>
      <c r="D109" s="39" t="str">
        <f>VLOOKUP($A109,'Выгр Кат'!$A:$R,D$1,0)</f>
        <v>Y</v>
      </c>
      <c r="E109" s="39" t="str">
        <f>VLOOKUP($A109,'Выгр Кат'!$A:$R,E$1,0)</f>
        <v>1</v>
      </c>
      <c r="F109" s="39" t="str">
        <f>VLOOKUP($A109,'Выгр Кат'!$A:$R,F$1,0)</f>
        <v>8450092037</v>
      </c>
      <c r="G109" s="5"/>
      <c r="H109" s="7" t="s">
        <v>3</v>
      </c>
      <c r="I109" s="33">
        <v>3200</v>
      </c>
      <c r="J109" s="34">
        <f>VLOOKUP(I109,Наценка!$A$1:$B$8,2,1)</f>
        <v>1.35</v>
      </c>
      <c r="K109" s="35">
        <f t="shared" si="33"/>
        <v>4320</v>
      </c>
      <c r="L109" s="36">
        <f t="shared" si="30"/>
        <v>4390</v>
      </c>
      <c r="M109" s="39">
        <f>VLOOKUP($A109,'Выгр Кат'!$A:$R,M$1,0)</f>
        <v>3200</v>
      </c>
      <c r="N109" s="39">
        <f>VLOOKUP($A109,'Выгр Кат'!$A:$R,N$1,0)</f>
        <v>4390</v>
      </c>
      <c r="O109" s="18">
        <f t="shared" si="37"/>
        <v>0</v>
      </c>
      <c r="P109" s="18">
        <f t="shared" si="38"/>
        <v>0</v>
      </c>
      <c r="Q109" s="22">
        <f t="shared" si="25"/>
        <v>4082.7</v>
      </c>
      <c r="R109" s="49" t="str">
        <f>IFERROR((VLOOKUP($A109,'Из ГУГЛа'!$B:$G,6,0)+T109)*S109,VLOOKUP($A109,'Из ГУГЛа'!$B:$G,6,0))</f>
        <v/>
      </c>
      <c r="S109" s="15">
        <v>1</v>
      </c>
      <c r="T109" s="15">
        <v>0</v>
      </c>
      <c r="U109" s="41">
        <f t="shared" si="26"/>
        <v>0.27584374999999994</v>
      </c>
      <c r="V109" s="41" t="str">
        <f t="shared" si="27"/>
        <v/>
      </c>
      <c r="W109" s="41" t="str">
        <f t="shared" si="28"/>
        <v/>
      </c>
      <c r="X109" s="45" t="s">
        <v>272</v>
      </c>
    </row>
    <row r="110" spans="1:25" ht="45.75" thickBot="1" x14ac:dyDescent="0.3">
      <c r="A110" s="39">
        <v>145494</v>
      </c>
      <c r="B110" s="39">
        <f>VLOOKUP($A110,'Выгр Кат'!$A:$R,B$1,0)</f>
        <v>34087</v>
      </c>
      <c r="C110" s="40" t="str">
        <f>VLOOKUP($A110,'Выгр Кат'!$A:$R,C$1,0)</f>
        <v>Задние светодиодные фонари тонированные в стиле Range Rover для Лада Нива 4x4, Нива 4х4 Урбан</v>
      </c>
      <c r="D110" s="39" t="str">
        <f>VLOOKUP($A110,'Выгр Кат'!$A:$R,D$1,0)</f>
        <v>Y</v>
      </c>
      <c r="E110" s="39" t="str">
        <f>VLOOKUP($A110,'Выгр Кат'!$A:$R,E$1,0)</f>
        <v>1</v>
      </c>
      <c r="F110" s="39">
        <f>VLOOKUP($A110,'Выгр Кат'!$A:$R,F$1,0)</f>
        <v>0</v>
      </c>
      <c r="G110" s="5"/>
      <c r="H110" s="7" t="s">
        <v>3</v>
      </c>
      <c r="I110" s="33">
        <v>3300</v>
      </c>
      <c r="J110" s="34">
        <f>VLOOKUP(I110,Наценка!$A$1:$B$8,2,1)</f>
        <v>1.35</v>
      </c>
      <c r="K110" s="35">
        <f t="shared" si="33"/>
        <v>4455</v>
      </c>
      <c r="L110" s="36">
        <f t="shared" si="30"/>
        <v>4490</v>
      </c>
      <c r="M110" s="39">
        <f>VLOOKUP($A110,'Выгр Кат'!$A:$R,M$1,0)</f>
        <v>3300</v>
      </c>
      <c r="N110" s="39">
        <f>VLOOKUP($A110,'Выгр Кат'!$A:$R,N$1,0)</f>
        <v>4490</v>
      </c>
      <c r="O110" s="18">
        <f t="shared" si="37"/>
        <v>0</v>
      </c>
      <c r="P110" s="18">
        <f t="shared" si="38"/>
        <v>0</v>
      </c>
      <c r="Q110" s="22">
        <f t="shared" si="25"/>
        <v>4175.7</v>
      </c>
      <c r="R110" s="49">
        <f>IFERROR((VLOOKUP($A110,'Из ГУГЛа'!$B:$G,6,0)+T110)*S110,VLOOKUP($A110,'Из ГУГЛа'!$B:$G,6,0))</f>
        <v>3390</v>
      </c>
      <c r="S110" s="15">
        <v>1</v>
      </c>
      <c r="T110" s="15">
        <v>0</v>
      </c>
      <c r="U110" s="41">
        <f t="shared" si="26"/>
        <v>0.26536363636363625</v>
      </c>
      <c r="V110" s="41">
        <f t="shared" si="27"/>
        <v>-0.23176991150442472</v>
      </c>
      <c r="W110" s="41">
        <f t="shared" si="28"/>
        <v>2.7272727272727337E-2</v>
      </c>
      <c r="X110" s="43">
        <v>3390</v>
      </c>
      <c r="Y110" s="24" t="s">
        <v>178</v>
      </c>
    </row>
    <row r="111" spans="1:25" ht="45.75" thickTop="1" x14ac:dyDescent="0.25">
      <c r="A111" s="39">
        <v>213589</v>
      </c>
      <c r="B111" s="39">
        <f>VLOOKUP($A111,'Выгр Кат'!$A:$R,B$1,0)</f>
        <v>14003</v>
      </c>
      <c r="C111" s="40" t="str">
        <f>VLOOKUP($A111,'Выгр Кат'!$A:$R,C$1,0)</f>
        <v>Светодиодные задние фонари "СЕВиЕМ" с анимацией "Lexus" для ВАЗ 2110</v>
      </c>
      <c r="D111" s="39" t="str">
        <f>VLOOKUP($A111,'Выгр Кат'!$A:$R,D$1,0)</f>
        <v>Y</v>
      </c>
      <c r="E111" s="39" t="str">
        <f>VLOOKUP($A111,'Выгр Кат'!$A:$R,E$1,0)</f>
        <v>1</v>
      </c>
      <c r="F111" s="39">
        <f>VLOOKUP($A111,'Выгр Кат'!$A:$R,F$1,0)</f>
        <v>0</v>
      </c>
      <c r="G111" s="5"/>
      <c r="H111" s="7" t="s">
        <v>3</v>
      </c>
      <c r="I111" s="33">
        <v>3740</v>
      </c>
      <c r="J111" s="34">
        <f>VLOOKUP(I111,Наценка!$A$1:$B$8,2,1)</f>
        <v>1.35</v>
      </c>
      <c r="K111" s="35">
        <f t="shared" si="33"/>
        <v>5049</v>
      </c>
      <c r="L111" s="36">
        <f t="shared" si="30"/>
        <v>5090</v>
      </c>
      <c r="M111" s="39">
        <f>VLOOKUP($A111,'Выгр Кат'!$A:$R,M$1,0)</f>
        <v>3740</v>
      </c>
      <c r="N111" s="39">
        <f>VLOOKUP($A111,'Выгр Кат'!$A:$R,N$1,0)</f>
        <v>5090</v>
      </c>
      <c r="O111" s="18">
        <f t="shared" si="37"/>
        <v>0</v>
      </c>
      <c r="P111" s="18">
        <f t="shared" si="38"/>
        <v>0</v>
      </c>
      <c r="Q111" s="22">
        <f t="shared" si="25"/>
        <v>4733.7</v>
      </c>
      <c r="R111" s="49">
        <f>IFERROR((VLOOKUP($A111,'Из ГУГЛа'!$B:$G,6,0)+T111)*S111,VLOOKUP($A111,'Из ГУГЛа'!$B:$G,6,0))</f>
        <v>4190</v>
      </c>
      <c r="S111" s="15">
        <v>1</v>
      </c>
      <c r="T111" s="15">
        <v>0</v>
      </c>
      <c r="U111" s="41">
        <f t="shared" si="26"/>
        <v>0.26569518716577534</v>
      </c>
      <c r="V111" s="41" t="str">
        <f t="shared" si="27"/>
        <v/>
      </c>
      <c r="W111" s="41" t="str">
        <f t="shared" si="28"/>
        <v/>
      </c>
      <c r="X111" s="45" t="s">
        <v>288</v>
      </c>
      <c r="Y111" s="24" t="s">
        <v>287</v>
      </c>
    </row>
    <row r="112" spans="1:25" ht="30" x14ac:dyDescent="0.25">
      <c r="A112" s="39">
        <v>117038</v>
      </c>
      <c r="B112" s="39">
        <f>VLOOKUP($A112,'Выгр Кат'!$A:$R,B$1,0)</f>
        <v>33097</v>
      </c>
      <c r="C112" s="40" t="str">
        <f>VLOOKUP($A112,'Выгр Кат'!$A:$R,C$1,0)</f>
        <v>"Звездное небо" для установки в обивку потолка (350 нитей)</v>
      </c>
      <c r="D112" s="39" t="str">
        <f>VLOOKUP($A112,'Выгр Кат'!$A:$R,D$1,0)</f>
        <v>N</v>
      </c>
      <c r="E112" s="39" t="str">
        <f>VLOOKUP($A112,'Выгр Кат'!$A:$R,E$1,0)</f>
        <v>0</v>
      </c>
      <c r="F112" s="39">
        <f>VLOOKUP($A112,'Выгр Кат'!$A:$R,F$1,0)</f>
        <v>0</v>
      </c>
      <c r="G112" s="5"/>
      <c r="H112" s="7" t="s">
        <v>3</v>
      </c>
      <c r="I112" s="33">
        <v>3500</v>
      </c>
      <c r="J112" s="34">
        <f>VLOOKUP(I112,Наценка!$A$1:$B$8,2,1)</f>
        <v>1.35</v>
      </c>
      <c r="K112" s="35">
        <f t="shared" si="33"/>
        <v>4725</v>
      </c>
      <c r="L112" s="36">
        <f t="shared" si="30"/>
        <v>4790</v>
      </c>
      <c r="M112" s="39">
        <f>VLOOKUP($A112,'Выгр Кат'!$A:$R,M$1,0)</f>
        <v>3500</v>
      </c>
      <c r="N112" s="39">
        <f>VLOOKUP($A112,'Выгр Кат'!$A:$R,N$1,0)</f>
        <v>4790</v>
      </c>
      <c r="O112" s="18">
        <f t="shared" si="37"/>
        <v>0</v>
      </c>
      <c r="P112" s="18">
        <f t="shared" si="38"/>
        <v>0</v>
      </c>
      <c r="Q112" s="22">
        <f t="shared" si="25"/>
        <v>4454.7</v>
      </c>
      <c r="R112" s="49" t="str">
        <f>IFERROR((VLOOKUP($A112,'Из ГУГЛа'!$B:$G,6,0)+T112)*S112,VLOOKUP($A112,'Из ГУГЛа'!$B:$G,6,0))</f>
        <v/>
      </c>
      <c r="S112" s="15">
        <v>1</v>
      </c>
      <c r="T112" s="15">
        <v>0</v>
      </c>
      <c r="U112" s="41">
        <f t="shared" si="26"/>
        <v>0.27277142857142844</v>
      </c>
      <c r="V112" s="41" t="str">
        <f t="shared" si="27"/>
        <v/>
      </c>
      <c r="W112" s="41" t="str">
        <f t="shared" si="28"/>
        <v/>
      </c>
      <c r="X112" s="42"/>
    </row>
    <row r="113" spans="1:25" ht="45" x14ac:dyDescent="0.25">
      <c r="A113" s="39">
        <v>208974</v>
      </c>
      <c r="B113" s="39">
        <f>VLOOKUP($A113,'Выгр Кат'!$A:$R,B$1,0)</f>
        <v>35893</v>
      </c>
      <c r="C113" s="40" t="str">
        <f>VLOOKUP($A113,'Выгр Кат'!$A:$R,C$1,0)</f>
        <v>Руль "Classic" экокожа, красная строчка для Лада Гранта FL, Шевроле Нива</v>
      </c>
      <c r="D113" s="39" t="str">
        <f>VLOOKUP($A113,'Выгр Кат'!$A:$R,D$1,0)</f>
        <v>Y</v>
      </c>
      <c r="E113" s="39" t="str">
        <f>VLOOKUP($A113,'Выгр Кат'!$A:$R,E$1,0)</f>
        <v>1</v>
      </c>
      <c r="F113" s="39">
        <f>VLOOKUP($A113,'Выгр Кат'!$A:$R,F$1,0)</f>
        <v>0</v>
      </c>
      <c r="G113" s="5"/>
      <c r="H113" s="7" t="s">
        <v>3</v>
      </c>
      <c r="I113" s="33">
        <v>3500</v>
      </c>
      <c r="J113" s="34">
        <f>VLOOKUP(I113,Наценка!$A$1:$B$8,2,1)</f>
        <v>1.35</v>
      </c>
      <c r="K113" s="35">
        <f t="shared" si="33"/>
        <v>4725</v>
      </c>
      <c r="L113" s="36">
        <f t="shared" si="30"/>
        <v>4790</v>
      </c>
      <c r="M113" s="39">
        <f>VLOOKUP($A113,'Выгр Кат'!$A:$R,M$1,0)</f>
        <v>3500</v>
      </c>
      <c r="N113" s="39">
        <f>VLOOKUP($A113,'Выгр Кат'!$A:$R,N$1,0)</f>
        <v>4790</v>
      </c>
      <c r="O113" s="18">
        <f t="shared" si="37"/>
        <v>0</v>
      </c>
      <c r="P113" s="18">
        <f t="shared" si="38"/>
        <v>0</v>
      </c>
      <c r="Q113" s="22">
        <f t="shared" si="25"/>
        <v>4454.7</v>
      </c>
      <c r="R113" s="49" t="str">
        <f>IFERROR((VLOOKUP($A113,'Из ГУГЛа'!$B:$G,6,0)+T113)*S113,VLOOKUP($A113,'Из ГУГЛа'!$B:$G,6,0))</f>
        <v/>
      </c>
      <c r="S113" s="15">
        <v>1</v>
      </c>
      <c r="T113" s="15">
        <v>0</v>
      </c>
      <c r="U113" s="41">
        <f t="shared" si="26"/>
        <v>0.27277142857142844</v>
      </c>
      <c r="V113" s="41" t="str">
        <f t="shared" si="27"/>
        <v/>
      </c>
      <c r="W113" s="41" t="str">
        <f t="shared" si="28"/>
        <v/>
      </c>
      <c r="X113" s="45" t="s">
        <v>272</v>
      </c>
    </row>
    <row r="114" spans="1:25" ht="45" x14ac:dyDescent="0.25">
      <c r="A114" s="39">
        <v>143748</v>
      </c>
      <c r="B114" s="39">
        <f>VLOOKUP($A114,'Выгр Кат'!$A:$R,B$1,0)</f>
        <v>20631</v>
      </c>
      <c r="C114" s="40" t="str">
        <f>VLOOKUP($A114,'Выгр Кат'!$A:$R,C$1,0)</f>
        <v>Диодные задние фонари с динамическим повторителем поворота на крылья для Лада Веста</v>
      </c>
      <c r="D114" s="39" t="str">
        <f>VLOOKUP($A114,'Выгр Кат'!$A:$R,D$1,0)</f>
        <v>Y</v>
      </c>
      <c r="E114" s="39" t="str">
        <f>VLOOKUP($A114,'Выгр Кат'!$A:$R,E$1,0)</f>
        <v>1</v>
      </c>
      <c r="F114" s="39">
        <f>VLOOKUP($A114,'Выгр Кат'!$A:$R,F$1,0)</f>
        <v>0</v>
      </c>
      <c r="G114" s="5"/>
      <c r="H114" s="7" t="s">
        <v>3</v>
      </c>
      <c r="I114" s="33">
        <v>4500</v>
      </c>
      <c r="J114" s="34">
        <f>VLOOKUP(I114,Наценка!$A$1:$B$8,2,1)</f>
        <v>1.35</v>
      </c>
      <c r="K114" s="35">
        <f t="shared" si="33"/>
        <v>6075</v>
      </c>
      <c r="L114" s="36">
        <f t="shared" si="30"/>
        <v>6090</v>
      </c>
      <c r="M114" s="39">
        <f>VLOOKUP($A114,'Выгр Кат'!$A:$R,M$1,0)</f>
        <v>4500</v>
      </c>
      <c r="N114" s="39">
        <f>VLOOKUP($A114,'Выгр Кат'!$A:$R,N$1,0)</f>
        <v>6090</v>
      </c>
      <c r="O114" s="18">
        <f t="shared" si="37"/>
        <v>0</v>
      </c>
      <c r="P114" s="18">
        <f t="shared" si="38"/>
        <v>0</v>
      </c>
      <c r="Q114" s="22">
        <f t="shared" si="25"/>
        <v>5663.7</v>
      </c>
      <c r="R114" s="49">
        <f>IFERROR((VLOOKUP($A114,'Из ГУГЛа'!$B:$G,6,0)+T114)*S114,VLOOKUP($A114,'Из ГУГЛа'!$B:$G,6,0))</f>
        <v>6890</v>
      </c>
      <c r="S114" s="15">
        <v>1</v>
      </c>
      <c r="T114" s="15">
        <v>0</v>
      </c>
      <c r="U114" s="41">
        <f t="shared" si="26"/>
        <v>0.25859999999999994</v>
      </c>
      <c r="V114" s="41" t="str">
        <f t="shared" si="27"/>
        <v/>
      </c>
      <c r="W114" s="41" t="str">
        <f t="shared" si="28"/>
        <v/>
      </c>
      <c r="X114" s="45" t="s">
        <v>290</v>
      </c>
      <c r="Y114" s="24" t="s">
        <v>289</v>
      </c>
    </row>
    <row r="115" spans="1:25" ht="30" x14ac:dyDescent="0.25">
      <c r="A115" s="39">
        <v>136976</v>
      </c>
      <c r="B115" s="39">
        <f>VLOOKUP($A115,'Выгр Кат'!$A:$R,B$1,0)</f>
        <v>36738</v>
      </c>
      <c r="C115" s="40" t="str">
        <f>VLOOKUP($A115,'Выгр Кат'!$A:$R,C$1,0)</f>
        <v>Блок-фара "СЕВиЕМ" левая для Лада Гранта FL</v>
      </c>
      <c r="D115" s="39" t="str">
        <f>VLOOKUP($A115,'Выгр Кат'!$A:$R,D$1,0)</f>
        <v>Y</v>
      </c>
      <c r="E115" s="39" t="str">
        <f>VLOOKUP($A115,'Выгр Кат'!$A:$R,E$1,0)</f>
        <v>1</v>
      </c>
      <c r="F115" s="39" t="str">
        <f>VLOOKUP($A115,'Выгр Кат'!$A:$R,F$1,0)</f>
        <v>51900 (FL)</v>
      </c>
      <c r="G115" s="5"/>
      <c r="H115" s="7" t="s">
        <v>3</v>
      </c>
      <c r="I115" s="33">
        <v>4400</v>
      </c>
      <c r="J115" s="34">
        <f>VLOOKUP(I115,Наценка!$A$1:$B$8,2,1)</f>
        <v>1.35</v>
      </c>
      <c r="K115" s="35">
        <f t="shared" si="33"/>
        <v>5940</v>
      </c>
      <c r="L115" s="36">
        <f t="shared" si="30"/>
        <v>5990</v>
      </c>
      <c r="M115" s="39">
        <f>VLOOKUP($A115,'Выгр Кат'!$A:$R,M$1,0)</f>
        <v>4400</v>
      </c>
      <c r="N115" s="39">
        <f>VLOOKUP($A115,'Выгр Кат'!$A:$R,N$1,0)</f>
        <v>5990</v>
      </c>
      <c r="O115" s="18">
        <f t="shared" si="37"/>
        <v>0</v>
      </c>
      <c r="P115" s="18">
        <f t="shared" si="38"/>
        <v>0</v>
      </c>
      <c r="Q115" s="22">
        <f t="shared" si="25"/>
        <v>5570.7</v>
      </c>
      <c r="R115" s="49" t="str">
        <f>IFERROR((VLOOKUP($A115,'Из ГУГЛа'!$B:$G,6,0)+T115)*S115,VLOOKUP($A115,'Из ГУГЛа'!$B:$G,6,0))</f>
        <v/>
      </c>
      <c r="S115" s="15">
        <v>1</v>
      </c>
      <c r="T115" s="15">
        <v>0</v>
      </c>
      <c r="U115" s="41">
        <f t="shared" si="26"/>
        <v>0.26606818181818181</v>
      </c>
      <c r="V115" s="41" t="str">
        <f t="shared" si="27"/>
        <v/>
      </c>
      <c r="W115" s="41" t="str">
        <f t="shared" si="28"/>
        <v/>
      </c>
      <c r="X115" s="45" t="s">
        <v>272</v>
      </c>
    </row>
    <row r="116" spans="1:25" ht="30" x14ac:dyDescent="0.25">
      <c r="A116" s="39">
        <v>136985</v>
      </c>
      <c r="B116" s="39">
        <f>VLOOKUP($A116,'Выгр Кат'!$A:$R,B$1,0)</f>
        <v>36739</v>
      </c>
      <c r="C116" s="40" t="str">
        <f>VLOOKUP($A116,'Выгр Кат'!$A:$R,C$1,0)</f>
        <v>Блок-фара "СЕВиЕМ" правая для Лада Гранта FL</v>
      </c>
      <c r="D116" s="39" t="str">
        <f>VLOOKUP($A116,'Выгр Кат'!$A:$R,D$1,0)</f>
        <v>Y</v>
      </c>
      <c r="E116" s="39" t="str">
        <f>VLOOKUP($A116,'Выгр Кат'!$A:$R,E$1,0)</f>
        <v>1</v>
      </c>
      <c r="F116" s="39" t="str">
        <f>VLOOKUP($A116,'Выгр Кат'!$A:$R,F$1,0)</f>
        <v>51900 (FL)</v>
      </c>
      <c r="G116" s="5"/>
      <c r="H116" s="7" t="s">
        <v>3</v>
      </c>
      <c r="I116" s="33">
        <v>4400</v>
      </c>
      <c r="J116" s="34">
        <f>VLOOKUP(I116,Наценка!$A$1:$B$8,2,1)</f>
        <v>1.35</v>
      </c>
      <c r="K116" s="35">
        <f t="shared" si="33"/>
        <v>5940</v>
      </c>
      <c r="L116" s="36">
        <f t="shared" si="30"/>
        <v>5990</v>
      </c>
      <c r="M116" s="39">
        <f>VLOOKUP($A116,'Выгр Кат'!$A:$R,M$1,0)</f>
        <v>4400</v>
      </c>
      <c r="N116" s="39">
        <f>VLOOKUP($A116,'Выгр Кат'!$A:$R,N$1,0)</f>
        <v>5990</v>
      </c>
      <c r="O116" s="18">
        <f t="shared" si="37"/>
        <v>0</v>
      </c>
      <c r="P116" s="18">
        <f t="shared" si="38"/>
        <v>0</v>
      </c>
      <c r="Q116" s="22">
        <f t="shared" si="25"/>
        <v>5570.7</v>
      </c>
      <c r="R116" s="49" t="str">
        <f>IFERROR((VLOOKUP($A116,'Из ГУГЛа'!$B:$G,6,0)+T116)*S116,VLOOKUP($A116,'Из ГУГЛа'!$B:$G,6,0))</f>
        <v/>
      </c>
      <c r="S116" s="15">
        <v>1</v>
      </c>
      <c r="T116" s="15">
        <v>0</v>
      </c>
      <c r="U116" s="41">
        <f t="shared" si="26"/>
        <v>0.26606818181818181</v>
      </c>
      <c r="V116" s="41" t="str">
        <f t="shared" si="27"/>
        <v/>
      </c>
      <c r="W116" s="41" t="str">
        <f t="shared" si="28"/>
        <v/>
      </c>
      <c r="X116" s="45" t="s">
        <v>272</v>
      </c>
    </row>
    <row r="117" spans="1:25" ht="30.75" thickBot="1" x14ac:dyDescent="0.3">
      <c r="A117" s="39">
        <v>187236</v>
      </c>
      <c r="B117" s="39">
        <f>VLOOKUP($A117,'Выгр Кат'!$A:$R,B$1,0)</f>
        <v>32823</v>
      </c>
      <c r="C117" s="40" t="str">
        <f>VLOOKUP($A117,'Выгр Кат'!$A:$R,C$1,0)</f>
        <v>Передние блок-фары "СЕВиЕМ" в стиле Гранта FL для Лада Гранта</v>
      </c>
      <c r="D117" s="39" t="str">
        <f>VLOOKUP($A117,'Выгр Кат'!$A:$R,D$1,0)</f>
        <v>Y</v>
      </c>
      <c r="E117" s="39" t="str">
        <f>VLOOKUP($A117,'Выгр Кат'!$A:$R,E$1,0)</f>
        <v>1</v>
      </c>
      <c r="F117" s="39">
        <f>VLOOKUP($A117,'Выгр Кат'!$A:$R,F$1,0)</f>
        <v>0</v>
      </c>
      <c r="G117" s="5"/>
      <c r="H117" s="7" t="s">
        <v>3</v>
      </c>
      <c r="I117" s="33">
        <v>5000</v>
      </c>
      <c r="J117" s="34">
        <f>VLOOKUP(I117,Наценка!$A$1:$B$8,2,1)</f>
        <v>1.4</v>
      </c>
      <c r="K117" s="53">
        <f t="shared" ref="K117:K118" si="39">X117*1.06</f>
        <v>6985.4000000000005</v>
      </c>
      <c r="L117" s="36">
        <f t="shared" si="30"/>
        <v>6990</v>
      </c>
      <c r="M117" s="39">
        <f>VLOOKUP($A117,'Выгр Кат'!$A:$R,M$1,0)</f>
        <v>5000</v>
      </c>
      <c r="N117" s="39">
        <f>VLOOKUP($A117,'Выгр Кат'!$A:$R,N$1,0)</f>
        <v>6990</v>
      </c>
      <c r="O117" s="18">
        <f t="shared" si="37"/>
        <v>0</v>
      </c>
      <c r="P117" s="18">
        <f t="shared" si="38"/>
        <v>0</v>
      </c>
      <c r="Q117" s="22">
        <f t="shared" ref="Q117:Q137" si="40">IFERROR(L117*(1-$Q$2),"")</f>
        <v>6500.7</v>
      </c>
      <c r="R117" s="49">
        <f>IFERROR((VLOOKUP($A117,'Из ГУГЛа'!$B:$G,6,0)+T117)*S117,VLOOKUP($A117,'Из ГУГЛа'!$B:$G,6,0))</f>
        <v>6590</v>
      </c>
      <c r="S117" s="15">
        <v>1</v>
      </c>
      <c r="T117" s="15">
        <v>0</v>
      </c>
      <c r="U117" s="41">
        <f t="shared" ref="U117:U137" si="41">IFERROR(Q117/I117-1,"")</f>
        <v>0.30014000000000007</v>
      </c>
      <c r="V117" s="41">
        <f t="shared" ref="V117:V137" si="42">IFERROR((X117-Q117)/X117,"")</f>
        <v>1.3550834597875597E-2</v>
      </c>
      <c r="W117" s="41">
        <f t="shared" ref="W117:W137" si="43">IFERROR(IF(X117="","",X117/I117-1),"")</f>
        <v>0.31800000000000006</v>
      </c>
      <c r="X117" s="43">
        <v>6590</v>
      </c>
      <c r="Y117" s="24" t="s">
        <v>179</v>
      </c>
    </row>
    <row r="118" spans="1:25" ht="31.5" thickTop="1" thickBot="1" x14ac:dyDescent="0.3">
      <c r="A118" s="39">
        <v>224170</v>
      </c>
      <c r="B118" s="39">
        <f>VLOOKUP($A118,'Выгр Кат'!$A:$R,B$1,0)</f>
        <v>32805</v>
      </c>
      <c r="C118" s="40" t="str">
        <f>VLOOKUP($A118,'Выгр Кат'!$A:$R,C$1,0)</f>
        <v>Фонари "СЕВиЕМ" основные, светодиодные для Лада Ларгус</v>
      </c>
      <c r="D118" s="39" t="str">
        <f>VLOOKUP($A118,'Выгр Кат'!$A:$R,D$1,0)</f>
        <v>Y</v>
      </c>
      <c r="E118" s="39" t="str">
        <f>VLOOKUP($A118,'Выгр Кат'!$A:$R,E$1,0)</f>
        <v>1</v>
      </c>
      <c r="F118" s="39">
        <f>VLOOKUP($A118,'Выгр Кат'!$A:$R,F$1,0)</f>
        <v>0</v>
      </c>
      <c r="G118" s="5"/>
      <c r="H118" s="7" t="s">
        <v>3</v>
      </c>
      <c r="I118" s="33">
        <v>5000</v>
      </c>
      <c r="J118" s="34">
        <f>VLOOKUP(I118,Наценка!$A$1:$B$8,2,1)</f>
        <v>1.4</v>
      </c>
      <c r="K118" s="53">
        <f t="shared" si="39"/>
        <v>8257.4</v>
      </c>
      <c r="L118" s="36">
        <f t="shared" si="30"/>
        <v>8290</v>
      </c>
      <c r="M118" s="39">
        <f>VLOOKUP($A118,'Выгр Кат'!$A:$R,M$1,0)</f>
        <v>5000</v>
      </c>
      <c r="N118" s="39">
        <f>VLOOKUP($A118,'Выгр Кат'!$A:$R,N$1,0)</f>
        <v>8290</v>
      </c>
      <c r="O118" s="18">
        <f t="shared" si="37"/>
        <v>0</v>
      </c>
      <c r="P118" s="18">
        <f t="shared" si="38"/>
        <v>0</v>
      </c>
      <c r="Q118" s="22">
        <f t="shared" si="40"/>
        <v>7709.7</v>
      </c>
      <c r="R118" s="49">
        <f>IFERROR((VLOOKUP($A118,'Из ГУГЛа'!$B:$G,6,0)+T118)*S118,VLOOKUP($A118,'Из ГУГЛа'!$B:$G,6,0))</f>
        <v>7790</v>
      </c>
      <c r="S118" s="15">
        <v>1</v>
      </c>
      <c r="T118" s="15">
        <v>0</v>
      </c>
      <c r="U118" s="41">
        <f t="shared" si="41"/>
        <v>0.54193999999999987</v>
      </c>
      <c r="V118" s="41">
        <f t="shared" si="42"/>
        <v>1.0308087291399252E-2</v>
      </c>
      <c r="W118" s="41">
        <f t="shared" si="43"/>
        <v>0.55800000000000005</v>
      </c>
      <c r="X118" s="43">
        <v>7790</v>
      </c>
      <c r="Y118" s="24" t="s">
        <v>180</v>
      </c>
    </row>
    <row r="119" spans="1:25" ht="45.75" thickTop="1" x14ac:dyDescent="0.25">
      <c r="A119" s="39">
        <v>224167</v>
      </c>
      <c r="B119" s="39">
        <f>VLOOKUP($A119,'Выгр Кат'!$A:$R,B$1,0)</f>
        <v>37525</v>
      </c>
      <c r="C119" s="40" t="str">
        <f>VLOOKUP($A119,'Выгр Кат'!$A:$R,C$1,0)</f>
        <v>Фонари "СЕВиЕМ" основные, светодиодные (тонированные) для Лада Ларгус</v>
      </c>
      <c r="D119" s="39" t="str">
        <f>VLOOKUP($A119,'Выгр Кат'!$A:$R,D$1,0)</f>
        <v>Y</v>
      </c>
      <c r="E119" s="39" t="str">
        <f>VLOOKUP($A119,'Выгр Кат'!$A:$R,E$1,0)</f>
        <v>1</v>
      </c>
      <c r="F119" s="39">
        <f>VLOOKUP($A119,'Выгр Кат'!$A:$R,F$1,0)</f>
        <v>0</v>
      </c>
      <c r="G119" s="5"/>
      <c r="H119" s="7" t="s">
        <v>3</v>
      </c>
      <c r="I119" s="33">
        <v>5000</v>
      </c>
      <c r="J119" s="34">
        <f>VLOOKUP(I119,Наценка!$A$1:$B$8,2,1)</f>
        <v>1.4</v>
      </c>
      <c r="K119" s="35">
        <f t="shared" si="33"/>
        <v>7000</v>
      </c>
      <c r="L119" s="36">
        <f t="shared" si="30"/>
        <v>6990</v>
      </c>
      <c r="M119" s="39">
        <f>VLOOKUP($A119,'Выгр Кат'!$A:$R,M$1,0)</f>
        <v>5000</v>
      </c>
      <c r="N119" s="39">
        <f>VLOOKUP($A119,'Выгр Кат'!$A:$R,N$1,0)</f>
        <v>6990</v>
      </c>
      <c r="O119" s="18">
        <f t="shared" si="37"/>
        <v>0</v>
      </c>
      <c r="P119" s="18">
        <f t="shared" si="38"/>
        <v>0</v>
      </c>
      <c r="Q119" s="22">
        <f t="shared" si="40"/>
        <v>6500.7</v>
      </c>
      <c r="R119" s="49" t="str">
        <f>IFERROR((VLOOKUP($A119,'Из ГУГЛа'!$B:$G,6,0)+T119)*S119,VLOOKUP($A119,'Из ГУГЛа'!$B:$G,6,0))</f>
        <v/>
      </c>
      <c r="S119" s="15">
        <v>1</v>
      </c>
      <c r="T119" s="15">
        <v>0</v>
      </c>
      <c r="U119" s="41">
        <f t="shared" si="41"/>
        <v>0.30014000000000007</v>
      </c>
      <c r="V119" s="41" t="str">
        <f t="shared" si="42"/>
        <v/>
      </c>
      <c r="W119" s="41" t="str">
        <f t="shared" si="43"/>
        <v/>
      </c>
      <c r="X119" s="45" t="s">
        <v>272</v>
      </c>
    </row>
    <row r="120" spans="1:25" ht="30.75" thickBot="1" x14ac:dyDescent="0.3">
      <c r="A120" s="39">
        <v>223839</v>
      </c>
      <c r="B120" s="39">
        <f>VLOOKUP($A120,'Выгр Кат'!$A:$R,B$1,0)</f>
        <v>134744</v>
      </c>
      <c r="C120" s="40" t="str">
        <f>VLOOKUP($A120,'Выгр Кат'!$A:$R,C$1,0)</f>
        <v>Фара левая, аналог для Шевроле Нива</v>
      </c>
      <c r="D120" s="39" t="str">
        <f>VLOOKUP($A120,'Выгр Кат'!$A:$R,D$1,0)</f>
        <v>Y</v>
      </c>
      <c r="E120" s="39" t="str">
        <f>VLOOKUP($A120,'Выгр Кат'!$A:$R,E$1,0)</f>
        <v>1ск1</v>
      </c>
      <c r="F120" s="39" t="str">
        <f>VLOOKUP($A120,'Выгр Кат'!$A:$R,F$1,0)</f>
        <v>21230371101102</v>
      </c>
      <c r="G120" s="5"/>
      <c r="H120" s="7" t="s">
        <v>3</v>
      </c>
      <c r="I120" s="33">
        <v>6000</v>
      </c>
      <c r="J120" s="34">
        <f>VLOOKUP(I120,Наценка!$A$1:$B$8,2,1)</f>
        <v>1.4</v>
      </c>
      <c r="K120" s="53">
        <f t="shared" ref="K120:K121" si="44">X120*1.06</f>
        <v>8633.7000000000007</v>
      </c>
      <c r="L120" s="36">
        <f t="shared" si="30"/>
        <v>8690</v>
      </c>
      <c r="M120" s="39">
        <f>VLOOKUP($A120,'Выгр Кат'!$A:$R,M$1,0)</f>
        <v>6000</v>
      </c>
      <c r="N120" s="39">
        <f>VLOOKUP($A120,'Выгр Кат'!$A:$R,N$1,0)</f>
        <v>8690</v>
      </c>
      <c r="O120" s="18">
        <f t="shared" si="37"/>
        <v>0</v>
      </c>
      <c r="P120" s="18">
        <f t="shared" si="38"/>
        <v>0</v>
      </c>
      <c r="Q120" s="22">
        <f t="shared" si="40"/>
        <v>8081.7</v>
      </c>
      <c r="R120" s="49">
        <f>IFERROR((VLOOKUP($A120,'Из ГУГЛа'!$B:$G,6,0)+T120)*S120,VLOOKUP($A120,'Из ГУГЛа'!$B:$G,6,0))</f>
        <v>8145</v>
      </c>
      <c r="S120" s="15">
        <v>0.5</v>
      </c>
      <c r="T120" s="15">
        <v>0</v>
      </c>
      <c r="U120" s="41">
        <f t="shared" si="41"/>
        <v>0.34694999999999987</v>
      </c>
      <c r="V120" s="41">
        <f t="shared" si="42"/>
        <v>7.7716390423572968E-3</v>
      </c>
      <c r="W120" s="41">
        <f t="shared" si="43"/>
        <v>0.35749999999999993</v>
      </c>
      <c r="X120" s="44">
        <v>8145</v>
      </c>
      <c r="Y120" s="24" t="s">
        <v>204</v>
      </c>
    </row>
    <row r="121" spans="1:25" ht="31.5" thickTop="1" thickBot="1" x14ac:dyDescent="0.3">
      <c r="A121" s="39">
        <v>223862</v>
      </c>
      <c r="B121" s="39">
        <f>VLOOKUP($A121,'Выгр Кат'!$A:$R,B$1,0)</f>
        <v>134746</v>
      </c>
      <c r="C121" s="40" t="str">
        <f>VLOOKUP($A121,'Выгр Кат'!$A:$R,C$1,0)</f>
        <v>Фара правая, аналог для Шевроле Нива</v>
      </c>
      <c r="D121" s="39" t="str">
        <f>VLOOKUP($A121,'Выгр Кат'!$A:$R,D$1,0)</f>
        <v>Y</v>
      </c>
      <c r="E121" s="39" t="str">
        <f>VLOOKUP($A121,'Выгр Кат'!$A:$R,E$1,0)</f>
        <v>1</v>
      </c>
      <c r="F121" s="39" t="str">
        <f>VLOOKUP($A121,'Выгр Кат'!$A:$R,F$1,0)</f>
        <v>21230371101002</v>
      </c>
      <c r="G121" s="5"/>
      <c r="H121" s="7" t="s">
        <v>3</v>
      </c>
      <c r="I121" s="33">
        <v>6000</v>
      </c>
      <c r="J121" s="34">
        <f>VLOOKUP(I121,Наценка!$A$1:$B$8,2,1)</f>
        <v>1.4</v>
      </c>
      <c r="K121" s="53">
        <f t="shared" si="44"/>
        <v>8633.7000000000007</v>
      </c>
      <c r="L121" s="36">
        <f t="shared" si="30"/>
        <v>8690</v>
      </c>
      <c r="M121" s="39">
        <f>VLOOKUP($A121,'Выгр Кат'!$A:$R,M$1,0)</f>
        <v>6000</v>
      </c>
      <c r="N121" s="39">
        <f>VLOOKUP($A121,'Выгр Кат'!$A:$R,N$1,0)</f>
        <v>8690</v>
      </c>
      <c r="O121" s="18">
        <f t="shared" si="37"/>
        <v>0</v>
      </c>
      <c r="P121" s="18">
        <f t="shared" si="38"/>
        <v>0</v>
      </c>
      <c r="Q121" s="22">
        <f t="shared" si="40"/>
        <v>8081.7</v>
      </c>
      <c r="R121" s="49">
        <f>IFERROR((VLOOKUP($A121,'Из ГУГЛа'!$B:$G,6,0)+T121)*S121,VLOOKUP($A121,'Из ГУГЛа'!$B:$G,6,0))</f>
        <v>8145</v>
      </c>
      <c r="S121" s="15">
        <v>0.5</v>
      </c>
      <c r="T121" s="15">
        <v>0</v>
      </c>
      <c r="U121" s="41">
        <f t="shared" si="41"/>
        <v>0.34694999999999987</v>
      </c>
      <c r="V121" s="41">
        <f t="shared" si="42"/>
        <v>7.7716390423572968E-3</v>
      </c>
      <c r="W121" s="41">
        <f t="shared" si="43"/>
        <v>0.35749999999999993</v>
      </c>
      <c r="X121" s="44">
        <v>8145</v>
      </c>
      <c r="Y121" s="24" t="s">
        <v>204</v>
      </c>
    </row>
    <row r="122" spans="1:25" ht="75.75" thickTop="1" x14ac:dyDescent="0.25">
      <c r="A122" s="39">
        <v>213698</v>
      </c>
      <c r="B122" s="39">
        <f>VLOOKUP($A122,'Выгр Кат'!$A:$R,B$1,0)</f>
        <v>12693</v>
      </c>
      <c r="C122" s="40" t="str">
        <f>VLOOKUP($A122,'Выгр Кат'!$A:$R,C$1,0)</f>
        <v>Светодиодные фары 40W, чёрные (ДХО, повторитель) для ВАЗ (2101, 2102), Лада (Нива 4х4, Нива 4х4 Урбан), УАЗ (3303, 469, Хантер), Jeep Wrangler</v>
      </c>
      <c r="D122" s="39" t="str">
        <f>VLOOKUP($A122,'Выгр Кат'!$A:$R,D$1,0)</f>
        <v>Y</v>
      </c>
      <c r="E122" s="39" t="str">
        <f>VLOOKUP($A122,'Выгр Кат'!$A:$R,E$1,0)</f>
        <v>1ск1</v>
      </c>
      <c r="F122" s="39">
        <f>VLOOKUP($A122,'Выгр Кат'!$A:$R,F$1,0)</f>
        <v>0</v>
      </c>
      <c r="G122" s="5"/>
      <c r="H122" s="7" t="s">
        <v>3</v>
      </c>
      <c r="I122" s="33">
        <v>7700</v>
      </c>
      <c r="J122" s="34">
        <f>VLOOKUP(I122,Наценка!$A$1:$B$8,2,1)</f>
        <v>1.4</v>
      </c>
      <c r="K122" s="35">
        <f t="shared" si="33"/>
        <v>10780</v>
      </c>
      <c r="L122" s="36">
        <f t="shared" si="30"/>
        <v>10790</v>
      </c>
      <c r="M122" s="39">
        <f>VLOOKUP($A122,'Выгр Кат'!$A:$R,M$1,0)</f>
        <v>7700</v>
      </c>
      <c r="N122" s="39">
        <f>VLOOKUP($A122,'Выгр Кат'!$A:$R,N$1,0)</f>
        <v>10790</v>
      </c>
      <c r="O122" s="18">
        <f t="shared" si="37"/>
        <v>0</v>
      </c>
      <c r="P122" s="18">
        <f t="shared" si="38"/>
        <v>0</v>
      </c>
      <c r="Q122" s="22">
        <f t="shared" si="40"/>
        <v>10034.699999999999</v>
      </c>
      <c r="R122" s="49" t="str">
        <f>IFERROR((VLOOKUP($A122,'Из ГУГЛа'!$B:$G,6,0)+T122)*S122,VLOOKUP($A122,'Из ГУГЛа'!$B:$G,6,0))</f>
        <v/>
      </c>
      <c r="S122" s="15">
        <v>1</v>
      </c>
      <c r="T122" s="15">
        <v>0</v>
      </c>
      <c r="U122" s="41">
        <f t="shared" si="41"/>
        <v>0.30320779220779204</v>
      </c>
      <c r="V122" s="41" t="str">
        <f t="shared" si="42"/>
        <v/>
      </c>
      <c r="W122" s="41" t="str">
        <f t="shared" si="43"/>
        <v/>
      </c>
      <c r="X122" s="45" t="s">
        <v>303</v>
      </c>
    </row>
    <row r="123" spans="1:25" ht="60" x14ac:dyDescent="0.25">
      <c r="A123" s="39">
        <v>213696</v>
      </c>
      <c r="B123" s="39">
        <f>VLOOKUP($A123,'Выгр Кат'!$A:$R,B$1,0)</f>
        <v>12694</v>
      </c>
      <c r="C123" s="40" t="str">
        <f>VLOOKUP($A123,'Выгр Кат'!$A:$R,C$1,0)</f>
        <v>Светодиодные фары 40W (чёрные) для ВАЗ (2101, 2102), Лада (Нива 4х4, Нива 4х4 Урбан), УАЗ (3303, 469, Хантер), Jeep Wrangler</v>
      </c>
      <c r="D123" s="39" t="str">
        <f>VLOOKUP($A123,'Выгр Кат'!$A:$R,D$1,0)</f>
        <v>Y</v>
      </c>
      <c r="E123" s="39" t="str">
        <f>VLOOKUP($A123,'Выгр Кат'!$A:$R,E$1,0)</f>
        <v>0</v>
      </c>
      <c r="F123" s="39">
        <f>VLOOKUP($A123,'Выгр Кат'!$A:$R,F$1,0)</f>
        <v>0</v>
      </c>
      <c r="G123" s="5"/>
      <c r="H123" s="7" t="s">
        <v>3</v>
      </c>
      <c r="I123" s="33">
        <v>7700</v>
      </c>
      <c r="J123" s="34">
        <f>VLOOKUP(I123,Наценка!$A$1:$B$8,2,1)</f>
        <v>1.4</v>
      </c>
      <c r="K123" s="35">
        <f t="shared" si="33"/>
        <v>10780</v>
      </c>
      <c r="L123" s="36">
        <f t="shared" ref="L123:L137" si="45">IF(K123&lt;=1000,(ROUNDUP(K123,-1)-1),(ROUNDUP(K123,-2)-10))</f>
        <v>10790</v>
      </c>
      <c r="M123" s="39">
        <f>VLOOKUP($A123,'Выгр Кат'!$A:$R,M$1,0)</f>
        <v>7700</v>
      </c>
      <c r="N123" s="39">
        <f>VLOOKUP($A123,'Выгр Кат'!$A:$R,N$1,0)</f>
        <v>10790</v>
      </c>
      <c r="O123" s="18">
        <f t="shared" si="37"/>
        <v>0</v>
      </c>
      <c r="P123" s="18">
        <f t="shared" si="38"/>
        <v>0</v>
      </c>
      <c r="Q123" s="22">
        <f t="shared" si="40"/>
        <v>10034.699999999999</v>
      </c>
      <c r="R123" s="49" t="str">
        <f>IFERROR((VLOOKUP($A123,'Из ГУГЛа'!$B:$G,6,0)+T123)*S123,VLOOKUP($A123,'Из ГУГЛа'!$B:$G,6,0))</f>
        <v/>
      </c>
      <c r="S123" s="15">
        <v>1</v>
      </c>
      <c r="T123" s="15">
        <v>0</v>
      </c>
      <c r="U123" s="41">
        <f t="shared" si="41"/>
        <v>0.30320779220779204</v>
      </c>
      <c r="V123" s="41" t="str">
        <f t="shared" si="42"/>
        <v/>
      </c>
      <c r="W123" s="41" t="str">
        <f t="shared" si="43"/>
        <v/>
      </c>
      <c r="X123" s="45"/>
    </row>
    <row r="124" spans="1:25" ht="60" x14ac:dyDescent="0.25">
      <c r="A124" s="39">
        <v>213705</v>
      </c>
      <c r="B124" s="39">
        <f>VLOOKUP($A124,'Выгр Кат'!$A:$R,B$1,0)</f>
        <v>13638</v>
      </c>
      <c r="C124" s="40" t="str">
        <f>VLOOKUP($A124,'Выгр Кат'!$A:$R,C$1,0)</f>
        <v>Светодиодные фары 80W, чёрные (с ДХО) для ВАЗ (2101, 2102), Лада (Нива 4х4, Нива 4х4 Урбан), УАЗ (3303, 469, Хантер), Jeep Wrangler</v>
      </c>
      <c r="D124" s="39" t="str">
        <f>VLOOKUP($A124,'Выгр Кат'!$A:$R,D$1,0)</f>
        <v>Y</v>
      </c>
      <c r="E124" s="39" t="str">
        <f>VLOOKUP($A124,'Выгр Кат'!$A:$R,E$1,0)</f>
        <v>1</v>
      </c>
      <c r="F124" s="39" t="str">
        <f>VLOOKUP($A124,'Выгр Кат'!$A:$R,F$1,0)</f>
        <v>D0875X</v>
      </c>
      <c r="G124" s="5"/>
      <c r="H124" s="7" t="s">
        <v>3</v>
      </c>
      <c r="I124" s="33">
        <v>7700</v>
      </c>
      <c r="J124" s="34">
        <f>VLOOKUP(I124,Наценка!$A$1:$B$8,2,1)</f>
        <v>1.4</v>
      </c>
      <c r="K124" s="35">
        <f t="shared" si="33"/>
        <v>10780</v>
      </c>
      <c r="L124" s="36">
        <f t="shared" si="45"/>
        <v>10790</v>
      </c>
      <c r="M124" s="39">
        <f>VLOOKUP($A124,'Выгр Кат'!$A:$R,M$1,0)</f>
        <v>7700</v>
      </c>
      <c r="N124" s="39">
        <f>VLOOKUP($A124,'Выгр Кат'!$A:$R,N$1,0)</f>
        <v>10790</v>
      </c>
      <c r="O124" s="18">
        <f t="shared" si="37"/>
        <v>0</v>
      </c>
      <c r="P124" s="18">
        <f t="shared" si="38"/>
        <v>0</v>
      </c>
      <c r="Q124" s="22">
        <f t="shared" si="40"/>
        <v>10034.699999999999</v>
      </c>
      <c r="R124" s="49" t="str">
        <f>IFERROR((VLOOKUP($A124,'Из ГУГЛа'!$B:$G,6,0)+T124)*S124,VLOOKUP($A124,'Из ГУГЛа'!$B:$G,6,0))</f>
        <v/>
      </c>
      <c r="S124" s="15">
        <v>1</v>
      </c>
      <c r="T124" s="15">
        <v>0</v>
      </c>
      <c r="U124" s="41">
        <f t="shared" si="41"/>
        <v>0.30320779220779204</v>
      </c>
      <c r="V124" s="41" t="str">
        <f t="shared" si="42"/>
        <v/>
      </c>
      <c r="W124" s="41" t="str">
        <f t="shared" si="43"/>
        <v/>
      </c>
      <c r="X124" s="45" t="s">
        <v>303</v>
      </c>
    </row>
    <row r="125" spans="1:25" ht="75" x14ac:dyDescent="0.25">
      <c r="A125" s="39">
        <v>213695</v>
      </c>
      <c r="B125" s="39">
        <f>VLOOKUP($A125,'Выгр Кат'!$A:$R,B$1,0)</f>
        <v>13911</v>
      </c>
      <c r="C125" s="40" t="str">
        <f>VLOOKUP($A125,'Выгр Кат'!$A:$R,C$1,0)</f>
        <v>Светодиодные фары 40W (хромированные) для ВАЗ (2101, 2102), Лада (Нива 4х4, Нива 4х4 Урбан), УАЗ (3303, 469, Хантер), Jeep Wrangler</v>
      </c>
      <c r="D125" s="39" t="str">
        <f>VLOOKUP($A125,'Выгр Кат'!$A:$R,D$1,0)</f>
        <v>Y</v>
      </c>
      <c r="E125" s="39" t="str">
        <f>VLOOKUP($A125,'Выгр Кат'!$A:$R,E$1,0)</f>
        <v>1</v>
      </c>
      <c r="F125" s="39">
        <f>VLOOKUP($A125,'Выгр Кат'!$A:$R,F$1,0)</f>
        <v>0</v>
      </c>
      <c r="G125" s="5"/>
      <c r="H125" s="7" t="s">
        <v>3</v>
      </c>
      <c r="I125" s="33">
        <v>7700</v>
      </c>
      <c r="J125" s="34">
        <f>VLOOKUP(I125,Наценка!$A$1:$B$8,2,1)</f>
        <v>1.4</v>
      </c>
      <c r="K125" s="35">
        <f t="shared" si="33"/>
        <v>10780</v>
      </c>
      <c r="L125" s="36">
        <f t="shared" si="45"/>
        <v>10790</v>
      </c>
      <c r="M125" s="39">
        <f>VLOOKUP($A125,'Выгр Кат'!$A:$R,M$1,0)</f>
        <v>7700</v>
      </c>
      <c r="N125" s="39">
        <f>VLOOKUP($A125,'Выгр Кат'!$A:$R,N$1,0)</f>
        <v>10790</v>
      </c>
      <c r="O125" s="18">
        <f t="shared" si="37"/>
        <v>0</v>
      </c>
      <c r="P125" s="18">
        <f t="shared" si="38"/>
        <v>0</v>
      </c>
      <c r="Q125" s="22">
        <f t="shared" si="40"/>
        <v>10034.699999999999</v>
      </c>
      <c r="R125" s="49" t="str">
        <f>IFERROR((VLOOKUP($A125,'Из ГУГЛа'!$B:$G,6,0)+T125)*S125,VLOOKUP($A125,'Из ГУГЛа'!$B:$G,6,0))</f>
        <v/>
      </c>
      <c r="S125" s="15">
        <v>1</v>
      </c>
      <c r="T125" s="15">
        <v>0</v>
      </c>
      <c r="U125" s="41">
        <f t="shared" si="41"/>
        <v>0.30320779220779204</v>
      </c>
      <c r="V125" s="41" t="str">
        <f t="shared" si="42"/>
        <v/>
      </c>
      <c r="W125" s="41" t="str">
        <f t="shared" si="43"/>
        <v/>
      </c>
      <c r="X125" s="45" t="s">
        <v>303</v>
      </c>
    </row>
    <row r="126" spans="1:25" ht="60" x14ac:dyDescent="0.25">
      <c r="A126" s="39">
        <v>213697</v>
      </c>
      <c r="B126" s="39">
        <f>VLOOKUP($A126,'Выгр Кат'!$A:$R,B$1,0)</f>
        <v>19188</v>
      </c>
      <c r="C126" s="40" t="str">
        <f>VLOOKUP($A126,'Выгр Кат'!$A:$R,C$1,0)</f>
        <v>Светодиодные фары 40W, хром для ВАЗ (2101, 2102), Лада (Нива 4х4, Нива 4х4 Урбан), УАЗ (3303, 469, Хантер), Jeep Wrangler</v>
      </c>
      <c r="D126" s="39" t="str">
        <f>VLOOKUP($A126,'Выгр Кат'!$A:$R,D$1,0)</f>
        <v>Y</v>
      </c>
      <c r="E126" s="39" t="str">
        <f>VLOOKUP($A126,'Выгр Кат'!$A:$R,E$1,0)</f>
        <v>1</v>
      </c>
      <c r="F126" s="39" t="str">
        <f>VLOOKUP($A126,'Выгр Кат'!$A:$R,F$1,0)</f>
        <v>DDL 001M</v>
      </c>
      <c r="G126" s="5"/>
      <c r="H126" s="7" t="s">
        <v>3</v>
      </c>
      <c r="I126" s="33">
        <v>7700</v>
      </c>
      <c r="J126" s="34">
        <f>VLOOKUP(I126,Наценка!$A$1:$B$8,2,1)</f>
        <v>1.4</v>
      </c>
      <c r="K126" s="35">
        <f t="shared" si="33"/>
        <v>10780</v>
      </c>
      <c r="L126" s="36">
        <f t="shared" si="45"/>
        <v>10790</v>
      </c>
      <c r="M126" s="39">
        <f>VLOOKUP($A126,'Выгр Кат'!$A:$R,M$1,0)</f>
        <v>7700</v>
      </c>
      <c r="N126" s="39">
        <f>VLOOKUP($A126,'Выгр Кат'!$A:$R,N$1,0)</f>
        <v>10790</v>
      </c>
      <c r="O126" s="18">
        <f t="shared" si="37"/>
        <v>0</v>
      </c>
      <c r="P126" s="18">
        <f t="shared" si="38"/>
        <v>0</v>
      </c>
      <c r="Q126" s="22">
        <f t="shared" si="40"/>
        <v>10034.699999999999</v>
      </c>
      <c r="R126" s="49" t="str">
        <f>IFERROR((VLOOKUP($A126,'Из ГУГЛа'!$B:$G,6,0)+T126)*S126,VLOOKUP($A126,'Из ГУГЛа'!$B:$G,6,0))</f>
        <v/>
      </c>
      <c r="S126" s="15">
        <v>1</v>
      </c>
      <c r="T126" s="15">
        <v>0</v>
      </c>
      <c r="U126" s="41">
        <f t="shared" si="41"/>
        <v>0.30320779220779204</v>
      </c>
      <c r="V126" s="41" t="str">
        <f t="shared" si="42"/>
        <v/>
      </c>
      <c r="W126" s="41" t="str">
        <f t="shared" si="43"/>
        <v/>
      </c>
      <c r="X126" s="45" t="s">
        <v>303</v>
      </c>
    </row>
    <row r="127" spans="1:25" ht="60" x14ac:dyDescent="0.25">
      <c r="A127" s="39">
        <v>213699</v>
      </c>
      <c r="B127" s="39">
        <f>VLOOKUP($A127,'Выгр Кат'!$A:$R,B$1,0)</f>
        <v>19190</v>
      </c>
      <c r="C127" s="40" t="str">
        <f>VLOOKUP($A127,'Выгр Кат'!$A:$R,C$1,0)</f>
        <v>Светодиодные фары 40W, чёрные для ВАЗ (2101, 2102), Лада (Нива 4х4, Нива 4х4 Урбан), УАЗ (3303, 469, Хантер), Jeep Wrangler</v>
      </c>
      <c r="D127" s="39" t="str">
        <f>VLOOKUP($A127,'Выгр Кат'!$A:$R,D$1,0)</f>
        <v>Y</v>
      </c>
      <c r="E127" s="39" t="str">
        <f>VLOOKUP($A127,'Выгр Кат'!$A:$R,E$1,0)</f>
        <v>1</v>
      </c>
      <c r="F127" s="39" t="str">
        <f>VLOOKUP($A127,'Выгр Кат'!$A:$R,F$1,0)</f>
        <v>DDL 001M</v>
      </c>
      <c r="G127" s="5"/>
      <c r="H127" s="7" t="s">
        <v>3</v>
      </c>
      <c r="I127" s="33">
        <v>7700</v>
      </c>
      <c r="J127" s="34">
        <f>VLOOKUP(I127,Наценка!$A$1:$B$8,2,1)</f>
        <v>1.4</v>
      </c>
      <c r="K127" s="35">
        <f t="shared" si="33"/>
        <v>10780</v>
      </c>
      <c r="L127" s="36">
        <f t="shared" si="45"/>
        <v>10790</v>
      </c>
      <c r="M127" s="39">
        <f>VLOOKUP($A127,'Выгр Кат'!$A:$R,M$1,0)</f>
        <v>7700</v>
      </c>
      <c r="N127" s="39">
        <f>VLOOKUP($A127,'Выгр Кат'!$A:$R,N$1,0)</f>
        <v>10790</v>
      </c>
      <c r="O127" s="18">
        <f t="shared" si="37"/>
        <v>0</v>
      </c>
      <c r="P127" s="18">
        <f t="shared" si="38"/>
        <v>0</v>
      </c>
      <c r="Q127" s="22">
        <f t="shared" si="40"/>
        <v>10034.699999999999</v>
      </c>
      <c r="R127" s="49" t="str">
        <f>IFERROR((VLOOKUP($A127,'Из ГУГЛа'!$B:$G,6,0)+T127)*S127,VLOOKUP($A127,'Из ГУГЛа'!$B:$G,6,0))</f>
        <v/>
      </c>
      <c r="S127" s="15">
        <v>1</v>
      </c>
      <c r="T127" s="15">
        <v>0</v>
      </c>
      <c r="U127" s="41">
        <f t="shared" si="41"/>
        <v>0.30320779220779204</v>
      </c>
      <c r="V127" s="41" t="str">
        <f t="shared" si="42"/>
        <v/>
      </c>
      <c r="W127" s="41" t="str">
        <f t="shared" si="43"/>
        <v/>
      </c>
      <c r="X127" s="45" t="s">
        <v>303</v>
      </c>
    </row>
    <row r="128" spans="1:25" ht="45" x14ac:dyDescent="0.25">
      <c r="A128" s="39">
        <v>143746</v>
      </c>
      <c r="B128" s="39">
        <f>VLOOKUP($A128,'Выгр Кат'!$A:$R,B$1,0)</f>
        <v>24748</v>
      </c>
      <c r="C128" s="40" t="str">
        <f>VLOOKUP($A128,'Выгр Кат'!$A:$R,C$1,0)</f>
        <v>Диодные задние фонари "черные" с динамическим повторителем поворота на крылья для Лада Веста</v>
      </c>
      <c r="D128" s="39" t="str">
        <f>VLOOKUP($A128,'Выгр Кат'!$A:$R,D$1,0)</f>
        <v>Y</v>
      </c>
      <c r="E128" s="39" t="str">
        <f>VLOOKUP($A128,'Выгр Кат'!$A:$R,E$1,0)</f>
        <v>0</v>
      </c>
      <c r="F128" s="39">
        <f>VLOOKUP($A128,'Выгр Кат'!$A:$R,F$1,0)</f>
        <v>0</v>
      </c>
      <c r="G128" s="5"/>
      <c r="H128" s="7" t="s">
        <v>3</v>
      </c>
      <c r="I128" s="33">
        <v>7800</v>
      </c>
      <c r="J128" s="34">
        <f>VLOOKUP(I128,Наценка!$A$1:$B$8,2,1)</f>
        <v>1.4</v>
      </c>
      <c r="K128" s="35">
        <f t="shared" si="33"/>
        <v>10920</v>
      </c>
      <c r="L128" s="36">
        <f t="shared" si="45"/>
        <v>10990</v>
      </c>
      <c r="M128" s="39">
        <f>VLOOKUP($A128,'Выгр Кат'!$A:$R,M$1,0)</f>
        <v>7800</v>
      </c>
      <c r="N128" s="39">
        <f>VLOOKUP($A128,'Выгр Кат'!$A:$R,N$1,0)</f>
        <v>10990</v>
      </c>
      <c r="O128" s="18">
        <f t="shared" si="37"/>
        <v>0</v>
      </c>
      <c r="P128" s="18">
        <f t="shared" si="38"/>
        <v>0</v>
      </c>
      <c r="Q128" s="22">
        <f t="shared" si="40"/>
        <v>10220.699999999999</v>
      </c>
      <c r="R128" s="49" t="str">
        <f>IFERROR((VLOOKUP($A128,'Из ГУГЛа'!$B:$G,6,0)+T128)*S128,VLOOKUP($A128,'Из ГУГЛа'!$B:$G,6,0))</f>
        <v/>
      </c>
      <c r="S128" s="15">
        <v>1</v>
      </c>
      <c r="T128" s="15">
        <v>0</v>
      </c>
      <c r="U128" s="41">
        <f t="shared" si="41"/>
        <v>0.31034615384615361</v>
      </c>
      <c r="V128" s="41" t="str">
        <f t="shared" si="42"/>
        <v/>
      </c>
      <c r="W128" s="41" t="str">
        <f t="shared" si="43"/>
        <v/>
      </c>
      <c r="X128" s="42"/>
    </row>
    <row r="129" spans="1:25 16383:16383" ht="30" x14ac:dyDescent="0.25">
      <c r="A129" s="39">
        <v>187235</v>
      </c>
      <c r="B129" s="39">
        <f>VLOOKUP($A129,'Выгр Кат'!$A:$R,B$1,0)</f>
        <v>133269</v>
      </c>
      <c r="C129" s="40" t="str">
        <f>VLOOKUP($A129,'Выгр Кат'!$A:$R,C$1,0)</f>
        <v>Передние блок-фары "СЕВиЕМ" в стиле AUDI для Лада Гранта</v>
      </c>
      <c r="D129" s="39" t="str">
        <f>VLOOKUP($A129,'Выгр Кат'!$A:$R,D$1,0)</f>
        <v>Y</v>
      </c>
      <c r="E129" s="39" t="str">
        <f>VLOOKUP($A129,'Выгр Кат'!$A:$R,E$1,0)</f>
        <v>1</v>
      </c>
      <c r="F129" s="39">
        <f>VLOOKUP($A129,'Выгр Кат'!$A:$R,F$1,0)</f>
        <v>0</v>
      </c>
      <c r="G129" s="5"/>
      <c r="H129" s="7" t="s">
        <v>3</v>
      </c>
      <c r="I129" s="33">
        <v>9000</v>
      </c>
      <c r="J129" s="34">
        <f>VLOOKUP(I129,Наценка!$A$1:$B$8,2,1)</f>
        <v>1.4</v>
      </c>
      <c r="K129" s="52">
        <f>X129*1.04</f>
        <v>12989.6</v>
      </c>
      <c r="L129" s="36">
        <f t="shared" si="45"/>
        <v>12990</v>
      </c>
      <c r="M129" s="39">
        <f>VLOOKUP($A129,'Выгр Кат'!$A:$R,M$1,0)</f>
        <v>9000</v>
      </c>
      <c r="N129" s="39">
        <f>VLOOKUP($A129,'Выгр Кат'!$A:$R,N$1,0)</f>
        <v>15890</v>
      </c>
      <c r="O129" s="18">
        <f t="shared" si="37"/>
        <v>0</v>
      </c>
      <c r="P129" s="18">
        <f t="shared" si="38"/>
        <v>2900</v>
      </c>
      <c r="Q129" s="22">
        <f t="shared" si="40"/>
        <v>12080.699999999999</v>
      </c>
      <c r="R129" s="49">
        <f>IFERROR((VLOOKUP($A129,'Из ГУГЛа'!$B:$G,6,0)+T129)*S129,VLOOKUP($A129,'Из ГУГЛа'!$B:$G,6,0))</f>
        <v>12490</v>
      </c>
      <c r="S129" s="15">
        <v>1</v>
      </c>
      <c r="T129" s="15">
        <v>0</v>
      </c>
      <c r="U129" s="41">
        <f t="shared" si="41"/>
        <v>0.34229999999999983</v>
      </c>
      <c r="V129" s="41">
        <f t="shared" si="42"/>
        <v>3.2770216172938439E-2</v>
      </c>
      <c r="W129" s="41">
        <f t="shared" si="43"/>
        <v>0.38777777777777778</v>
      </c>
      <c r="X129" s="45">
        <v>12490</v>
      </c>
      <c r="Y129" s="24" t="s">
        <v>312</v>
      </c>
    </row>
    <row r="130" spans="1:25 16383:16383" ht="30" x14ac:dyDescent="0.25">
      <c r="A130" s="39">
        <v>187502</v>
      </c>
      <c r="B130" s="39">
        <f>VLOOKUP($A130,'Выгр Кат'!$A:$R,B$1,0)</f>
        <v>24475</v>
      </c>
      <c r="C130" s="40" t="str">
        <f>VLOOKUP($A130,'Выгр Кат'!$A:$R,C$1,0)</f>
        <v>Передние чёрные фары с 4-мя линзами для ВАЗ 2110-2112</v>
      </c>
      <c r="D130" s="39" t="str">
        <f>VLOOKUP($A130,'Выгр Кат'!$A:$R,D$1,0)</f>
        <v>Y</v>
      </c>
      <c r="E130" s="39" t="str">
        <f>VLOOKUP($A130,'Выгр Кат'!$A:$R,E$1,0)</f>
        <v>1</v>
      </c>
      <c r="F130" s="39">
        <f>VLOOKUP($A130,'Выгр Кат'!$A:$R,F$1,0)</f>
        <v>0</v>
      </c>
      <c r="G130" s="5"/>
      <c r="H130" s="7" t="s">
        <v>3</v>
      </c>
      <c r="I130" s="33">
        <v>9900</v>
      </c>
      <c r="J130" s="34">
        <f>VLOOKUP(I130,Наценка!$A$1:$B$8,2,1)</f>
        <v>1.4</v>
      </c>
      <c r="K130" s="35">
        <f t="shared" si="33"/>
        <v>13860</v>
      </c>
      <c r="L130" s="36">
        <f t="shared" si="45"/>
        <v>13890</v>
      </c>
      <c r="M130" s="39">
        <f>VLOOKUP($A130,'Выгр Кат'!$A:$R,M$1,0)</f>
        <v>9900</v>
      </c>
      <c r="N130" s="39">
        <f>VLOOKUP($A130,'Выгр Кат'!$A:$R,N$1,0)</f>
        <v>13890</v>
      </c>
      <c r="O130" s="18">
        <f t="shared" si="37"/>
        <v>0</v>
      </c>
      <c r="P130" s="18">
        <f t="shared" si="38"/>
        <v>0</v>
      </c>
      <c r="Q130" s="22">
        <f t="shared" si="40"/>
        <v>12917.699999999999</v>
      </c>
      <c r="R130" s="49" t="str">
        <f>IFERROR((VLOOKUP($A130,'Из ГУГЛа'!$B:$G,6,0)+T130)*S130,VLOOKUP($A130,'Из ГУГЛа'!$B:$G,6,0))</f>
        <v/>
      </c>
      <c r="S130" s="15">
        <v>1</v>
      </c>
      <c r="T130" s="15">
        <v>0</v>
      </c>
      <c r="U130" s="41">
        <f t="shared" si="41"/>
        <v>0.30481818181818165</v>
      </c>
      <c r="V130" s="41" t="str">
        <f t="shared" si="42"/>
        <v/>
      </c>
      <c r="W130" s="41" t="str">
        <f t="shared" si="43"/>
        <v/>
      </c>
      <c r="X130" s="45" t="s">
        <v>272</v>
      </c>
    </row>
    <row r="131" spans="1:25 16383:16383" ht="45.75" thickBot="1" x14ac:dyDescent="0.3">
      <c r="A131" s="39">
        <v>226468</v>
      </c>
      <c r="B131" s="39">
        <f>VLOOKUP($A131,'Выгр Кат'!$A:$R,B$1,0)</f>
        <v>4826</v>
      </c>
      <c r="C131" s="40" t="str">
        <f>VLOOKUP($A131,'Выгр Кат'!$A:$R,C$1,0)</f>
        <v>Штатные тюнингованные фары "Киржач" (черные маски) для Лада Приора, Приора 2</v>
      </c>
      <c r="D131" s="39" t="str">
        <f>VLOOKUP($A131,'Выгр Кат'!$A:$R,D$1,0)</f>
        <v>Y</v>
      </c>
      <c r="E131" s="39" t="str">
        <f>VLOOKUP($A131,'Выгр Кат'!$A:$R,E$1,0)</f>
        <v>0</v>
      </c>
      <c r="F131" s="39">
        <f>VLOOKUP($A131,'Выгр Кат'!$A:$R,F$1,0)</f>
        <v>0</v>
      </c>
      <c r="G131" s="5"/>
      <c r="H131" s="7" t="s">
        <v>3</v>
      </c>
      <c r="I131" s="33">
        <v>10400</v>
      </c>
      <c r="J131" s="34">
        <f>VLOOKUP(I131,Наценка!$A$1:$B$8,2,1)</f>
        <v>1.35</v>
      </c>
      <c r="K131" s="35">
        <f t="shared" si="33"/>
        <v>14040.000000000002</v>
      </c>
      <c r="L131" s="36">
        <f t="shared" si="45"/>
        <v>14090</v>
      </c>
      <c r="M131" s="39">
        <f>VLOOKUP($A131,'Выгр Кат'!$A:$R,M$1,0)</f>
        <v>10400</v>
      </c>
      <c r="N131" s="39">
        <f>VLOOKUP($A131,'Выгр Кат'!$A:$R,N$1,0)</f>
        <v>14090</v>
      </c>
      <c r="O131" s="18">
        <f t="shared" si="37"/>
        <v>0</v>
      </c>
      <c r="P131" s="18">
        <f t="shared" si="38"/>
        <v>0</v>
      </c>
      <c r="Q131" s="22">
        <f t="shared" si="40"/>
        <v>13103.699999999999</v>
      </c>
      <c r="R131" s="49">
        <f>IFERROR((VLOOKUP($A131,'Из ГУГЛа'!$B:$G,6,0)+T131)*S131,VLOOKUP($A131,'Из ГУГЛа'!$B:$G,6,0))</f>
        <v>10990</v>
      </c>
      <c r="S131" s="15">
        <v>1</v>
      </c>
      <c r="T131" s="15">
        <v>0</v>
      </c>
      <c r="U131" s="41">
        <f t="shared" si="41"/>
        <v>0.25997115384615377</v>
      </c>
      <c r="V131" s="41">
        <f t="shared" si="42"/>
        <v>-0.19232939035486796</v>
      </c>
      <c r="W131" s="41">
        <f t="shared" si="43"/>
        <v>5.6730769230769251E-2</v>
      </c>
      <c r="X131" s="43">
        <v>10990</v>
      </c>
      <c r="Y131" s="24" t="s">
        <v>181</v>
      </c>
    </row>
    <row r="132" spans="1:25 16383:16383" ht="30.75" thickTop="1" x14ac:dyDescent="0.25">
      <c r="A132" s="39">
        <v>159503</v>
      </c>
      <c r="B132" s="39">
        <f>VLOOKUP($A132,'Выгр Кат'!$A:$R,B$1,0)</f>
        <v>25951</v>
      </c>
      <c r="C132" s="40" t="str">
        <f>VLOOKUP($A132,'Выгр Кат'!$A:$R,C$1,0)</f>
        <v>Комплект раздвоенных насадок на глушитель AKRAPOVIC (АНАЛОГ)</v>
      </c>
      <c r="D132" s="39" t="str">
        <f>VLOOKUP($A132,'Выгр Кат'!$A:$R,D$1,0)</f>
        <v>Y</v>
      </c>
      <c r="E132" s="39" t="str">
        <f>VLOOKUP($A132,'Выгр Кат'!$A:$R,E$1,0)</f>
        <v>1</v>
      </c>
      <c r="F132" s="39">
        <f>VLOOKUP($A132,'Выгр Кат'!$A:$R,F$1,0)</f>
        <v>0</v>
      </c>
      <c r="G132" s="5"/>
      <c r="H132" s="7" t="s">
        <v>3</v>
      </c>
      <c r="I132" s="33">
        <v>10500</v>
      </c>
      <c r="J132" s="34">
        <f>VLOOKUP(I132,Наценка!$A$1:$B$8,2,1)</f>
        <v>1.35</v>
      </c>
      <c r="K132" s="35">
        <f t="shared" si="33"/>
        <v>14175.000000000002</v>
      </c>
      <c r="L132" s="36">
        <f t="shared" si="45"/>
        <v>14190</v>
      </c>
      <c r="M132" s="39">
        <f>VLOOKUP($A132,'Выгр Кат'!$A:$R,M$1,0)</f>
        <v>10500</v>
      </c>
      <c r="N132" s="39">
        <f>VLOOKUP($A132,'Выгр Кат'!$A:$R,N$1,0)</f>
        <v>14190</v>
      </c>
      <c r="O132" s="18">
        <f t="shared" si="37"/>
        <v>0</v>
      </c>
      <c r="P132" s="18">
        <f t="shared" si="38"/>
        <v>0</v>
      </c>
      <c r="Q132" s="22">
        <f t="shared" si="40"/>
        <v>13196.699999999999</v>
      </c>
      <c r="R132" s="49" t="str">
        <f>IFERROR((VLOOKUP($A132,'Из ГУГЛа'!$B:$G,6,0)+T132)*S132,VLOOKUP($A132,'Из ГУГЛа'!$B:$G,6,0))</f>
        <v/>
      </c>
      <c r="S132" s="15">
        <v>1</v>
      </c>
      <c r="T132" s="15">
        <v>0</v>
      </c>
      <c r="U132" s="41">
        <f t="shared" si="41"/>
        <v>0.25682857142857141</v>
      </c>
      <c r="V132" s="41" t="str">
        <f t="shared" si="42"/>
        <v/>
      </c>
      <c r="W132" s="41" t="str">
        <f t="shared" si="43"/>
        <v/>
      </c>
      <c r="X132" s="45" t="s">
        <v>272</v>
      </c>
    </row>
    <row r="133" spans="1:25 16383:16383" ht="30.75" thickBot="1" x14ac:dyDescent="0.3">
      <c r="A133" s="39">
        <v>223884</v>
      </c>
      <c r="B133" s="39">
        <f>VLOOKUP($A133,'Выгр Кат'!$A:$R,B$1,0)</f>
        <v>21403</v>
      </c>
      <c r="C133" s="40" t="str">
        <f>VLOOKUP($A133,'Выгр Кат'!$A:$R,C$1,0)</f>
        <v>Фары в стиле BMW (MTF-глазки) для Лада Приора</v>
      </c>
      <c r="D133" s="39" t="str">
        <f>VLOOKUP($A133,'Выгр Кат'!$A:$R,D$1,0)</f>
        <v>Y</v>
      </c>
      <c r="E133" s="39" t="str">
        <f>VLOOKUP($A133,'Выгр Кат'!$A:$R,E$1,0)</f>
        <v>1</v>
      </c>
      <c r="F133" s="39">
        <f>VLOOKUP($A133,'Выгр Кат'!$A:$R,F$1,0)</f>
        <v>0</v>
      </c>
      <c r="G133" s="5"/>
      <c r="H133" s="7" t="s">
        <v>3</v>
      </c>
      <c r="I133" s="33">
        <v>12000</v>
      </c>
      <c r="J133" s="34">
        <f>VLOOKUP(I133,Наценка!$A$1:$B$8,2,1)</f>
        <v>1.35</v>
      </c>
      <c r="K133" s="53">
        <f t="shared" ref="K133" si="46">X133*1.06</f>
        <v>15889.400000000001</v>
      </c>
      <c r="L133" s="36">
        <f t="shared" si="45"/>
        <v>15890</v>
      </c>
      <c r="M133" s="39">
        <f>VLOOKUP($A133,'Выгр Кат'!$A:$R,M$1,0)</f>
        <v>12000</v>
      </c>
      <c r="N133" s="39">
        <f>VLOOKUP($A133,'Выгр Кат'!$A:$R,N$1,0)</f>
        <v>15890</v>
      </c>
      <c r="O133" s="18">
        <f t="shared" si="37"/>
        <v>0</v>
      </c>
      <c r="P133" s="18">
        <f t="shared" si="38"/>
        <v>0</v>
      </c>
      <c r="Q133" s="22">
        <f t="shared" si="40"/>
        <v>14777.699999999999</v>
      </c>
      <c r="R133" s="49">
        <f>IFERROR((VLOOKUP($A133,'Из ГУГЛа'!$B:$G,6,0)+T133)*S133,VLOOKUP($A133,'Из ГУГЛа'!$B:$G,6,0))</f>
        <v>14990</v>
      </c>
      <c r="S133" s="15">
        <v>1</v>
      </c>
      <c r="T133" s="15">
        <v>0</v>
      </c>
      <c r="U133" s="41">
        <f t="shared" si="41"/>
        <v>0.23147499999999988</v>
      </c>
      <c r="V133" s="41">
        <f t="shared" si="42"/>
        <v>1.416277518345571E-2</v>
      </c>
      <c r="W133" s="41">
        <f t="shared" si="43"/>
        <v>0.24916666666666676</v>
      </c>
      <c r="X133" s="44">
        <v>14990</v>
      </c>
      <c r="Y133" s="24" t="s">
        <v>205</v>
      </c>
    </row>
    <row r="134" spans="1:25 16383:16383" ht="45.75" thickTop="1" x14ac:dyDescent="0.25">
      <c r="A134" s="39">
        <v>224171</v>
      </c>
      <c r="B134" s="39">
        <f>VLOOKUP($A134,'Выгр Кат'!$A:$R,B$1,0)</f>
        <v>158854</v>
      </c>
      <c r="C134" s="40" t="str">
        <f>VLOOKUP($A134,'Выгр Кат'!$A:$R,C$1,0)</f>
        <v>Фонари задние светодиодные в стиле Mercedes AMG (красные) для Лада Веста</v>
      </c>
      <c r="D134" s="39" t="str">
        <f>VLOOKUP($A134,'Выгр Кат'!$A:$R,D$1,0)</f>
        <v>Y</v>
      </c>
      <c r="E134" s="39" t="str">
        <f>VLOOKUP($A134,'Выгр Кат'!$A:$R,E$1,0)</f>
        <v>1</v>
      </c>
      <c r="F134" s="39">
        <f>VLOOKUP($A134,'Выгр Кат'!$A:$R,F$1,0)</f>
        <v>0</v>
      </c>
      <c r="G134" s="5"/>
      <c r="H134" s="7" t="s">
        <v>3</v>
      </c>
      <c r="I134" s="33">
        <v>12000</v>
      </c>
      <c r="J134" s="34">
        <f>VLOOKUP(I134,Наценка!$A$1:$B$8,2,1)</f>
        <v>1.35</v>
      </c>
      <c r="K134" s="56">
        <f>I134*1.23*100/93</f>
        <v>15870.967741935483</v>
      </c>
      <c r="L134" s="36">
        <f t="shared" si="45"/>
        <v>15890</v>
      </c>
      <c r="M134" s="39">
        <f>VLOOKUP($A134,'Выгр Кат'!$A:$R,M$1,0)</f>
        <v>12000</v>
      </c>
      <c r="N134" s="39">
        <f>VLOOKUP($A134,'Выгр Кат'!$A:$R,N$1,0)</f>
        <v>15890</v>
      </c>
      <c r="O134" s="18">
        <f t="shared" si="37"/>
        <v>0</v>
      </c>
      <c r="P134" s="18">
        <f t="shared" si="38"/>
        <v>0</v>
      </c>
      <c r="Q134" s="22">
        <f t="shared" si="40"/>
        <v>14777.699999999999</v>
      </c>
      <c r="R134" s="49">
        <f>IFERROR((VLOOKUP($A134,'Из ГУГЛа'!$B:$G,6,0)+T134)*S134,VLOOKUP($A134,'Из ГУГЛа'!$B:$G,6,0))</f>
        <v>14790</v>
      </c>
      <c r="S134" s="15">
        <v>1</v>
      </c>
      <c r="T134" s="15">
        <v>0</v>
      </c>
      <c r="U134" s="41">
        <f t="shared" si="41"/>
        <v>0.23147499999999988</v>
      </c>
      <c r="V134" s="41">
        <f t="shared" si="42"/>
        <v>8.3164300202847132E-4</v>
      </c>
      <c r="W134" s="41">
        <f t="shared" si="43"/>
        <v>0.23249999999999993</v>
      </c>
      <c r="X134" s="45">
        <v>14790</v>
      </c>
      <c r="Y134" s="24" t="s">
        <v>291</v>
      </c>
    </row>
    <row r="135" spans="1:25 16383:16383" ht="45" x14ac:dyDescent="0.25">
      <c r="A135" s="39">
        <v>224172</v>
      </c>
      <c r="B135" s="39">
        <f>VLOOKUP($A135,'Выгр Кат'!$A:$R,B$1,0)</f>
        <v>158884</v>
      </c>
      <c r="C135" s="40" t="str">
        <f>VLOOKUP($A135,'Выгр Кат'!$A:$R,C$1,0)</f>
        <v>Фонари задние светодиодные в стиле Mercedes AMG (серые) для Лада Веста</v>
      </c>
      <c r="D135" s="39" t="str">
        <f>VLOOKUP($A135,'Выгр Кат'!$A:$R,D$1,0)</f>
        <v>Y</v>
      </c>
      <c r="E135" s="39" t="str">
        <f>VLOOKUP($A135,'Выгр Кат'!$A:$R,E$1,0)</f>
        <v>1</v>
      </c>
      <c r="F135" s="39">
        <f>VLOOKUP($A135,'Выгр Кат'!$A:$R,F$1,0)</f>
        <v>0</v>
      </c>
      <c r="G135" s="5"/>
      <c r="H135" s="7" t="s">
        <v>3</v>
      </c>
      <c r="I135" s="33">
        <v>12000</v>
      </c>
      <c r="J135" s="34">
        <f>VLOOKUP(I135,Наценка!$A$1:$B$8,2,1)</f>
        <v>1.35</v>
      </c>
      <c r="K135" s="56">
        <f>I135*1.2*100/93</f>
        <v>15483.870967741936</v>
      </c>
      <c r="L135" s="36">
        <f t="shared" si="45"/>
        <v>15490</v>
      </c>
      <c r="M135" s="39">
        <f>VLOOKUP($A135,'Выгр Кат'!$A:$R,M$1,0)</f>
        <v>12000</v>
      </c>
      <c r="N135" s="39">
        <f>VLOOKUP($A135,'Выгр Кат'!$A:$R,N$1,0)</f>
        <v>15490</v>
      </c>
      <c r="O135" s="18">
        <f t="shared" si="37"/>
        <v>0</v>
      </c>
      <c r="P135" s="18">
        <f t="shared" si="38"/>
        <v>0</v>
      </c>
      <c r="Q135" s="22">
        <f t="shared" si="40"/>
        <v>14405.699999999999</v>
      </c>
      <c r="R135" s="49">
        <f>IFERROR((VLOOKUP($A135,'Из ГУГЛа'!$B:$G,6,0)+T135)*S135,VLOOKUP($A135,'Из ГУГЛа'!$B:$G,6,0))</f>
        <v>14790</v>
      </c>
      <c r="S135" s="15">
        <v>1</v>
      </c>
      <c r="T135" s="15">
        <v>0</v>
      </c>
      <c r="U135" s="41">
        <f t="shared" si="41"/>
        <v>0.20047499999999996</v>
      </c>
      <c r="V135" s="41">
        <f t="shared" si="42"/>
        <v>2.598377281947269E-2</v>
      </c>
      <c r="W135" s="41">
        <f t="shared" si="43"/>
        <v>0.23249999999999993</v>
      </c>
      <c r="X135" s="45">
        <v>14790</v>
      </c>
      <c r="Y135" s="24" t="s">
        <v>292</v>
      </c>
    </row>
    <row r="136" spans="1:25 16383:16383" ht="30" x14ac:dyDescent="0.25">
      <c r="A136" s="39">
        <v>222850</v>
      </c>
      <c r="B136" s="39">
        <f>VLOOKUP($A136,'Выгр Кат'!$A:$R,B$1,0)</f>
        <v>55321</v>
      </c>
      <c r="C136" s="40" t="str">
        <f>VLOOKUP($A136,'Выгр Кат'!$A:$R,C$1,0)</f>
        <v>Тюнинг фары (ДХО линзы, LED габариты) для Лада Веста</v>
      </c>
      <c r="D136" s="39" t="str">
        <f>VLOOKUP($A136,'Выгр Кат'!$A:$R,D$1,0)</f>
        <v>Y</v>
      </c>
      <c r="E136" s="39" t="str">
        <f>VLOOKUP($A136,'Выгр Кат'!$A:$R,E$1,0)</f>
        <v>1</v>
      </c>
      <c r="F136" s="39">
        <f>VLOOKUP($A136,'Выгр Кат'!$A:$R,F$1,0)</f>
        <v>0</v>
      </c>
      <c r="G136" s="5"/>
      <c r="H136" s="7" t="s">
        <v>3</v>
      </c>
      <c r="I136" s="33">
        <v>14000</v>
      </c>
      <c r="J136" s="34">
        <f>VLOOKUP(I136,Наценка!$A$1:$B$8,2,1)</f>
        <v>1.35</v>
      </c>
      <c r="K136" s="35">
        <f t="shared" ref="K136:K138" si="47">J136*I136</f>
        <v>18900</v>
      </c>
      <c r="L136" s="36">
        <f t="shared" si="45"/>
        <v>18890</v>
      </c>
      <c r="M136" s="39">
        <f>VLOOKUP($A136,'Выгр Кат'!$A:$R,M$1,0)</f>
        <v>14000</v>
      </c>
      <c r="N136" s="39">
        <f>VLOOKUP($A136,'Выгр Кат'!$A:$R,N$1,0)</f>
        <v>18890</v>
      </c>
      <c r="O136" s="18">
        <f t="shared" ref="O136:O137" si="48">M136-I136</f>
        <v>0</v>
      </c>
      <c r="P136" s="18">
        <f t="shared" ref="P136:P137" si="49">N136-L136</f>
        <v>0</v>
      </c>
      <c r="Q136" s="22">
        <f t="shared" si="40"/>
        <v>17567.699999999997</v>
      </c>
      <c r="R136" s="49" t="str">
        <f>IFERROR((VLOOKUP($A136,'Из ГУГЛа'!$B:$G,6,0)+T136)*S136,VLOOKUP($A136,'Из ГУГЛа'!$B:$G,6,0))</f>
        <v/>
      </c>
      <c r="S136" s="15">
        <v>1</v>
      </c>
      <c r="T136" s="15">
        <v>0</v>
      </c>
      <c r="U136" s="41">
        <f t="shared" si="41"/>
        <v>0.25483571428571405</v>
      </c>
      <c r="V136" s="41" t="str">
        <f t="shared" si="42"/>
        <v/>
      </c>
      <c r="W136" s="41" t="str">
        <f t="shared" si="43"/>
        <v/>
      </c>
      <c r="X136" s="45" t="s">
        <v>272</v>
      </c>
    </row>
    <row r="137" spans="1:25 16383:16383" ht="30" x14ac:dyDescent="0.25">
      <c r="A137" s="39">
        <v>213689</v>
      </c>
      <c r="B137" s="39">
        <f>VLOOKUP($A137,'Выгр Кат'!$A:$R,B$1,0)</f>
        <v>23961</v>
      </c>
      <c r="C137" s="40" t="str">
        <f>VLOOKUP($A137,'Выгр Кат'!$A:$R,C$1,0)</f>
        <v>Светодиодные фары "аналог-линза" для Лада Веста</v>
      </c>
      <c r="D137" s="39" t="str">
        <f>VLOOKUP($A137,'Выгр Кат'!$A:$R,D$1,0)</f>
        <v>Y</v>
      </c>
      <c r="E137" s="39" t="str">
        <f>VLOOKUP($A137,'Выгр Кат'!$A:$R,E$1,0)</f>
        <v>0</v>
      </c>
      <c r="F137" s="39">
        <f>VLOOKUP($A137,'Выгр Кат'!$A:$R,F$1,0)</f>
        <v>0</v>
      </c>
      <c r="G137" s="5"/>
      <c r="H137" s="7" t="s">
        <v>3</v>
      </c>
      <c r="I137" s="33">
        <v>18700</v>
      </c>
      <c r="J137" s="34">
        <f>VLOOKUP(I137,Наценка!$A$1:$B$8,2,1)</f>
        <v>1.35</v>
      </c>
      <c r="K137" s="35">
        <f t="shared" si="47"/>
        <v>25245</v>
      </c>
      <c r="L137" s="36">
        <f t="shared" si="45"/>
        <v>25290</v>
      </c>
      <c r="M137" s="39">
        <f>VLOOKUP($A137,'Выгр Кат'!$A:$R,M$1,0)</f>
        <v>18700</v>
      </c>
      <c r="N137" s="39">
        <f>VLOOKUP($A137,'Выгр Кат'!$A:$R,N$1,0)</f>
        <v>25290</v>
      </c>
      <c r="O137" s="18">
        <f t="shared" si="48"/>
        <v>0</v>
      </c>
      <c r="P137" s="18">
        <f t="shared" si="49"/>
        <v>0</v>
      </c>
      <c r="Q137" s="22">
        <f t="shared" si="40"/>
        <v>23519.699999999997</v>
      </c>
      <c r="R137" s="49" t="str">
        <f>IFERROR((VLOOKUP($A137,'Из ГУГЛа'!$B:$G,6,0)+T137)*S137,VLOOKUP($A137,'Из ГУГЛа'!$B:$G,6,0))</f>
        <v/>
      </c>
      <c r="S137" s="15">
        <v>1</v>
      </c>
      <c r="T137" s="15">
        <v>0</v>
      </c>
      <c r="U137" s="41">
        <f t="shared" si="41"/>
        <v>0.25773796791443826</v>
      </c>
      <c r="V137" s="41" t="str">
        <f t="shared" si="42"/>
        <v/>
      </c>
      <c r="W137" s="41" t="str">
        <f t="shared" si="43"/>
        <v/>
      </c>
      <c r="X137" s="42"/>
      <c r="XFC137" s="24">
        <f t="shared" ref="XFC137:XFC141" si="50">SUM(A137:XFB137)</f>
        <v>374397.30773796793</v>
      </c>
    </row>
    <row r="138" spans="1:25 16383:16383" ht="45" x14ac:dyDescent="0.25">
      <c r="A138" s="39">
        <v>136969</v>
      </c>
      <c r="B138" s="39">
        <f>VLOOKUP($A138,'Выгр Кат'!$A:$R,B$1,0)</f>
        <v>151639</v>
      </c>
      <c r="C138" s="40" t="str">
        <f>VLOOKUP($A138,'Выгр Кат'!$A:$R,C$1,0)</f>
        <v>Блок-фара "СЕВиЕМ" (лампа H7) правая для Лада Ларгус FL, Renault (Logan II, Sandero)</v>
      </c>
      <c r="D138" s="39" t="str">
        <f>VLOOKUP($A138,'Выгр Кат'!$A:$R,D$1,0)</f>
        <v>Y</v>
      </c>
      <c r="E138" s="39" t="str">
        <f>VLOOKUP($A138,'Выгр Кат'!$A:$R,E$1,0)</f>
        <v>1</v>
      </c>
      <c r="F138" s="39" t="str">
        <f>VLOOKUP($A138,'Выгр Кат'!$A:$R,F$1,0)</f>
        <v>8450092036</v>
      </c>
      <c r="G138" s="5"/>
      <c r="H138" s="7" t="s">
        <v>3</v>
      </c>
      <c r="I138" s="33">
        <v>3200</v>
      </c>
      <c r="J138" s="34">
        <f>VLOOKUP(I138,Наценка!$A$1:$B$8,2,1)</f>
        <v>1.35</v>
      </c>
      <c r="K138" s="35">
        <f t="shared" si="47"/>
        <v>4320</v>
      </c>
      <c r="L138" s="36">
        <f t="shared" ref="L138:L141" si="51">IF(K138&lt;=1000,(ROUNDUP(K138,-1)-1),(ROUNDUP(K138,-2)-10))</f>
        <v>4390</v>
      </c>
      <c r="M138" s="39">
        <f>VLOOKUP($A138,'Выгр Кат'!$A:$R,M$1,0)</f>
        <v>3200</v>
      </c>
      <c r="N138" s="39">
        <f>VLOOKUP($A138,'Выгр Кат'!$A:$R,N$1,0)</f>
        <v>4390</v>
      </c>
      <c r="O138" s="18">
        <f t="shared" ref="O138:O141" si="52">M138-I138</f>
        <v>0</v>
      </c>
      <c r="P138" s="18">
        <f t="shared" ref="P138:P141" si="53">N138-L138</f>
        <v>0</v>
      </c>
      <c r="Q138" s="22">
        <f t="shared" ref="Q138:Q141" si="54">IFERROR(L138*(1-$Q$2),"")</f>
        <v>4082.7</v>
      </c>
      <c r="R138" s="49" t="str">
        <f>IFERROR((VLOOKUP($A138,'Из ГУГЛа'!$B:$G,6,0)+T138)*S138,VLOOKUP($A138,'Из ГУГЛа'!$B:$G,6,0))</f>
        <v/>
      </c>
      <c r="S138" s="15">
        <v>1</v>
      </c>
      <c r="T138" s="15">
        <v>0</v>
      </c>
      <c r="U138" s="41">
        <f t="shared" ref="U138:U141" si="55">IFERROR(Q138/I138-1,"")</f>
        <v>0.27584374999999994</v>
      </c>
      <c r="V138" s="41" t="str">
        <f t="shared" ref="V138:V141" si="56">IFERROR((X138-Q138)/X138,"")</f>
        <v/>
      </c>
      <c r="W138" s="41" t="str">
        <f t="shared" ref="W138:W141" si="57">IFERROR(IF(X138="","",X138/I138-1),"")</f>
        <v/>
      </c>
      <c r="X138" s="45" t="s">
        <v>272</v>
      </c>
      <c r="XFC138" s="24">
        <f t="shared" si="50"/>
        <v>312193.32584374998</v>
      </c>
    </row>
    <row r="139" spans="1:25 16383:16383" ht="60" x14ac:dyDescent="0.25">
      <c r="A139" s="39">
        <v>274419</v>
      </c>
      <c r="B139" s="39">
        <f>VLOOKUP($A139,'Выгр Кат'!$A:$R,B$1,0)</f>
        <v>224740</v>
      </c>
      <c r="C139" s="40" t="str">
        <f>VLOOKUP($A139,'Выгр Кат'!$A:$R,C$1,0)</f>
        <v>Светодиодные фары (ДХО, линза, повторитель) для ВАЗ (2101,2102), Лада (Нива 4х4, Нива 4х4 Урбан), УАЗ (3303, 469, Хантер), Jeep Wrangler</v>
      </c>
      <c r="D139" s="39" t="str">
        <f>VLOOKUP($A139,'Выгр Кат'!$A:$R,D$1,0)</f>
        <v>Y</v>
      </c>
      <c r="E139" s="39" t="str">
        <f>VLOOKUP($A139,'Выгр Кат'!$A:$R,E$1,0)</f>
        <v>1ск1</v>
      </c>
      <c r="F139" s="39" t="str">
        <f>VLOOKUP($A139,'Выгр Кат'!$A:$R,F$1,0)</f>
        <v>G0438</v>
      </c>
      <c r="G139" s="5"/>
      <c r="H139" s="7" t="s">
        <v>3</v>
      </c>
      <c r="I139" s="33">
        <v>0</v>
      </c>
      <c r="J139" s="34" t="e">
        <f>VLOOKUP(I139,Наценка!$A$1:$B$8,2,1)</f>
        <v>#N/A</v>
      </c>
      <c r="K139" s="29">
        <f>N139</f>
        <v>8990</v>
      </c>
      <c r="L139" s="36">
        <f t="shared" si="51"/>
        <v>8990</v>
      </c>
      <c r="M139" s="39">
        <f>VLOOKUP($A139,'Выгр Кат'!$A:$R,M$1,0)</f>
        <v>0</v>
      </c>
      <c r="N139" s="39">
        <f>VLOOKUP($A139,'Выгр Кат'!$A:$R,N$1,0)</f>
        <v>8990</v>
      </c>
      <c r="O139" s="18">
        <f t="shared" si="52"/>
        <v>0</v>
      </c>
      <c r="P139" s="18">
        <f t="shared" si="53"/>
        <v>0</v>
      </c>
      <c r="Q139" s="22">
        <f t="shared" si="54"/>
        <v>8360.6999999999989</v>
      </c>
      <c r="R139" s="49" t="str">
        <f>IFERROR((VLOOKUP($A139,'Из ГУГЛа'!$B:$G,6,0)+T139)*S139,VLOOKUP($A139,'Из ГУГЛа'!$B:$G,6,0))</f>
        <v/>
      </c>
      <c r="S139" s="15">
        <v>1</v>
      </c>
      <c r="T139" s="15">
        <v>0</v>
      </c>
      <c r="U139" s="41" t="str">
        <f t="shared" si="55"/>
        <v/>
      </c>
      <c r="V139" s="41" t="str">
        <f t="shared" si="56"/>
        <v/>
      </c>
      <c r="W139" s="41" t="str">
        <f t="shared" si="57"/>
        <v/>
      </c>
      <c r="X139" s="45" t="s">
        <v>272</v>
      </c>
      <c r="XFC139" s="24" t="e">
        <f t="shared" si="50"/>
        <v>#N/A</v>
      </c>
    </row>
    <row r="140" spans="1:25 16383:16383" ht="30" x14ac:dyDescent="0.25">
      <c r="A140" s="39">
        <v>217472</v>
      </c>
      <c r="B140" s="39">
        <f>VLOOKUP($A140,'Выгр Кат'!$A:$R,B$1,0)</f>
        <v>83126</v>
      </c>
      <c r="C140" s="40" t="str">
        <f>VLOOKUP($A140,'Выгр Кат'!$A:$R,C$1,0)</f>
        <v>Стекло фары "СЕВиЕМ" левое, гладкое (пластик) для ВАЗ 2113-2115</v>
      </c>
      <c r="D140" s="39" t="str">
        <f>VLOOKUP($A140,'Выгр Кат'!$A:$R,D$1,0)</f>
        <v>Y</v>
      </c>
      <c r="E140" s="39" t="str">
        <f>VLOOKUP($A140,'Выгр Кат'!$A:$R,E$1,0)</f>
        <v>1</v>
      </c>
      <c r="F140" s="39">
        <f>VLOOKUP($A140,'Выгр Кат'!$A:$R,F$1,0)</f>
        <v>0</v>
      </c>
      <c r="G140" s="5"/>
      <c r="H140" s="7" t="s">
        <v>3</v>
      </c>
      <c r="I140" s="33">
        <v>400</v>
      </c>
      <c r="J140" s="34">
        <f>VLOOKUP(I140,Наценка!$A$1:$B$8,2,1)</f>
        <v>2</v>
      </c>
      <c r="K140" s="53">
        <f t="shared" ref="K140:K141" si="58">X140*1.06</f>
        <v>736.7</v>
      </c>
      <c r="L140" s="36">
        <f t="shared" si="51"/>
        <v>739</v>
      </c>
      <c r="M140" s="39">
        <f>VLOOKUP($A140,'Выгр Кат'!$A:$R,M$1,0)</f>
        <v>400</v>
      </c>
      <c r="N140" s="39">
        <f>VLOOKUP($A140,'Выгр Кат'!$A:$R,N$1,0)</f>
        <v>739</v>
      </c>
      <c r="O140" s="18">
        <f t="shared" si="52"/>
        <v>0</v>
      </c>
      <c r="P140" s="18">
        <f t="shared" si="53"/>
        <v>0</v>
      </c>
      <c r="Q140" s="22">
        <f t="shared" si="54"/>
        <v>687.27</v>
      </c>
      <c r="R140" s="49">
        <f>IFERROR((VLOOKUP($A140,'Из ГУГЛа'!$B:$G,6,0)+T140)*S140,VLOOKUP($A140,'Из ГУГЛа'!$B:$G,6,0))</f>
        <v>695</v>
      </c>
      <c r="S140" s="15">
        <v>0.5</v>
      </c>
      <c r="T140" s="15">
        <v>0</v>
      </c>
      <c r="U140" s="41">
        <f t="shared" si="55"/>
        <v>0.71817500000000001</v>
      </c>
      <c r="V140" s="41">
        <f t="shared" si="56"/>
        <v>1.1122302158273407E-2</v>
      </c>
      <c r="W140" s="41">
        <f t="shared" si="57"/>
        <v>0.73750000000000004</v>
      </c>
      <c r="X140" s="45">
        <f>1390/2</f>
        <v>695</v>
      </c>
      <c r="Y140" s="24" t="s">
        <v>293</v>
      </c>
      <c r="XFC140" s="24">
        <f t="shared" si="50"/>
        <v>305693.93679730216</v>
      </c>
    </row>
    <row r="141" spans="1:25 16383:16383" ht="30" x14ac:dyDescent="0.25">
      <c r="A141" s="39">
        <v>217474</v>
      </c>
      <c r="B141" s="39">
        <f>VLOOKUP($A141,'Выгр Кат'!$A:$R,B$1,0)</f>
        <v>83127</v>
      </c>
      <c r="C141" s="40" t="str">
        <f>VLOOKUP($A141,'Выгр Кат'!$A:$R,C$1,0)</f>
        <v>Стекло фары "СЕВиЕМ" правое, гладкое (пластик) для ВАЗ 2113-2115</v>
      </c>
      <c r="D141" s="39" t="str">
        <f>VLOOKUP($A141,'Выгр Кат'!$A:$R,D$1,0)</f>
        <v>Y</v>
      </c>
      <c r="E141" s="39" t="str">
        <f>VLOOKUP($A141,'Выгр Кат'!$A:$R,E$1,0)</f>
        <v>1</v>
      </c>
      <c r="F141" s="39">
        <f>VLOOKUP($A141,'Выгр Кат'!$A:$R,F$1,0)</f>
        <v>0</v>
      </c>
      <c r="G141" s="5"/>
      <c r="H141" s="7" t="s">
        <v>3</v>
      </c>
      <c r="I141" s="33">
        <v>400</v>
      </c>
      <c r="J141" s="34">
        <f>VLOOKUP(I141,Наценка!$A$1:$B$8,2,1)</f>
        <v>2</v>
      </c>
      <c r="K141" s="53">
        <f t="shared" si="58"/>
        <v>736.7</v>
      </c>
      <c r="L141" s="36">
        <f t="shared" si="51"/>
        <v>739</v>
      </c>
      <c r="M141" s="39">
        <f>VLOOKUP($A141,'Выгр Кат'!$A:$R,M$1,0)</f>
        <v>400</v>
      </c>
      <c r="N141" s="39">
        <f>VLOOKUP($A141,'Выгр Кат'!$A:$R,N$1,0)</f>
        <v>739</v>
      </c>
      <c r="O141" s="18">
        <f t="shared" si="52"/>
        <v>0</v>
      </c>
      <c r="P141" s="18">
        <f t="shared" si="53"/>
        <v>0</v>
      </c>
      <c r="Q141" s="22">
        <f t="shared" si="54"/>
        <v>687.27</v>
      </c>
      <c r="R141" s="49">
        <f>IFERROR((VLOOKUP($A141,'Из ГУГЛа'!$B:$G,6,0)+T141)*S141,VLOOKUP($A141,'Из ГУГЛа'!$B:$G,6,0))</f>
        <v>695</v>
      </c>
      <c r="S141" s="15">
        <v>0.5</v>
      </c>
      <c r="T141" s="15">
        <v>0</v>
      </c>
      <c r="U141" s="41">
        <f t="shared" si="55"/>
        <v>0.71817500000000001</v>
      </c>
      <c r="V141" s="41">
        <f t="shared" si="56"/>
        <v>1.1122302158273407E-2</v>
      </c>
      <c r="W141" s="41">
        <f t="shared" si="57"/>
        <v>0.73750000000000004</v>
      </c>
      <c r="X141" s="45">
        <f>1390/2</f>
        <v>695</v>
      </c>
      <c r="Y141" s="24" t="s">
        <v>293</v>
      </c>
      <c r="XFC141" s="24">
        <f t="shared" si="50"/>
        <v>305696.93679730216</v>
      </c>
    </row>
    <row r="147" spans="11:11" x14ac:dyDescent="0.25">
      <c r="K147" s="35">
        <f t="shared" ref="K147" si="59">J147*I147</f>
        <v>0</v>
      </c>
    </row>
    <row r="148" spans="11:11" x14ac:dyDescent="0.25">
      <c r="K148" s="50">
        <f>X148*1</f>
        <v>0</v>
      </c>
    </row>
    <row r="149" spans="11:11" x14ac:dyDescent="0.25">
      <c r="K149" s="51">
        <f>X149*1.02</f>
        <v>0</v>
      </c>
    </row>
    <row r="150" spans="11:11" x14ac:dyDescent="0.25">
      <c r="K150" s="52">
        <f>X150*1.04</f>
        <v>0</v>
      </c>
    </row>
    <row r="151" spans="11:11" x14ac:dyDescent="0.25">
      <c r="K151" s="53">
        <f>X151*1.05</f>
        <v>0</v>
      </c>
    </row>
    <row r="152" spans="11:11" x14ac:dyDescent="0.25">
      <c r="K152" s="53">
        <f>X152*1.06</f>
        <v>0</v>
      </c>
    </row>
    <row r="153" spans="11:11" x14ac:dyDescent="0.25">
      <c r="K153" s="54">
        <f>X153*1.07</f>
        <v>0</v>
      </c>
    </row>
    <row r="154" spans="11:11" x14ac:dyDescent="0.25">
      <c r="K154" s="55">
        <f>X154*1.08</f>
        <v>0</v>
      </c>
    </row>
    <row r="155" spans="11:11" x14ac:dyDescent="0.25">
      <c r="K155" s="56">
        <f>I155*1.2*100/93</f>
        <v>0</v>
      </c>
    </row>
  </sheetData>
  <autoFilter ref="A2:XFC141" xr:uid="{00000000-0001-0000-0000-000000000000}"/>
  <conditionalFormatting sqref="C3:C141">
    <cfRule type="expression" dxfId="15" priority="7">
      <formula>OR(D3="N",E3="0")</formula>
    </cfRule>
  </conditionalFormatting>
  <conditionalFormatting sqref="A3:A141">
    <cfRule type="expression" dxfId="14" priority="6">
      <formula>AND(ROUNDDOWN($P3,0)=0,ROUNDDOWN($O3,0)=0)</formula>
    </cfRule>
  </conditionalFormatting>
  <conditionalFormatting sqref="U3:U141 W3:W141">
    <cfRule type="cellIs" dxfId="13" priority="5" operator="lessThan">
      <formula>$Q$1</formula>
    </cfRule>
  </conditionalFormatting>
  <conditionalFormatting sqref="V3:V141">
    <cfRule type="cellIs" dxfId="12" priority="4" operator="lessThan">
      <formula>0%</formula>
    </cfRule>
  </conditionalFormatting>
  <conditionalFormatting sqref="R2:R141">
    <cfRule type="expression" dxfId="11" priority="8">
      <formula>VALUE(R2)&lt;&gt;X2</formula>
    </cfRule>
  </conditionalFormatting>
  <conditionalFormatting sqref="Y1:Y1048576">
    <cfRule type="duplicateValues" dxfId="10" priority="1"/>
  </conditionalFormatting>
  <hyperlinks>
    <hyperlink ref="X7" r:id="rId1" display="https://motorring.ru/product/28998-svetodiodnye-zadnie-fonari-tehavtosvet-12v-dlya-vis-pikap" xr:uid="{04E9539C-A386-44C8-842A-C1AA4D1F0BDF}"/>
    <hyperlink ref="X14" r:id="rId2" display="https://motorring.ru/product/21731-diodnyy-fonary-osvescheniya-nomernogo-znaka-lada-kalina" xr:uid="{FC6779C7-F49F-4B37-A5E1-61ED19FA9AB0}"/>
    <hyperlink ref="X23" r:id="rId3" display="https://motorring.ru/product/2778-zadniy-fonary-pravyy-vaz-2106-lada-niva-2121" xr:uid="{AEDC4738-B2B3-49D3-A8BA-4537EF46BE14}"/>
    <hyperlink ref="X110" r:id="rId4" display="https://motorring.ru/product/34249-zadnie-svetodiodnye-fonari-tonirovannye-stile-range-rover-niva" xr:uid="{FE478603-8911-43AD-BABA-86A2F2C08B63}"/>
    <hyperlink ref="X117" r:id="rId5" display="https://motorring.ru/product/32757-perednie-fary-stile-granty-fl-dlya-lada-granta" xr:uid="{D528162B-E2FF-4DD1-9D53-113EEC6F7298}"/>
    <hyperlink ref="X118" r:id="rId6" display="https://motorring.ru/product/32937-komplekt-osnovnyh-nighnih-zadnih-diodnyh-fonarey-largus" xr:uid="{68F93CF2-01CF-48BB-B46D-AA08A6BC4D00}"/>
    <hyperlink ref="X131" r:id="rId7" display="https://motorring.ru/product/5256-tyuning-fary-kirghach-chernym-korpusom-lada-priora" xr:uid="{E0331942-A28D-4E81-8C1C-B452ABD88E86}"/>
    <hyperlink ref="X9" r:id="rId8" display="https://motorring.ru/product/2798-steklo-protivotumannoy-fary-kirghach-beloe-dlya-vaz-2113-15" xr:uid="{7E4BDBDA-6041-489C-BDEA-F7F2B368F828}"/>
    <hyperlink ref="X15" r:id="rId9" display="https://motorring.ru/product/21140-steklo-levoy-fary-vaz-2108-21099" xr:uid="{1761A910-E715-4823-9993-016C09A62110}"/>
    <hyperlink ref="X16" r:id="rId10" display="https://motorring.ru/product/21142-steklo-pravoy-fary-vaz-2108-21099" xr:uid="{61BAB9DC-00C0-468A-B890-06C1203DAAE6}"/>
    <hyperlink ref="X19" r:id="rId11" display="https://motorring.ru/product/21163-steklo-protivotumannoy-fary-vaz-2108-21099" xr:uid="{99E3DAE2-A5FD-4A8F-889F-6F5A84C39A95}"/>
    <hyperlink ref="X24" r:id="rId12" display="https://motorring.ru/product/2543-podfarniki-novogo-obrazca-belyy-povorotnik-lada-niva" xr:uid="{8BAF365E-E28D-4B6C-8A89-49D6010B184E}"/>
    <hyperlink ref="X25" r:id="rId13" display="https://motorring.ru/product/2543-podfarniki-novogo-obrazca-belyy-povorotnik-lada-niva" xr:uid="{011415B1-157C-472A-BF8F-C7508A831A6A}"/>
    <hyperlink ref="X28" r:id="rId14" display="https://motorring.ru/product/20401-universalynaya-rezinovaya-guba-samuray-karbon-peredniy" xr:uid="{5B04ECB3-79F5-4AFB-A4E5-68511A2CB07E}"/>
    <hyperlink ref="X29" r:id="rId15" display="https://motorring.ru/product/34426-universalynaya-rezinovaya-guba-samurai-krasniy-kant" xr:uid="{D5BD3668-F10E-4174-A079-D8BCCAC6E399}"/>
    <hyperlink ref="X31" r:id="rId16" display="https://motorring.ru/product/34427-universalynaya-rezinovaya-guba-samurai-siniy-kant" xr:uid="{5F4F76A9-F5FB-47FB-B3CF-7DC3AD2082D2}"/>
    <hyperlink ref="X36" r:id="rId17" display="https://motorring.ru/product/39065-komplekt-gladkih-stekol-perednih-far-dlya-vaz-2110-2112" xr:uid="{9F04AD31-4E20-41C8-AAC8-ED1ED7366F17}"/>
    <hyperlink ref="X37" r:id="rId18" display="https://motorring.ru/product/39065-komplekt-gladkih-stekol-perednih-far-dlya-vaz-2110-2112" xr:uid="{72485343-D464-4859-8684-6B5F1C3051A3}"/>
    <hyperlink ref="X58" r:id="rId19" display="https://motorring.ru/product/20174-zaglushki-stile-dvoynogo-vyhlopa-leksus-stayl-diodami-lada" xr:uid="{B1B54B0E-C6DB-4EBB-8324-28544DD01A6D}"/>
    <hyperlink ref="X60" r:id="rId20" display="https://motorring.ru/product/28445-diodnye-katafoty-stile-dvoynogo-vyhlopa-leksus-cherniye" xr:uid="{E45DAC13-5F99-4D74-A512-78B98AE7A50D}"/>
    <hyperlink ref="X62" r:id="rId21" display="https://motorring.ru/product/28443-diodnye-katafoty-stile-dvoynogo-vyhlopa-leksus-3skobki" xr:uid="{8BC9605B-754A-41A2-8707-3A12719D95C6}"/>
    <hyperlink ref="X64" r:id="rId22" display="https://motorring.ru/product/28444-diodnye-katafoty-stile-dvoynogo-vyhlopa-leksus-5skob" xr:uid="{419FD874-E580-4400-AE5F-5296E92F3B5B}"/>
    <hyperlink ref="X68" r:id="rId23" display="https://motorring.ru/product/14907-protivotumannye-fary-restaylingovyy-bamper-lada-priora" xr:uid="{C3C992FC-BA56-48D9-A7B5-4AAEB6512988}"/>
    <hyperlink ref="X69" r:id="rId24" display="https://motorring.ru/product/20175-zaglushki-stile-dvoynogo-vyhlopa-leksus-stayl-diodami" xr:uid="{FB2482C8-FE4D-48EF-AA35-900A84BADE1B}"/>
    <hyperlink ref="X70" r:id="rId25" display="https://motorring.ru/product/35375-povtoriteli-zerkal-plazma-obrazca-2019-goda-lada-vesta" xr:uid="{3ADB5BE9-B148-4E58-A820-F8E78D230E3A}"/>
    <hyperlink ref="X73" r:id="rId26" display="https://motorring.ru/product/21125-steklo-levoy-fary-lada-granta" xr:uid="{AD7C9C61-15AD-4A0E-914F-7ACF4AB0775E}"/>
    <hyperlink ref="X74" r:id="rId27" display="https://motorring.ru/product/21126-steklo-pravoe-fary-lada-granta" xr:uid="{A58407D8-D0FA-4E7F-BE77-67C7D5361EE9}"/>
    <hyperlink ref="X77" r:id="rId28" display="https://motorring.ru/product/36553-korpus-pravoy-blok-fary-dlya-lada-granta-fl" xr:uid="{8DB5B5DF-D188-4DEB-A77D-B92BCF0B9463}"/>
    <hyperlink ref="X78" r:id="rId29" display="https://motorring.ru/product/36552-korpus-levoy-blok-fary-dlya-lada-granta-fl" xr:uid="{6F251A87-E336-47E0-83C6-464E90826825}"/>
    <hyperlink ref="X86" r:id="rId30" display="https://motorring.ru/product/21110-diodnye-ptf-lada-priora" xr:uid="{644EC252-BE7E-40ED-BAF1-5FE6E2BB3ADF}"/>
    <hyperlink ref="X120" r:id="rId31" display="https://motorring.ru/product/41017-analogovie-chernye-fary-linzoy-shevrole-niva" xr:uid="{CD4AE317-B2EC-41DB-8BA3-0B38C5A928A2}"/>
    <hyperlink ref="X121" r:id="rId32" display="https://motorring.ru/product/41017-analogovie-chernye-fary-linzoy-shevrole-niva" xr:uid="{E69D792C-4C99-4276-A744-F42258701FDE}"/>
    <hyperlink ref="X133" r:id="rId33" display="https://motorring.ru/product/40488-komplekt-far-stile-bmv-angelyskimi-glazkami-mtf-priora" xr:uid="{66097547-62E3-4F33-B2A0-2D90FAE26A0C}"/>
    <hyperlink ref="X12" r:id="rId34" display="https://motorring.ru/product/28223-shilydik-ladyya-chrom-stile-vesta-dlya-lada-priora" xr:uid="{7D33EE3F-AEF1-4BEE-9040-4E7475C1BD57}"/>
    <hyperlink ref="X13" r:id="rId35" display="https://motorring.ru/product/13282-shilydik-laquo-ladyya-raquo-starogo-obrazca-chernyy-matovyy" xr:uid="{BFB5A729-FE87-47E2-8E0E-6136FC634748}"/>
    <hyperlink ref="X22" r:id="rId36" display="https://motorring.ru/product/2777-zadniy-fonary-levyy-vaz-2106-lada-niva-2121" xr:uid="{E7937896-0942-45EE-94D5-26BD648983E5}"/>
    <hyperlink ref="X26" r:id="rId37" display="https://motorring.ru/product/5532-katafoty-diodnye-zadniy-bamper-lada-priora-sedan-hetchbek" xr:uid="{CA5CC9B6-BDF6-45B4-BC32-6955437CF80A}"/>
    <hyperlink ref="X45" r:id="rId38" display="https://motorring.ru/product/2791-povorotnik-al-belyy-levyy-dlya-vaz-2110-2112" xr:uid="{81F31369-639D-42C9-BE18-E0B34618EAF3}"/>
    <hyperlink ref="X55" r:id="rId39" display="https://motorring.ru/product/35129-dinamicheskie-povtoriteli-povorota-shirokie-strelki-vesta" xr:uid="{22222BFD-1A83-4741-AF5B-8D5C7C502535}"/>
  </hyperlinks>
  <pageMargins left="0.75" right="0.75" top="1" bottom="1" header="0.5" footer="0.5"/>
  <pageSetup paperSize="9" orientation="portrait" verticalDpi="0" r:id="rId40"/>
  <legacyDrawing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71AEA-DE7D-47ED-9A8E-790604360255}">
  <sheetPr codeName="Лист3"/>
  <dimension ref="A1:Y8"/>
  <sheetViews>
    <sheetView showGridLines="0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1" max="1" width="19.5703125" style="24" bestFit="1" customWidth="1"/>
    <col min="2" max="2" width="7" style="24" bestFit="1" customWidth="1"/>
    <col min="3" max="3" width="6.85546875" style="24" bestFit="1" customWidth="1"/>
    <col min="4" max="4" width="36.28515625" style="24" bestFit="1" customWidth="1"/>
    <col min="5" max="5" width="2" style="24" bestFit="1" customWidth="1"/>
    <col min="6" max="6" width="4.85546875" style="24" bestFit="1" customWidth="1"/>
    <col min="7" max="7" width="9.5703125" style="24" bestFit="1" customWidth="1"/>
    <col min="8" max="8" width="9.7109375" style="24" bestFit="1" customWidth="1"/>
    <col min="9" max="9" width="12.140625" style="24" bestFit="1" customWidth="1"/>
    <col min="10" max="10" width="5.28515625" style="27" bestFit="1" customWidth="1"/>
    <col min="11" max="11" width="4.42578125" style="24" customWidth="1"/>
    <col min="12" max="12" width="5" style="27" bestFit="1" customWidth="1"/>
    <col min="13" max="13" width="5.42578125" style="27" bestFit="1" customWidth="1"/>
    <col min="14" max="14" width="6.7109375" style="24" bestFit="1" customWidth="1"/>
    <col min="15" max="15" width="6.85546875" style="24" bestFit="1" customWidth="1"/>
    <col min="16" max="17" width="7.42578125" style="24" bestFit="1" customWidth="1"/>
    <col min="18" max="18" width="5.85546875" style="24" bestFit="1" customWidth="1"/>
    <col min="19" max="19" width="11.140625" style="24" bestFit="1" customWidth="1"/>
    <col min="20" max="20" width="8.42578125" style="24" bestFit="1" customWidth="1"/>
    <col min="21" max="21" width="7.5703125" style="24" bestFit="1" customWidth="1"/>
    <col min="22" max="22" width="7.28515625" style="24" bestFit="1" customWidth="1"/>
    <col min="23" max="24" width="6.140625" style="24" bestFit="1" customWidth="1"/>
    <col min="25" max="25" width="8.42578125" style="24" bestFit="1" customWidth="1"/>
    <col min="26" max="16384" width="9.140625" style="24"/>
  </cols>
  <sheetData>
    <row r="1" spans="1:25" x14ac:dyDescent="0.25">
      <c r="C1" s="24">
        <v>2</v>
      </c>
      <c r="D1" s="25">
        <v>3</v>
      </c>
      <c r="E1" s="24">
        <v>4</v>
      </c>
      <c r="F1" s="24">
        <v>14</v>
      </c>
      <c r="G1" s="24">
        <v>5</v>
      </c>
      <c r="N1" s="24">
        <v>8</v>
      </c>
      <c r="O1" s="24">
        <v>9</v>
      </c>
      <c r="P1" s="27"/>
      <c r="Q1" s="27"/>
      <c r="R1" s="57">
        <v>0.23</v>
      </c>
      <c r="V1" s="31" t="str">
        <f>_xlfn.CONCAT(ROUND(MIN(V3:V9000)*100,0),"-",ROUND(MAX(V3:V9000)*100,0),"%")</f>
        <v>38-38%</v>
      </c>
      <c r="W1" s="31" t="str">
        <f>_xlfn.CONCAT(ROUND(SUBTOTAL(5,W3:W9000)*100,0)," - ",ROUND(SUBTOTAL(4,W3:W9000)*100,0),"%")</f>
        <v>0 - 0%</v>
      </c>
      <c r="X1" s="31" t="str">
        <f>_xlfn.CONCAT(ROUND(SUBTOTAL(5,X3:X90000)*100,0)," - ",ROUND(SUBTOTAL(4,X3:X90000)*100,0),"%")</f>
        <v>0 - 0%</v>
      </c>
    </row>
    <row r="2" spans="1:25" ht="30" x14ac:dyDescent="0.25">
      <c r="A2" s="19" t="s">
        <v>263</v>
      </c>
      <c r="B2" s="7" t="s">
        <v>0</v>
      </c>
      <c r="C2" s="16" t="s">
        <v>241</v>
      </c>
      <c r="D2" s="16" t="s">
        <v>85</v>
      </c>
      <c r="E2" s="16"/>
      <c r="F2" s="16"/>
      <c r="G2" s="16" t="s">
        <v>238</v>
      </c>
      <c r="H2" s="7" t="s">
        <v>141</v>
      </c>
      <c r="I2" s="7" t="s">
        <v>2</v>
      </c>
      <c r="J2" s="33" t="s">
        <v>316</v>
      </c>
      <c r="K2" s="58"/>
      <c r="L2" s="35"/>
      <c r="M2" s="36" t="s">
        <v>315</v>
      </c>
      <c r="N2" s="16" t="s">
        <v>239</v>
      </c>
      <c r="O2" s="16" t="s">
        <v>240</v>
      </c>
      <c r="P2" s="18" t="s">
        <v>142</v>
      </c>
      <c r="Q2" s="18" t="s">
        <v>142</v>
      </c>
      <c r="R2" s="20">
        <v>7.0000000000000007E-2</v>
      </c>
      <c r="S2" s="21" t="s">
        <v>237</v>
      </c>
      <c r="T2" s="21" t="s">
        <v>265</v>
      </c>
      <c r="U2" s="21" t="s">
        <v>266</v>
      </c>
      <c r="V2" s="37" t="s">
        <v>84</v>
      </c>
      <c r="W2" s="37" t="s">
        <v>172</v>
      </c>
      <c r="X2" s="37" t="s">
        <v>173</v>
      </c>
      <c r="Y2" s="38" t="s">
        <v>174</v>
      </c>
    </row>
    <row r="3" spans="1:25" ht="30" x14ac:dyDescent="0.25">
      <c r="A3" s="40" t="str">
        <f>INDEX('Выгр Торг'!$A:$A,MATCH($B3,'Выгр Торг'!$B:$B,0))</f>
        <v>Фары Black Nike для ВАЗ 2113-2115</v>
      </c>
      <c r="B3" s="39">
        <v>402912</v>
      </c>
      <c r="C3" s="39">
        <f>VLOOKUP($B3,'Выгр Торг'!$B:$P,C$1,0)</f>
        <v>402912</v>
      </c>
      <c r="D3" s="40" t="str">
        <f>VLOOKUP($B3,'Выгр Торг'!$B:$P,D$1,0)</f>
        <v>Фары Black Nike (ДХО без тонировки, Белый повторитель) для ВАЗ 2113-2115</v>
      </c>
      <c r="E3" s="39" t="str">
        <f>VLOOKUP($B3,'Выгр Торг'!$B:$P,E$1,0)</f>
        <v>Y</v>
      </c>
      <c r="F3" s="39" t="str">
        <f>VLOOKUP($B3,'Выгр Торг'!$B:$P,F$1,0)</f>
        <v>1</v>
      </c>
      <c r="G3" s="39">
        <f>VLOOKUP($B3,'Выгр Торг'!$B:$P,G$1,0)</f>
        <v>0</v>
      </c>
      <c r="H3" s="7"/>
      <c r="I3" s="7" t="s">
        <v>3</v>
      </c>
      <c r="J3" s="33">
        <v>5300</v>
      </c>
      <c r="K3" s="34">
        <f>VLOOKUP(J3,Наценка!$A$1:$B$8,2,1)</f>
        <v>1.4</v>
      </c>
      <c r="L3" s="35">
        <f>K3*J3*100/95</f>
        <v>7810.5263157894724</v>
      </c>
      <c r="M3" s="36">
        <f t="shared" ref="M3" si="0">IF(L3&lt;=1000,(ROUNDUP(L3,-1)-1),(ROUNDUP(L3,-2)-10))</f>
        <v>7890</v>
      </c>
      <c r="N3" s="39">
        <f>VLOOKUP($B3,'Выгр Торг'!$B:$P,N$1,0)</f>
        <v>5300</v>
      </c>
      <c r="O3" s="39">
        <f>VLOOKUP($B3,'Выгр Торг'!$B:$P,O$1,0)</f>
        <v>7490</v>
      </c>
      <c r="P3" s="18">
        <f>N3-J3</f>
        <v>0</v>
      </c>
      <c r="Q3" s="18">
        <f>O3-M3</f>
        <v>-400</v>
      </c>
      <c r="R3" s="22">
        <f>IFERROR(M3*(1-$R$2),"")</f>
        <v>7337.7</v>
      </c>
      <c r="S3" s="23" t="e">
        <f>IFERROR((VLOOKUP($B3,'Из ГУГЛа'!$B:$G,6,0)+U3)*T3,VLOOKUP($A3,'Из ГУГЛа'!$B:$G,6,0))</f>
        <v>#N/A</v>
      </c>
      <c r="T3" s="15">
        <v>1</v>
      </c>
      <c r="U3" s="15">
        <v>0</v>
      </c>
      <c r="V3" s="41">
        <f>IFERROR(R3/J3-1,"")</f>
        <v>0.38447169811320747</v>
      </c>
      <c r="W3" s="41" t="str">
        <f>IFERROR((Y3-R3)/Y3,"")</f>
        <v/>
      </c>
      <c r="X3" s="41" t="str">
        <f>IFERROR(IF(Y3="","",Y3/J3-1),"")</f>
        <v/>
      </c>
      <c r="Y3" s="59" t="s">
        <v>272</v>
      </c>
    </row>
    <row r="4" spans="1:25" ht="45" x14ac:dyDescent="0.25">
      <c r="A4" s="40" t="str">
        <f>INDEX('Выгр Торг'!$A:$A,MATCH($B4,'Выгр Торг'!$B:$B,0))</f>
        <v>Фары Black Nike для ВАЗ 2113-2115</v>
      </c>
      <c r="B4" s="39">
        <v>223910</v>
      </c>
      <c r="C4" s="39">
        <f>VLOOKUP($B4,'Выгр Торг'!$B:$P,C$1,0)</f>
        <v>45020</v>
      </c>
      <c r="D4" s="40" t="str">
        <f>VLOOKUP($B4,'Выгр Торг'!$B:$P,D$1,0)</f>
        <v>Фары Black Nike (ДХО без тонировки, Желтый повторитель) для ВАЗ 2113-2115</v>
      </c>
      <c r="E4" s="39" t="str">
        <f>VLOOKUP($B4,'Выгр Торг'!$B:$P,E$1,0)</f>
        <v>Y</v>
      </c>
      <c r="F4" s="39" t="str">
        <f>VLOOKUP($B4,'Выгр Торг'!$B:$P,F$1,0)</f>
        <v>1ск1</v>
      </c>
      <c r="G4" s="39">
        <f>VLOOKUP($B4,'Выгр Торг'!$B:$P,G$1,0)</f>
        <v>0</v>
      </c>
      <c r="H4" s="7"/>
      <c r="I4" s="7" t="s">
        <v>3</v>
      </c>
      <c r="J4" s="33">
        <v>5300</v>
      </c>
      <c r="K4" s="34">
        <f>VLOOKUP(J4,Наценка!$A$1:$B$8,2,1)</f>
        <v>1.4</v>
      </c>
      <c r="L4" s="35">
        <f>K4*J4*100/95</f>
        <v>7810.5263157894724</v>
      </c>
      <c r="M4" s="36">
        <f t="shared" ref="M4" si="1">IF(L4&lt;=1000,(ROUNDUP(L4,-1)-1),(ROUNDUP(L4,-2)-10))</f>
        <v>7890</v>
      </c>
      <c r="N4" s="39">
        <f>VLOOKUP($B4,'Выгр Торг'!$B:$P,N$1,0)</f>
        <v>5300</v>
      </c>
      <c r="O4" s="39">
        <f>VLOOKUP($B4,'Выгр Торг'!$B:$P,O$1,0)</f>
        <v>7490</v>
      </c>
      <c r="P4" s="18">
        <f t="shared" ref="P4" si="2">N4-J4</f>
        <v>0</v>
      </c>
      <c r="Q4" s="18">
        <f t="shared" ref="Q4" si="3">O4-M4</f>
        <v>-400</v>
      </c>
      <c r="R4" s="22">
        <f>IFERROR(M4*(1-$R$2),"")</f>
        <v>7337.7</v>
      </c>
      <c r="S4" s="23" t="e">
        <f>IFERROR((VLOOKUP($B4,'Из ГУГЛа'!$B:$G,6,0)+U4)*T4,VLOOKUP($A4,'Из ГУГЛа'!$B:$G,6,0))</f>
        <v>#N/A</v>
      </c>
      <c r="T4" s="15">
        <v>1</v>
      </c>
      <c r="U4" s="15">
        <v>0</v>
      </c>
      <c r="V4" s="41">
        <f>IFERROR(R4/J4-1,"")</f>
        <v>0.38447169811320747</v>
      </c>
      <c r="W4" s="41" t="str">
        <f>IFERROR((Y4-R4)/Y4,"")</f>
        <v/>
      </c>
      <c r="X4" s="41" t="str">
        <f>IFERROR(IF(Y4="","",Y4/J4-1),"")</f>
        <v/>
      </c>
      <c r="Y4" s="59" t="s">
        <v>272</v>
      </c>
    </row>
    <row r="5" spans="1:25" ht="45" x14ac:dyDescent="0.25">
      <c r="A5" s="40" t="str">
        <f>INDEX('Выгр Торг'!$A:$A,MATCH($B5,'Выгр Торг'!$B:$B,0))</f>
        <v>Фары Black Nike для ВАЗ 2113-2115</v>
      </c>
      <c r="B5" s="39">
        <v>402913</v>
      </c>
      <c r="C5" s="39">
        <f>VLOOKUP($B5,'Выгр Торг'!$B:$P,C$1,0)</f>
        <v>402913</v>
      </c>
      <c r="D5" s="40" t="str">
        <f>VLOOKUP($B5,'Выгр Торг'!$B:$P,D$1,0)</f>
        <v>Фары Black Nike (ДХО без тонировки, Тонированный повторитель) для ВАЗ 2113-2115</v>
      </c>
      <c r="E5" s="39" t="str">
        <f>VLOOKUP($B5,'Выгр Торг'!$B:$P,E$1,0)</f>
        <v>Y</v>
      </c>
      <c r="F5" s="39" t="str">
        <f>VLOOKUP($B5,'Выгр Торг'!$B:$P,F$1,0)</f>
        <v>1</v>
      </c>
      <c r="G5" s="39">
        <f>VLOOKUP($B5,'Выгр Торг'!$B:$P,G$1,0)</f>
        <v>0</v>
      </c>
      <c r="H5" s="7"/>
      <c r="I5" s="7" t="s">
        <v>3</v>
      </c>
      <c r="J5" s="33">
        <v>5300</v>
      </c>
      <c r="K5" s="34">
        <f>VLOOKUP(J5,Наценка!$A$1:$B$8,2,1)</f>
        <v>1.4</v>
      </c>
      <c r="L5" s="35">
        <f t="shared" ref="L5:L8" si="4">K5*J5*100/95</f>
        <v>7810.5263157894724</v>
      </c>
      <c r="M5" s="36">
        <f t="shared" ref="M5:M8" si="5">IF(L5&lt;=1000,(ROUNDUP(L5,-1)-1),(ROUNDUP(L5,-2)-10))</f>
        <v>7890</v>
      </c>
      <c r="N5" s="39">
        <f>VLOOKUP($B5,'Выгр Торг'!$B:$P,N$1,0)</f>
        <v>5300</v>
      </c>
      <c r="O5" s="39">
        <f>VLOOKUP($B5,'Выгр Торг'!$B:$P,O$1,0)</f>
        <v>7490</v>
      </c>
      <c r="P5" s="18">
        <f t="shared" ref="P5:P8" si="6">N5-J5</f>
        <v>0</v>
      </c>
      <c r="Q5" s="18">
        <f t="shared" ref="Q5:Q8" si="7">O5-M5</f>
        <v>-400</v>
      </c>
      <c r="R5" s="22">
        <f t="shared" ref="R5:R8" si="8">IFERROR(M5*(1-$R$2),"")</f>
        <v>7337.7</v>
      </c>
      <c r="S5" s="23" t="e">
        <f>IFERROR((VLOOKUP($B5,'Из ГУГЛа'!$B:$G,6,0)+U5)*T5,VLOOKUP($A5,'Из ГУГЛа'!$B:$G,6,0))</f>
        <v>#N/A</v>
      </c>
      <c r="T5" s="15">
        <v>1</v>
      </c>
      <c r="U5" s="15">
        <v>0</v>
      </c>
      <c r="V5" s="41">
        <f t="shared" ref="V5:V8" si="9">IFERROR(R5/J5-1,"")</f>
        <v>0.38447169811320747</v>
      </c>
      <c r="W5" s="41" t="str">
        <f t="shared" ref="W5:W8" si="10">IFERROR((Y5-R5)/Y5,"")</f>
        <v/>
      </c>
      <c r="X5" s="41" t="str">
        <f t="shared" ref="X5:X8" si="11">IFERROR(IF(Y5="","",Y5/J5-1),"")</f>
        <v/>
      </c>
      <c r="Y5" s="59" t="s">
        <v>272</v>
      </c>
    </row>
    <row r="6" spans="1:25" ht="45" x14ac:dyDescent="0.25">
      <c r="A6" s="40" t="str">
        <f>INDEX('Выгр Торг'!$A:$A,MATCH($B6,'Выгр Торг'!$B:$B,0))</f>
        <v>Фары Black Nike для ВАЗ 2113-2115</v>
      </c>
      <c r="B6" s="39">
        <v>402914</v>
      </c>
      <c r="C6" s="39">
        <f>VLOOKUP($B6,'Выгр Торг'!$B:$P,C$1,0)</f>
        <v>402914</v>
      </c>
      <c r="D6" s="40" t="str">
        <f>VLOOKUP($B6,'Выгр Торг'!$B:$P,D$1,0)</f>
        <v>Фары Black Nike (Тонированные ДХО, Белый повторитель) для ВАЗ 2113-2115</v>
      </c>
      <c r="E6" s="39" t="str">
        <f>VLOOKUP($B6,'Выгр Торг'!$B:$P,E$1,0)</f>
        <v>Y</v>
      </c>
      <c r="F6" s="39" t="str">
        <f>VLOOKUP($B6,'Выгр Торг'!$B:$P,F$1,0)</f>
        <v>1</v>
      </c>
      <c r="G6" s="39">
        <f>VLOOKUP($B6,'Выгр Торг'!$B:$P,G$1,0)</f>
        <v>0</v>
      </c>
      <c r="H6" s="7"/>
      <c r="I6" s="7" t="s">
        <v>3</v>
      </c>
      <c r="J6" s="33">
        <v>5300</v>
      </c>
      <c r="K6" s="34">
        <f>VLOOKUP(J6,Наценка!$A$1:$B$8,2,1)</f>
        <v>1.4</v>
      </c>
      <c r="L6" s="35">
        <f t="shared" si="4"/>
        <v>7810.5263157894724</v>
      </c>
      <c r="M6" s="36">
        <f t="shared" si="5"/>
        <v>7890</v>
      </c>
      <c r="N6" s="39">
        <f>VLOOKUP($B6,'Выгр Торг'!$B:$P,N$1,0)</f>
        <v>5300</v>
      </c>
      <c r="O6" s="39">
        <f>VLOOKUP($B6,'Выгр Торг'!$B:$P,O$1,0)</f>
        <v>7490</v>
      </c>
      <c r="P6" s="18">
        <f t="shared" si="6"/>
        <v>0</v>
      </c>
      <c r="Q6" s="18">
        <f t="shared" si="7"/>
        <v>-400</v>
      </c>
      <c r="R6" s="22">
        <f t="shared" si="8"/>
        <v>7337.7</v>
      </c>
      <c r="S6" s="23" t="e">
        <f>IFERROR((VLOOKUP($B6,'Из ГУГЛа'!$B:$G,6,0)+U6)*T6,VLOOKUP($A6,'Из ГУГЛа'!$B:$G,6,0))</f>
        <v>#N/A</v>
      </c>
      <c r="T6" s="15">
        <v>1</v>
      </c>
      <c r="U6" s="15">
        <v>0</v>
      </c>
      <c r="V6" s="41">
        <f t="shared" si="9"/>
        <v>0.38447169811320747</v>
      </c>
      <c r="W6" s="41" t="str">
        <f t="shared" si="10"/>
        <v/>
      </c>
      <c r="X6" s="41" t="str">
        <f t="shared" si="11"/>
        <v/>
      </c>
      <c r="Y6" s="59" t="s">
        <v>272</v>
      </c>
    </row>
    <row r="7" spans="1:25" ht="45" x14ac:dyDescent="0.25">
      <c r="A7" s="40" t="str">
        <f>INDEX('Выгр Торг'!$A:$A,MATCH($B7,'Выгр Торг'!$B:$B,0))</f>
        <v>Фары Black Nike для ВАЗ 2113-2115</v>
      </c>
      <c r="B7" s="39">
        <v>223911</v>
      </c>
      <c r="C7" s="39">
        <f>VLOOKUP($B7,'Выгр Торг'!$B:$P,C$1,0)</f>
        <v>45021</v>
      </c>
      <c r="D7" s="40" t="str">
        <f>VLOOKUP($B7,'Выгр Торг'!$B:$P,D$1,0)</f>
        <v>Фары Black Nike (Тонированные ДХО, Желтый повторитель) для ВАЗ 2113-2115</v>
      </c>
      <c r="E7" s="39" t="str">
        <f>VLOOKUP($B7,'Выгр Торг'!$B:$P,E$1,0)</f>
        <v>Y</v>
      </c>
      <c r="F7" s="39" t="str">
        <f>VLOOKUP($B7,'Выгр Торг'!$B:$P,F$1,0)</f>
        <v>1</v>
      </c>
      <c r="G7" s="39">
        <f>VLOOKUP($B7,'Выгр Торг'!$B:$P,G$1,0)</f>
        <v>0</v>
      </c>
      <c r="H7" s="7"/>
      <c r="I7" s="7" t="s">
        <v>3</v>
      </c>
      <c r="J7" s="33">
        <v>5300</v>
      </c>
      <c r="K7" s="34">
        <f>VLOOKUP(J7,Наценка!$A$1:$B$8,2,1)</f>
        <v>1.4</v>
      </c>
      <c r="L7" s="35">
        <f t="shared" si="4"/>
        <v>7810.5263157894724</v>
      </c>
      <c r="M7" s="36">
        <f t="shared" si="5"/>
        <v>7890</v>
      </c>
      <c r="N7" s="39">
        <f>VLOOKUP($B7,'Выгр Торг'!$B:$P,N$1,0)</f>
        <v>5300</v>
      </c>
      <c r="O7" s="39">
        <f>VLOOKUP($B7,'Выгр Торг'!$B:$P,O$1,0)</f>
        <v>7490</v>
      </c>
      <c r="P7" s="18">
        <f t="shared" si="6"/>
        <v>0</v>
      </c>
      <c r="Q7" s="18">
        <f t="shared" si="7"/>
        <v>-400</v>
      </c>
      <c r="R7" s="22">
        <f t="shared" si="8"/>
        <v>7337.7</v>
      </c>
      <c r="S7" s="23" t="e">
        <f>IFERROR((VLOOKUP($B7,'Из ГУГЛа'!$B:$G,6,0)+U7)*T7,VLOOKUP($A7,'Из ГУГЛа'!$B:$G,6,0))</f>
        <v>#N/A</v>
      </c>
      <c r="T7" s="15">
        <v>1</v>
      </c>
      <c r="U7" s="15">
        <v>0</v>
      </c>
      <c r="V7" s="41">
        <f t="shared" si="9"/>
        <v>0.38447169811320747</v>
      </c>
      <c r="W7" s="41" t="str">
        <f t="shared" si="10"/>
        <v/>
      </c>
      <c r="X7" s="41" t="str">
        <f t="shared" si="11"/>
        <v/>
      </c>
      <c r="Y7" s="59" t="s">
        <v>272</v>
      </c>
    </row>
    <row r="8" spans="1:25" ht="45" x14ac:dyDescent="0.25">
      <c r="A8" s="40" t="str">
        <f>INDEX('Выгр Торг'!$A:$A,MATCH($B8,'Выгр Торг'!$B:$B,0))</f>
        <v>Фары Black Nike для ВАЗ 2113-2115</v>
      </c>
      <c r="B8" s="39">
        <v>402915</v>
      </c>
      <c r="C8" s="39">
        <f>VLOOKUP($B8,'Выгр Торг'!$B:$P,C$1,0)</f>
        <v>402915</v>
      </c>
      <c r="D8" s="40" t="str">
        <f>VLOOKUP($B8,'Выгр Торг'!$B:$P,D$1,0)</f>
        <v>Фары Black Nike (Тонированные ДХО, Тонированный повторитель) для ВАЗ 2113-2115</v>
      </c>
      <c r="E8" s="39" t="str">
        <f>VLOOKUP($B8,'Выгр Торг'!$B:$P,E$1,0)</f>
        <v>Y</v>
      </c>
      <c r="F8" s="39" t="str">
        <f>VLOOKUP($B8,'Выгр Торг'!$B:$P,F$1,0)</f>
        <v>1</v>
      </c>
      <c r="G8" s="39">
        <f>VLOOKUP($B8,'Выгр Торг'!$B:$P,G$1,0)</f>
        <v>0</v>
      </c>
      <c r="H8" s="7"/>
      <c r="I8" s="7" t="s">
        <v>3</v>
      </c>
      <c r="J8" s="33">
        <v>5300</v>
      </c>
      <c r="K8" s="34">
        <f>VLOOKUP(J8,Наценка!$A$1:$B$8,2,1)</f>
        <v>1.4</v>
      </c>
      <c r="L8" s="35">
        <f t="shared" si="4"/>
        <v>7810.5263157894724</v>
      </c>
      <c r="M8" s="36">
        <f t="shared" si="5"/>
        <v>7890</v>
      </c>
      <c r="N8" s="39">
        <f>VLOOKUP($B8,'Выгр Торг'!$B:$P,N$1,0)</f>
        <v>5300</v>
      </c>
      <c r="O8" s="39">
        <f>VLOOKUP($B8,'Выгр Торг'!$B:$P,O$1,0)</f>
        <v>7490</v>
      </c>
      <c r="P8" s="18">
        <f t="shared" si="6"/>
        <v>0</v>
      </c>
      <c r="Q8" s="18">
        <f t="shared" si="7"/>
        <v>-400</v>
      </c>
      <c r="R8" s="22">
        <f t="shared" si="8"/>
        <v>7337.7</v>
      </c>
      <c r="S8" s="23" t="e">
        <f>IFERROR((VLOOKUP($B8,'Из ГУГЛа'!$B:$G,6,0)+U8)*T8,VLOOKUP($A8,'Из ГУГЛа'!$B:$G,6,0))</f>
        <v>#N/A</v>
      </c>
      <c r="T8" s="15">
        <v>1</v>
      </c>
      <c r="U8" s="15">
        <v>0</v>
      </c>
      <c r="V8" s="41">
        <f t="shared" si="9"/>
        <v>0.38447169811320747</v>
      </c>
      <c r="W8" s="41" t="str">
        <f t="shared" si="10"/>
        <v/>
      </c>
      <c r="X8" s="41" t="str">
        <f t="shared" si="11"/>
        <v/>
      </c>
      <c r="Y8" s="59" t="s">
        <v>272</v>
      </c>
    </row>
  </sheetData>
  <autoFilter ref="B2:Y3" xr:uid="{00000000-0001-0000-0000-000000000000}"/>
  <conditionalFormatting sqref="D3:D8">
    <cfRule type="expression" dxfId="9" priority="6">
      <formula>OR(E3="N",F3="0")</formula>
    </cfRule>
  </conditionalFormatting>
  <conditionalFormatting sqref="B3:B8">
    <cfRule type="expression" dxfId="8" priority="5">
      <formula>AND(ROUNDDOWN($P3,0)=0,ROUNDDOWN($Q3,0)=0)</formula>
    </cfRule>
  </conditionalFormatting>
  <conditionalFormatting sqref="W3:W8">
    <cfRule type="cellIs" dxfId="7" priority="3" operator="lessThan">
      <formula>0%</formula>
    </cfRule>
  </conditionalFormatting>
  <conditionalFormatting sqref="X3:X8 V3:V8">
    <cfRule type="cellIs" dxfId="6" priority="2" operator="lessThan">
      <formula>$R$1</formula>
    </cfRule>
  </conditionalFormatting>
  <conditionalFormatting sqref="S2:S8">
    <cfRule type="expression" dxfId="5" priority="1">
      <formula>VALUE(S2)&lt;&gt;Y2</formula>
    </cfRule>
  </conditionalFormatting>
  <pageMargins left="0.75" right="0.75" top="1" bottom="1" header="0.5" footer="0.5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97A88-A99E-4ADF-B25C-CEDF090FAE84}">
  <sheetPr codeName="Лист4"/>
  <dimension ref="A1:I18"/>
  <sheetViews>
    <sheetView workbookViewId="0">
      <selection activeCell="B1" sqref="A1:B8"/>
    </sheetView>
  </sheetViews>
  <sheetFormatPr defaultRowHeight="15" x14ac:dyDescent="0.25"/>
  <sheetData>
    <row r="1" spans="1:9" x14ac:dyDescent="0.25">
      <c r="A1" s="1">
        <v>0.1</v>
      </c>
      <c r="B1" s="14">
        <v>3</v>
      </c>
      <c r="D1" s="1">
        <v>0.1</v>
      </c>
      <c r="E1" s="1">
        <v>2</v>
      </c>
      <c r="H1" s="10" t="s">
        <v>143</v>
      </c>
      <c r="I1" s="11">
        <f>MIN(Кат!$U:$U,Торг!$V:$V)</f>
        <v>0.20047499999999996</v>
      </c>
    </row>
    <row r="2" spans="1:9" x14ac:dyDescent="0.25">
      <c r="A2" s="1">
        <v>100</v>
      </c>
      <c r="B2" s="14">
        <v>1.85</v>
      </c>
      <c r="D2" s="1">
        <v>100</v>
      </c>
      <c r="E2" s="1">
        <v>1.8</v>
      </c>
      <c r="H2" s="10" t="s">
        <v>144</v>
      </c>
      <c r="I2" s="11">
        <f>MAX(Кат!$U:$U,Торг!$V:$V)</f>
        <v>3.8173999999999992</v>
      </c>
    </row>
    <row r="3" spans="1:9" x14ac:dyDescent="0.25">
      <c r="A3" s="2">
        <v>300</v>
      </c>
      <c r="B3" s="4">
        <v>2</v>
      </c>
      <c r="D3" s="2">
        <v>300</v>
      </c>
      <c r="E3" s="2">
        <v>1.6</v>
      </c>
    </row>
    <row r="4" spans="1:9" x14ac:dyDescent="0.25">
      <c r="A4" s="2">
        <v>500</v>
      </c>
      <c r="B4" s="4">
        <v>1.75</v>
      </c>
      <c r="D4" s="2">
        <v>500</v>
      </c>
      <c r="E4" s="2">
        <v>1.55</v>
      </c>
    </row>
    <row r="5" spans="1:9" x14ac:dyDescent="0.25">
      <c r="A5" s="2">
        <v>1000</v>
      </c>
      <c r="B5" s="4">
        <v>1.75</v>
      </c>
      <c r="D5" s="2">
        <v>1000</v>
      </c>
      <c r="E5" s="2">
        <v>1.5</v>
      </c>
    </row>
    <row r="6" spans="1:9" x14ac:dyDescent="0.25">
      <c r="A6" s="2">
        <v>2000</v>
      </c>
      <c r="B6" s="4">
        <v>1.35</v>
      </c>
      <c r="D6" s="2">
        <v>2000</v>
      </c>
      <c r="E6" s="2">
        <v>1.4</v>
      </c>
    </row>
    <row r="7" spans="1:9" x14ac:dyDescent="0.25">
      <c r="A7" s="2">
        <v>5000</v>
      </c>
      <c r="B7" s="4">
        <v>1.4</v>
      </c>
      <c r="D7" s="2">
        <v>5000</v>
      </c>
      <c r="E7" s="2">
        <v>1.35</v>
      </c>
    </row>
    <row r="8" spans="1:9" x14ac:dyDescent="0.25">
      <c r="A8" s="2">
        <v>10000</v>
      </c>
      <c r="B8" s="4">
        <v>1.35</v>
      </c>
      <c r="D8" s="2">
        <v>10000</v>
      </c>
      <c r="E8" s="2">
        <v>1.3</v>
      </c>
    </row>
    <row r="11" spans="1:9" x14ac:dyDescent="0.25">
      <c r="A11" s="1">
        <v>0.1</v>
      </c>
      <c r="B11" s="14">
        <v>3</v>
      </c>
    </row>
    <row r="12" spans="1:9" x14ac:dyDescent="0.25">
      <c r="A12" s="1">
        <v>100</v>
      </c>
      <c r="B12" s="14">
        <v>1.85</v>
      </c>
    </row>
    <row r="13" spans="1:9" x14ac:dyDescent="0.25">
      <c r="A13" s="2">
        <v>300</v>
      </c>
      <c r="B13" s="4">
        <v>2</v>
      </c>
    </row>
    <row r="14" spans="1:9" x14ac:dyDescent="0.25">
      <c r="A14" s="2">
        <v>500</v>
      </c>
      <c r="B14" s="4">
        <v>1.75</v>
      </c>
    </row>
    <row r="15" spans="1:9" x14ac:dyDescent="0.25">
      <c r="A15" s="2">
        <v>1000</v>
      </c>
      <c r="B15" s="4">
        <v>1.75</v>
      </c>
    </row>
    <row r="16" spans="1:9" x14ac:dyDescent="0.25">
      <c r="A16" s="2">
        <v>2000</v>
      </c>
      <c r="B16" s="4">
        <v>1.35</v>
      </c>
    </row>
    <row r="17" spans="1:2" x14ac:dyDescent="0.25">
      <c r="A17" s="2">
        <v>5000</v>
      </c>
      <c r="B17" s="4">
        <v>1.4</v>
      </c>
    </row>
    <row r="18" spans="1:2" x14ac:dyDescent="0.25">
      <c r="A18" s="2">
        <v>10000</v>
      </c>
      <c r="B18" s="4">
        <v>1.35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01486-319A-476E-8296-BD67640EE1F1}">
  <sheetPr codeName="Лист5"/>
  <dimension ref="A1:O140"/>
  <sheetViews>
    <sheetView showGridLines="0" workbookViewId="0">
      <pane ySplit="1" topLeftCell="A135" activePane="bottomLeft" state="frozen"/>
      <selection pane="bottomLeft" activeCell="E148" sqref="E148"/>
    </sheetView>
  </sheetViews>
  <sheetFormatPr defaultRowHeight="15" x14ac:dyDescent="0.25"/>
  <cols>
    <col min="1" max="2" width="7" customWidth="1"/>
    <col min="3" max="3" width="36.5703125" customWidth="1"/>
    <col min="4" max="4" width="7.5703125" bestFit="1" customWidth="1"/>
    <col min="5" max="5" width="21.85546875" bestFit="1" customWidth="1"/>
    <col min="6" max="6" width="18.5703125" customWidth="1"/>
    <col min="7" max="7" width="13.28515625" bestFit="1" customWidth="1"/>
    <col min="8" max="8" width="8.42578125" bestFit="1" customWidth="1"/>
    <col min="9" max="9" width="10.85546875" customWidth="1"/>
    <col min="10" max="10" width="50.140625" customWidth="1"/>
    <col min="11" max="11" width="9.5703125" bestFit="1" customWidth="1"/>
    <col min="12" max="12" width="6.5703125" bestFit="1" customWidth="1"/>
    <col min="13" max="13" width="8" customWidth="1"/>
    <col min="14" max="14" width="4.85546875" bestFit="1" customWidth="1"/>
    <col min="15" max="15" width="8" bestFit="1" customWidth="1"/>
  </cols>
  <sheetData>
    <row r="1" spans="1:15" ht="30" x14ac:dyDescent="0.25">
      <c r="A1" s="60" t="s">
        <v>0</v>
      </c>
      <c r="B1" s="60" t="s">
        <v>241</v>
      </c>
      <c r="C1" s="60" t="s">
        <v>242</v>
      </c>
      <c r="D1" s="60" t="s">
        <v>243</v>
      </c>
      <c r="E1" s="60" t="s">
        <v>244</v>
      </c>
      <c r="F1" s="60" t="s">
        <v>1</v>
      </c>
      <c r="G1" s="60" t="s">
        <v>2</v>
      </c>
      <c r="H1" s="60" t="s">
        <v>86</v>
      </c>
      <c r="I1" s="60" t="s">
        <v>87</v>
      </c>
      <c r="J1" s="60" t="s">
        <v>245</v>
      </c>
      <c r="K1" s="60" t="s">
        <v>246</v>
      </c>
      <c r="L1" s="60" t="s">
        <v>262</v>
      </c>
      <c r="M1" s="60" t="s">
        <v>81</v>
      </c>
      <c r="N1" s="3"/>
      <c r="O1" s="3"/>
    </row>
    <row r="2" spans="1:15" ht="30" x14ac:dyDescent="0.25">
      <c r="A2" s="61">
        <v>117038</v>
      </c>
      <c r="B2" s="61">
        <v>33097</v>
      </c>
      <c r="C2" s="62" t="s">
        <v>80</v>
      </c>
      <c r="D2" s="62" t="s">
        <v>247</v>
      </c>
      <c r="E2" s="62"/>
      <c r="F2" s="62"/>
      <c r="G2" s="62" t="s">
        <v>3</v>
      </c>
      <c r="H2" s="63">
        <v>3500</v>
      </c>
      <c r="I2" s="63">
        <v>4790</v>
      </c>
      <c r="J2" s="62"/>
      <c r="K2" s="62" t="s">
        <v>248</v>
      </c>
      <c r="L2" s="62"/>
      <c r="M2" s="62"/>
      <c r="N2" s="3" t="str">
        <f>_xlfn.CONCAT(K2,IF(L2&lt;&gt;"",_xlfn.CONCAT("ск",L2),""))</f>
        <v>0</v>
      </c>
      <c r="O2" s="3" t="str">
        <f>INDEX(Кат!$H:$H,MATCH($A2,Кат!$A:$A,0))</f>
        <v>Севием</v>
      </c>
    </row>
    <row r="3" spans="1:15" ht="45" x14ac:dyDescent="0.25">
      <c r="A3" s="61">
        <v>136968</v>
      </c>
      <c r="B3" s="61">
        <v>151638</v>
      </c>
      <c r="C3" s="62" t="s">
        <v>156</v>
      </c>
      <c r="D3" s="62" t="s">
        <v>249</v>
      </c>
      <c r="E3" s="62" t="s">
        <v>157</v>
      </c>
      <c r="F3" s="62"/>
      <c r="G3" s="62" t="s">
        <v>3</v>
      </c>
      <c r="H3" s="63">
        <v>3200</v>
      </c>
      <c r="I3" s="63">
        <v>4390</v>
      </c>
      <c r="J3" s="62"/>
      <c r="K3" s="62" t="s">
        <v>7</v>
      </c>
      <c r="L3" s="62"/>
      <c r="M3" s="62"/>
      <c r="N3" s="3" t="str">
        <f t="shared" ref="N3:N66" si="0">_xlfn.CONCAT(K3,IF(L3&lt;&gt;"",_xlfn.CONCAT("ск",L3),""))</f>
        <v>1</v>
      </c>
      <c r="O3" s="3" t="str">
        <f>INDEX(Кат!$H:$H,MATCH($A3,Кат!$A:$A,0))</f>
        <v>Севием</v>
      </c>
    </row>
    <row r="4" spans="1:15" ht="45" x14ac:dyDescent="0.25">
      <c r="A4" s="61">
        <v>136969</v>
      </c>
      <c r="B4" s="61">
        <v>151639</v>
      </c>
      <c r="C4" s="62" t="s">
        <v>250</v>
      </c>
      <c r="D4" s="62" t="s">
        <v>249</v>
      </c>
      <c r="E4" s="62" t="s">
        <v>251</v>
      </c>
      <c r="F4" s="62" t="s">
        <v>251</v>
      </c>
      <c r="G4" s="62" t="s">
        <v>3</v>
      </c>
      <c r="H4" s="63">
        <v>3200</v>
      </c>
      <c r="I4" s="63">
        <v>4390</v>
      </c>
      <c r="J4" s="62"/>
      <c r="K4" s="62" t="s">
        <v>7</v>
      </c>
      <c r="L4" s="62"/>
      <c r="M4" s="62"/>
      <c r="N4" s="3" t="str">
        <f t="shared" si="0"/>
        <v>1</v>
      </c>
      <c r="O4" s="3" t="str">
        <f>INDEX(Кат!$H:$H,MATCH($A4,Кат!$A:$A,0))</f>
        <v>Севием</v>
      </c>
    </row>
    <row r="5" spans="1:15" ht="30" x14ac:dyDescent="0.25">
      <c r="A5" s="61">
        <v>136970</v>
      </c>
      <c r="B5" s="61">
        <v>59056</v>
      </c>
      <c r="C5" s="62" t="s">
        <v>131</v>
      </c>
      <c r="D5" s="62" t="s">
        <v>249</v>
      </c>
      <c r="E5" s="62" t="s">
        <v>78</v>
      </c>
      <c r="F5" s="62" t="s">
        <v>78</v>
      </c>
      <c r="G5" s="62" t="s">
        <v>3</v>
      </c>
      <c r="H5" s="63">
        <v>1400</v>
      </c>
      <c r="I5" s="63">
        <v>2490</v>
      </c>
      <c r="J5" s="62"/>
      <c r="K5" s="62" t="s">
        <v>7</v>
      </c>
      <c r="L5" s="62"/>
      <c r="M5" s="62"/>
      <c r="N5" s="3" t="str">
        <f t="shared" si="0"/>
        <v>1</v>
      </c>
      <c r="O5" s="3" t="str">
        <f>INDEX(Кат!$H:$H,MATCH($A5,Кат!$A:$A,0))</f>
        <v>Севием</v>
      </c>
    </row>
    <row r="6" spans="1:15" ht="30" x14ac:dyDescent="0.25">
      <c r="A6" s="61">
        <v>136972</v>
      </c>
      <c r="B6" s="61">
        <v>39510</v>
      </c>
      <c r="C6" s="62" t="s">
        <v>127</v>
      </c>
      <c r="D6" s="62" t="s">
        <v>249</v>
      </c>
      <c r="E6" s="62" t="s">
        <v>68</v>
      </c>
      <c r="F6" s="62"/>
      <c r="G6" s="62" t="s">
        <v>3</v>
      </c>
      <c r="H6" s="63">
        <v>2500</v>
      </c>
      <c r="I6" s="63">
        <v>3390</v>
      </c>
      <c r="J6" s="62"/>
      <c r="K6" s="62" t="s">
        <v>7</v>
      </c>
      <c r="L6" s="62"/>
      <c r="M6" s="62"/>
      <c r="N6" s="3" t="str">
        <f t="shared" si="0"/>
        <v>1</v>
      </c>
      <c r="O6" s="3" t="str">
        <f>INDEX(Кат!$H:$H,MATCH($A6,Кат!$A:$A,0))</f>
        <v>Севием</v>
      </c>
    </row>
    <row r="7" spans="1:15" ht="45" x14ac:dyDescent="0.25">
      <c r="A7" s="61">
        <v>136973</v>
      </c>
      <c r="B7" s="61">
        <v>36730</v>
      </c>
      <c r="C7" s="62" t="s">
        <v>79</v>
      </c>
      <c r="D7" s="62" t="s">
        <v>249</v>
      </c>
      <c r="E7" s="62" t="s">
        <v>78</v>
      </c>
      <c r="F7" s="62" t="s">
        <v>78</v>
      </c>
      <c r="G7" s="62" t="s">
        <v>3</v>
      </c>
      <c r="H7" s="63">
        <v>1400</v>
      </c>
      <c r="I7" s="63">
        <v>2490</v>
      </c>
      <c r="J7" s="62"/>
      <c r="K7" s="62" t="s">
        <v>7</v>
      </c>
      <c r="L7" s="62" t="s">
        <v>7</v>
      </c>
      <c r="M7" s="62"/>
      <c r="N7" s="3" t="str">
        <f t="shared" si="0"/>
        <v>1ск1</v>
      </c>
      <c r="O7" s="3" t="str">
        <f>INDEX(Кат!$H:$H,MATCH($A7,Кат!$A:$A,0))</f>
        <v>Севием</v>
      </c>
    </row>
    <row r="8" spans="1:15" ht="45" x14ac:dyDescent="0.25">
      <c r="A8" s="61">
        <v>136974</v>
      </c>
      <c r="B8" s="61">
        <v>36728</v>
      </c>
      <c r="C8" s="62" t="s">
        <v>77</v>
      </c>
      <c r="D8" s="62" t="s">
        <v>249</v>
      </c>
      <c r="E8" s="62" t="s">
        <v>76</v>
      </c>
      <c r="F8" s="62" t="s">
        <v>76</v>
      </c>
      <c r="G8" s="62" t="s">
        <v>3</v>
      </c>
      <c r="H8" s="63">
        <v>2255</v>
      </c>
      <c r="I8" s="63">
        <v>3090</v>
      </c>
      <c r="J8" s="62"/>
      <c r="K8" s="62" t="s">
        <v>7</v>
      </c>
      <c r="L8" s="62"/>
      <c r="M8" s="62"/>
      <c r="N8" s="3" t="str">
        <f t="shared" si="0"/>
        <v>1</v>
      </c>
      <c r="O8" s="3" t="str">
        <f>INDEX(Кат!$H:$H,MATCH($A8,Кат!$A:$A,0))</f>
        <v>Севием</v>
      </c>
    </row>
    <row r="9" spans="1:15" ht="30" x14ac:dyDescent="0.25">
      <c r="A9" s="61">
        <v>136975</v>
      </c>
      <c r="B9" s="61">
        <v>36736</v>
      </c>
      <c r="C9" s="62" t="s">
        <v>75</v>
      </c>
      <c r="D9" s="62" t="s">
        <v>249</v>
      </c>
      <c r="E9" s="62" t="s">
        <v>74</v>
      </c>
      <c r="F9" s="62" t="s">
        <v>74</v>
      </c>
      <c r="G9" s="62" t="s">
        <v>3</v>
      </c>
      <c r="H9" s="63">
        <v>2100</v>
      </c>
      <c r="I9" s="63">
        <v>2890</v>
      </c>
      <c r="J9" s="62"/>
      <c r="K9" s="62" t="s">
        <v>7</v>
      </c>
      <c r="L9" s="62"/>
      <c r="M9" s="62"/>
      <c r="N9" s="3" t="str">
        <f t="shared" si="0"/>
        <v>1</v>
      </c>
      <c r="O9" s="3" t="str">
        <f>INDEX(Кат!$H:$H,MATCH($A9,Кат!$A:$A,0))</f>
        <v>Севием</v>
      </c>
    </row>
    <row r="10" spans="1:15" ht="30" x14ac:dyDescent="0.25">
      <c r="A10" s="61">
        <v>136976</v>
      </c>
      <c r="B10" s="61">
        <v>36738</v>
      </c>
      <c r="C10" s="62" t="s">
        <v>73</v>
      </c>
      <c r="D10" s="62" t="s">
        <v>249</v>
      </c>
      <c r="E10" s="62" t="s">
        <v>62</v>
      </c>
      <c r="F10" s="62" t="s">
        <v>62</v>
      </c>
      <c r="G10" s="62" t="s">
        <v>3</v>
      </c>
      <c r="H10" s="63">
        <v>4400</v>
      </c>
      <c r="I10" s="63">
        <v>5990</v>
      </c>
      <c r="J10" s="62"/>
      <c r="K10" s="62" t="s">
        <v>7</v>
      </c>
      <c r="L10" s="62"/>
      <c r="M10" s="62"/>
      <c r="N10" s="3" t="str">
        <f t="shared" si="0"/>
        <v>1</v>
      </c>
      <c r="O10" s="3" t="str">
        <f>INDEX(Кат!$H:$H,MATCH($A10,Кат!$A:$A,0))</f>
        <v>Севием</v>
      </c>
    </row>
    <row r="11" spans="1:15" ht="30" x14ac:dyDescent="0.25">
      <c r="A11" s="61">
        <v>136977</v>
      </c>
      <c r="B11" s="61">
        <v>36734</v>
      </c>
      <c r="C11" s="62" t="s">
        <v>72</v>
      </c>
      <c r="D11" s="62" t="s">
        <v>249</v>
      </c>
      <c r="E11" s="62" t="s">
        <v>71</v>
      </c>
      <c r="F11" s="62" t="s">
        <v>71</v>
      </c>
      <c r="G11" s="62" t="s">
        <v>3</v>
      </c>
      <c r="H11" s="63">
        <v>2600</v>
      </c>
      <c r="I11" s="63">
        <v>3590</v>
      </c>
      <c r="J11" s="62"/>
      <c r="K11" s="62" t="s">
        <v>7</v>
      </c>
      <c r="L11" s="62"/>
      <c r="M11" s="62"/>
      <c r="N11" s="3" t="str">
        <f t="shared" si="0"/>
        <v>1</v>
      </c>
      <c r="O11" s="3" t="str">
        <f>INDEX(Кат!$H:$H,MATCH($A11,Кат!$A:$A,0))</f>
        <v>Севием</v>
      </c>
    </row>
    <row r="12" spans="1:15" ht="30" x14ac:dyDescent="0.25">
      <c r="A12" s="61">
        <v>136978</v>
      </c>
      <c r="B12" s="61">
        <v>36732</v>
      </c>
      <c r="C12" s="62" t="s">
        <v>70</v>
      </c>
      <c r="D12" s="62" t="s">
        <v>249</v>
      </c>
      <c r="E12" s="62" t="s">
        <v>69</v>
      </c>
      <c r="F12" s="62" t="s">
        <v>69</v>
      </c>
      <c r="G12" s="62" t="s">
        <v>3</v>
      </c>
      <c r="H12" s="63">
        <v>1800</v>
      </c>
      <c r="I12" s="63">
        <v>3490</v>
      </c>
      <c r="J12" s="62" t="s">
        <v>284</v>
      </c>
      <c r="K12" s="62" t="s">
        <v>7</v>
      </c>
      <c r="L12" s="62"/>
      <c r="M12" s="62"/>
      <c r="N12" s="3" t="str">
        <f t="shared" si="0"/>
        <v>1</v>
      </c>
      <c r="O12" s="3" t="str">
        <f>INDEX(Кат!$H:$H,MATCH($A12,Кат!$A:$A,0))</f>
        <v>Севием</v>
      </c>
    </row>
    <row r="13" spans="1:15" ht="30" x14ac:dyDescent="0.25">
      <c r="A13" s="61">
        <v>136979</v>
      </c>
      <c r="B13" s="61">
        <v>59063</v>
      </c>
      <c r="C13" s="62" t="s">
        <v>132</v>
      </c>
      <c r="D13" s="62" t="s">
        <v>249</v>
      </c>
      <c r="E13" s="62" t="s">
        <v>66</v>
      </c>
      <c r="F13" s="62" t="s">
        <v>66</v>
      </c>
      <c r="G13" s="62" t="s">
        <v>3</v>
      </c>
      <c r="H13" s="63">
        <v>1400</v>
      </c>
      <c r="I13" s="63">
        <v>2490</v>
      </c>
      <c r="J13" s="62"/>
      <c r="K13" s="62" t="s">
        <v>7</v>
      </c>
      <c r="L13" s="62"/>
      <c r="M13" s="62"/>
      <c r="N13" s="3" t="str">
        <f t="shared" si="0"/>
        <v>1</v>
      </c>
      <c r="O13" s="3" t="str">
        <f>INDEX(Кат!$H:$H,MATCH($A13,Кат!$A:$A,0))</f>
        <v>Севием</v>
      </c>
    </row>
    <row r="14" spans="1:15" ht="30" x14ac:dyDescent="0.25">
      <c r="A14" s="61">
        <v>136981</v>
      </c>
      <c r="B14" s="61">
        <v>39497</v>
      </c>
      <c r="C14" s="62" t="s">
        <v>126</v>
      </c>
      <c r="D14" s="62" t="s">
        <v>249</v>
      </c>
      <c r="E14" s="62" t="s">
        <v>57</v>
      </c>
      <c r="F14" s="62"/>
      <c r="G14" s="62" t="s">
        <v>3</v>
      </c>
      <c r="H14" s="63">
        <v>2500</v>
      </c>
      <c r="I14" s="63">
        <v>3390</v>
      </c>
      <c r="J14" s="62"/>
      <c r="K14" s="62" t="s">
        <v>7</v>
      </c>
      <c r="L14" s="62" t="s">
        <v>7</v>
      </c>
      <c r="M14" s="62"/>
      <c r="N14" s="3" t="str">
        <f t="shared" si="0"/>
        <v>1ск1</v>
      </c>
      <c r="O14" s="3" t="str">
        <f>INDEX(Кат!$H:$H,MATCH($A14,Кат!$A:$A,0))</f>
        <v>Севием</v>
      </c>
    </row>
    <row r="15" spans="1:15" ht="45" x14ac:dyDescent="0.25">
      <c r="A15" s="61">
        <v>136982</v>
      </c>
      <c r="B15" s="61">
        <v>36731</v>
      </c>
      <c r="C15" s="62" t="s">
        <v>67</v>
      </c>
      <c r="D15" s="62" t="s">
        <v>249</v>
      </c>
      <c r="E15" s="62" t="s">
        <v>66</v>
      </c>
      <c r="F15" s="62" t="s">
        <v>66</v>
      </c>
      <c r="G15" s="62" t="s">
        <v>3</v>
      </c>
      <c r="H15" s="63">
        <v>1400</v>
      </c>
      <c r="I15" s="63">
        <v>2490</v>
      </c>
      <c r="J15" s="62"/>
      <c r="K15" s="62" t="s">
        <v>7</v>
      </c>
      <c r="L15" s="62" t="s">
        <v>7</v>
      </c>
      <c r="M15" s="62"/>
      <c r="N15" s="3" t="str">
        <f t="shared" si="0"/>
        <v>1ск1</v>
      </c>
      <c r="O15" s="3" t="str">
        <f>INDEX(Кат!$H:$H,MATCH($A15,Кат!$A:$A,0))</f>
        <v>Севием</v>
      </c>
    </row>
    <row r="16" spans="1:15" ht="30" x14ac:dyDescent="0.25">
      <c r="A16" s="61">
        <v>136984</v>
      </c>
      <c r="B16" s="61">
        <v>36737</v>
      </c>
      <c r="C16" s="62" t="s">
        <v>65</v>
      </c>
      <c r="D16" s="62" t="s">
        <v>249</v>
      </c>
      <c r="E16" s="62" t="s">
        <v>64</v>
      </c>
      <c r="F16" s="62" t="s">
        <v>64</v>
      </c>
      <c r="G16" s="62" t="s">
        <v>3</v>
      </c>
      <c r="H16" s="63">
        <v>2100</v>
      </c>
      <c r="I16" s="63">
        <v>2890</v>
      </c>
      <c r="J16" s="62"/>
      <c r="K16" s="62" t="s">
        <v>7</v>
      </c>
      <c r="L16" s="62"/>
      <c r="M16" s="62"/>
      <c r="N16" s="3" t="str">
        <f t="shared" si="0"/>
        <v>1</v>
      </c>
      <c r="O16" s="3" t="str">
        <f>INDEX(Кат!$H:$H,MATCH($A16,Кат!$A:$A,0))</f>
        <v>Севием</v>
      </c>
    </row>
    <row r="17" spans="1:15" ht="30" x14ac:dyDescent="0.25">
      <c r="A17" s="61">
        <v>136985</v>
      </c>
      <c r="B17" s="61">
        <v>36739</v>
      </c>
      <c r="C17" s="62" t="s">
        <v>63</v>
      </c>
      <c r="D17" s="62" t="s">
        <v>249</v>
      </c>
      <c r="E17" s="62" t="s">
        <v>62</v>
      </c>
      <c r="F17" s="62" t="s">
        <v>62</v>
      </c>
      <c r="G17" s="62" t="s">
        <v>3</v>
      </c>
      <c r="H17" s="63">
        <v>4400</v>
      </c>
      <c r="I17" s="63">
        <v>5990</v>
      </c>
      <c r="J17" s="62"/>
      <c r="K17" s="62" t="s">
        <v>7</v>
      </c>
      <c r="L17" s="62"/>
      <c r="M17" s="62"/>
      <c r="N17" s="3" t="str">
        <f t="shared" si="0"/>
        <v>1</v>
      </c>
      <c r="O17" s="3" t="str">
        <f>INDEX(Кат!$H:$H,MATCH($A17,Кат!$A:$A,0))</f>
        <v>Севием</v>
      </c>
    </row>
    <row r="18" spans="1:15" ht="30" x14ac:dyDescent="0.25">
      <c r="A18" s="61">
        <v>136986</v>
      </c>
      <c r="B18" s="61">
        <v>36735</v>
      </c>
      <c r="C18" s="62" t="s">
        <v>61</v>
      </c>
      <c r="D18" s="62" t="s">
        <v>249</v>
      </c>
      <c r="E18" s="62" t="s">
        <v>60</v>
      </c>
      <c r="F18" s="62" t="s">
        <v>60</v>
      </c>
      <c r="G18" s="62" t="s">
        <v>3</v>
      </c>
      <c r="H18" s="63">
        <v>2600</v>
      </c>
      <c r="I18" s="63">
        <v>3590</v>
      </c>
      <c r="J18" s="62"/>
      <c r="K18" s="62" t="s">
        <v>7</v>
      </c>
      <c r="L18" s="62"/>
      <c r="M18" s="62"/>
      <c r="N18" s="3" t="str">
        <f t="shared" si="0"/>
        <v>1</v>
      </c>
      <c r="O18" s="3" t="str">
        <f>INDEX(Кат!$H:$H,MATCH($A18,Кат!$A:$A,0))</f>
        <v>Севием</v>
      </c>
    </row>
    <row r="19" spans="1:15" ht="30" x14ac:dyDescent="0.25">
      <c r="A19" s="61">
        <v>136987</v>
      </c>
      <c r="B19" s="61">
        <v>36733</v>
      </c>
      <c r="C19" s="62" t="s">
        <v>59</v>
      </c>
      <c r="D19" s="62" t="s">
        <v>249</v>
      </c>
      <c r="E19" s="62" t="s">
        <v>58</v>
      </c>
      <c r="F19" s="62" t="s">
        <v>58</v>
      </c>
      <c r="G19" s="62" t="s">
        <v>3</v>
      </c>
      <c r="H19" s="63">
        <v>1800</v>
      </c>
      <c r="I19" s="63">
        <v>3490</v>
      </c>
      <c r="J19" s="62" t="s">
        <v>284</v>
      </c>
      <c r="K19" s="62" t="s">
        <v>7</v>
      </c>
      <c r="L19" s="62"/>
      <c r="M19" s="62"/>
      <c r="N19" s="3" t="str">
        <f t="shared" si="0"/>
        <v>1</v>
      </c>
      <c r="O19" s="3" t="str">
        <f>INDEX(Кат!$H:$H,MATCH($A19,Кат!$A:$A,0))</f>
        <v>Севием</v>
      </c>
    </row>
    <row r="20" spans="1:15" ht="60" x14ac:dyDescent="0.25">
      <c r="A20" s="61">
        <v>143692</v>
      </c>
      <c r="B20" s="61">
        <v>30468</v>
      </c>
      <c r="C20" s="62" t="s">
        <v>56</v>
      </c>
      <c r="D20" s="62" t="s">
        <v>249</v>
      </c>
      <c r="E20" s="62"/>
      <c r="F20" s="62"/>
      <c r="G20" s="62" t="s">
        <v>3</v>
      </c>
      <c r="H20" s="63">
        <v>450</v>
      </c>
      <c r="I20" s="63">
        <v>899</v>
      </c>
      <c r="J20" s="62"/>
      <c r="K20" s="62" t="s">
        <v>7</v>
      </c>
      <c r="L20" s="62"/>
      <c r="M20" s="62"/>
      <c r="N20" s="3" t="str">
        <f t="shared" si="0"/>
        <v>1</v>
      </c>
      <c r="O20" s="3" t="str">
        <f>INDEX(Кат!$H:$H,MATCH($A20,Кат!$A:$A,0))</f>
        <v>Севием</v>
      </c>
    </row>
    <row r="21" spans="1:15" ht="60" x14ac:dyDescent="0.25">
      <c r="A21" s="61">
        <v>143693</v>
      </c>
      <c r="B21" s="61">
        <v>30466</v>
      </c>
      <c r="C21" s="62" t="s">
        <v>55</v>
      </c>
      <c r="D21" s="62" t="s">
        <v>249</v>
      </c>
      <c r="E21" s="62"/>
      <c r="F21" s="62"/>
      <c r="G21" s="62" t="s">
        <v>3</v>
      </c>
      <c r="H21" s="63">
        <v>950</v>
      </c>
      <c r="I21" s="63">
        <v>1590</v>
      </c>
      <c r="J21" s="62" t="s">
        <v>211</v>
      </c>
      <c r="K21" s="62" t="s">
        <v>7</v>
      </c>
      <c r="L21" s="62"/>
      <c r="M21" s="62" t="s">
        <v>249</v>
      </c>
      <c r="N21" s="3" t="str">
        <f t="shared" si="0"/>
        <v>1</v>
      </c>
      <c r="O21" s="3" t="str">
        <f>INDEX(Кат!$H:$H,MATCH($A21,Кат!$A:$A,0))</f>
        <v>Севием</v>
      </c>
    </row>
    <row r="22" spans="1:15" ht="60" x14ac:dyDescent="0.25">
      <c r="A22" s="61">
        <v>143694</v>
      </c>
      <c r="B22" s="61">
        <v>34114</v>
      </c>
      <c r="C22" s="62" t="s">
        <v>54</v>
      </c>
      <c r="D22" s="62" t="s">
        <v>249</v>
      </c>
      <c r="E22" s="62"/>
      <c r="F22" s="62"/>
      <c r="G22" s="62" t="s">
        <v>3</v>
      </c>
      <c r="H22" s="63">
        <v>800</v>
      </c>
      <c r="I22" s="63">
        <v>1590</v>
      </c>
      <c r="J22" s="62" t="s">
        <v>197</v>
      </c>
      <c r="K22" s="62" t="s">
        <v>7</v>
      </c>
      <c r="L22" s="62" t="s">
        <v>7</v>
      </c>
      <c r="M22" s="62"/>
      <c r="N22" s="3" t="str">
        <f t="shared" si="0"/>
        <v>1ск1</v>
      </c>
      <c r="O22" s="3" t="str">
        <f>INDEX(Кат!$H:$H,MATCH($A22,Кат!$A:$A,0))</f>
        <v>Севием</v>
      </c>
    </row>
    <row r="23" spans="1:15" ht="60" x14ac:dyDescent="0.25">
      <c r="A23" s="61">
        <v>143695</v>
      </c>
      <c r="B23" s="61">
        <v>32581</v>
      </c>
      <c r="C23" s="62" t="s">
        <v>53</v>
      </c>
      <c r="D23" s="62" t="s">
        <v>249</v>
      </c>
      <c r="E23" s="62"/>
      <c r="F23" s="62"/>
      <c r="G23" s="62" t="s">
        <v>3</v>
      </c>
      <c r="H23" s="63">
        <v>750</v>
      </c>
      <c r="I23" s="63">
        <v>1390</v>
      </c>
      <c r="J23" s="62"/>
      <c r="K23" s="62" t="s">
        <v>7</v>
      </c>
      <c r="L23" s="62"/>
      <c r="M23" s="62"/>
      <c r="N23" s="3" t="str">
        <f t="shared" si="0"/>
        <v>1</v>
      </c>
      <c r="O23" s="3" t="str">
        <f>INDEX(Кат!$H:$H,MATCH($A23,Кат!$A:$A,0))</f>
        <v>Севием</v>
      </c>
    </row>
    <row r="24" spans="1:15" ht="60" x14ac:dyDescent="0.25">
      <c r="A24" s="61">
        <v>143696</v>
      </c>
      <c r="B24" s="61">
        <v>30467</v>
      </c>
      <c r="C24" s="62" t="s">
        <v>52</v>
      </c>
      <c r="D24" s="62" t="s">
        <v>249</v>
      </c>
      <c r="E24" s="62"/>
      <c r="F24" s="62"/>
      <c r="G24" s="62" t="s">
        <v>3</v>
      </c>
      <c r="H24" s="63">
        <v>450</v>
      </c>
      <c r="I24" s="63">
        <v>899</v>
      </c>
      <c r="J24" s="62"/>
      <c r="K24" s="62" t="s">
        <v>7</v>
      </c>
      <c r="L24" s="62" t="s">
        <v>7</v>
      </c>
      <c r="M24" s="62"/>
      <c r="N24" s="3" t="str">
        <f t="shared" si="0"/>
        <v>1ск1</v>
      </c>
      <c r="O24" s="3" t="str">
        <f>INDEX(Кат!$H:$H,MATCH($A24,Кат!$A:$A,0))</f>
        <v>Севием</v>
      </c>
    </row>
    <row r="25" spans="1:15" ht="45" x14ac:dyDescent="0.25">
      <c r="A25" s="61">
        <v>201774</v>
      </c>
      <c r="B25" s="61">
        <v>57979</v>
      </c>
      <c r="C25" s="62" t="s">
        <v>294</v>
      </c>
      <c r="D25" s="62" t="s">
        <v>249</v>
      </c>
      <c r="E25" s="62"/>
      <c r="F25" s="62"/>
      <c r="G25" s="62" t="s">
        <v>3</v>
      </c>
      <c r="H25" s="63">
        <v>1100</v>
      </c>
      <c r="I25" s="63">
        <v>2890</v>
      </c>
      <c r="J25" s="62" t="s">
        <v>203</v>
      </c>
      <c r="K25" s="62" t="s">
        <v>7</v>
      </c>
      <c r="L25" s="62"/>
      <c r="M25" s="62"/>
      <c r="N25" s="3" t="str">
        <f t="shared" si="0"/>
        <v>1</v>
      </c>
      <c r="O25" s="3" t="str">
        <f>INDEX(Кат!$H:$H,MATCH($A25,Кат!$A:$A,0))</f>
        <v>Севием</v>
      </c>
    </row>
    <row r="26" spans="1:15" ht="30" x14ac:dyDescent="0.25">
      <c r="A26" s="61">
        <v>143738</v>
      </c>
      <c r="B26" s="61">
        <v>61664</v>
      </c>
      <c r="C26" s="62" t="s">
        <v>134</v>
      </c>
      <c r="D26" s="62" t="s">
        <v>249</v>
      </c>
      <c r="E26" s="62"/>
      <c r="F26" s="62"/>
      <c r="G26" s="62" t="s">
        <v>3</v>
      </c>
      <c r="H26" s="63">
        <v>1300</v>
      </c>
      <c r="I26" s="63">
        <v>2690</v>
      </c>
      <c r="J26" s="62" t="s">
        <v>301</v>
      </c>
      <c r="K26" s="62" t="s">
        <v>7</v>
      </c>
      <c r="L26" s="62"/>
      <c r="M26" s="62"/>
      <c r="N26" s="3" t="str">
        <f t="shared" si="0"/>
        <v>1</v>
      </c>
      <c r="O26" s="3" t="str">
        <f>INDEX(Кат!$H:$H,MATCH($A26,Кат!$A:$A,0))</f>
        <v>Севием</v>
      </c>
    </row>
    <row r="27" spans="1:15" ht="60" x14ac:dyDescent="0.25">
      <c r="A27" s="61">
        <v>143740</v>
      </c>
      <c r="B27" s="61">
        <v>23843</v>
      </c>
      <c r="C27" s="62" t="s">
        <v>14</v>
      </c>
      <c r="D27" s="62" t="s">
        <v>249</v>
      </c>
      <c r="E27" s="62"/>
      <c r="F27" s="62"/>
      <c r="G27" s="62" t="s">
        <v>3</v>
      </c>
      <c r="H27" s="63">
        <v>2000</v>
      </c>
      <c r="I27" s="63">
        <v>2690</v>
      </c>
      <c r="J27" s="62"/>
      <c r="K27" s="62" t="s">
        <v>7</v>
      </c>
      <c r="L27" s="62"/>
      <c r="M27" s="62" t="s">
        <v>249</v>
      </c>
      <c r="N27" s="3" t="str">
        <f t="shared" si="0"/>
        <v>1</v>
      </c>
      <c r="O27" s="3" t="str">
        <f>INDEX(Кат!$H:$H,MATCH($A27,Кат!$A:$A,0))</f>
        <v>Севием</v>
      </c>
    </row>
    <row r="28" spans="1:15" ht="45" x14ac:dyDescent="0.25">
      <c r="A28" s="61">
        <v>143743</v>
      </c>
      <c r="B28" s="61">
        <v>23608</v>
      </c>
      <c r="C28" s="62" t="s">
        <v>110</v>
      </c>
      <c r="D28" s="62" t="s">
        <v>249</v>
      </c>
      <c r="E28" s="62"/>
      <c r="F28" s="62"/>
      <c r="G28" s="62" t="s">
        <v>3</v>
      </c>
      <c r="H28" s="63">
        <v>1500</v>
      </c>
      <c r="I28" s="63">
        <v>2690</v>
      </c>
      <c r="J28" s="62"/>
      <c r="K28" s="62" t="s">
        <v>7</v>
      </c>
      <c r="L28" s="62"/>
      <c r="M28" s="62"/>
      <c r="N28" s="3" t="str">
        <f t="shared" si="0"/>
        <v>1</v>
      </c>
      <c r="O28" s="3" t="str">
        <f>INDEX(Кат!$H:$H,MATCH($A28,Кат!$A:$A,0))</f>
        <v>Севием</v>
      </c>
    </row>
    <row r="29" spans="1:15" ht="45" x14ac:dyDescent="0.25">
      <c r="A29" s="61">
        <v>143745</v>
      </c>
      <c r="B29" s="61">
        <v>76509</v>
      </c>
      <c r="C29" s="62" t="s">
        <v>140</v>
      </c>
      <c r="D29" s="62" t="s">
        <v>249</v>
      </c>
      <c r="E29" s="62"/>
      <c r="F29" s="62"/>
      <c r="G29" s="62" t="s">
        <v>3</v>
      </c>
      <c r="H29" s="63">
        <v>2600</v>
      </c>
      <c r="I29" s="63">
        <v>3590</v>
      </c>
      <c r="J29" s="62"/>
      <c r="K29" s="62" t="s">
        <v>248</v>
      </c>
      <c r="L29" s="62"/>
      <c r="M29" s="62"/>
      <c r="N29" s="3" t="str">
        <f t="shared" si="0"/>
        <v>0</v>
      </c>
      <c r="O29" s="3" t="str">
        <f>INDEX(Кат!$H:$H,MATCH($A29,Кат!$A:$A,0))</f>
        <v>Севием</v>
      </c>
    </row>
    <row r="30" spans="1:15" ht="45" x14ac:dyDescent="0.25">
      <c r="A30" s="61">
        <v>143746</v>
      </c>
      <c r="B30" s="61">
        <v>24748</v>
      </c>
      <c r="C30" s="62" t="s">
        <v>51</v>
      </c>
      <c r="D30" s="62" t="s">
        <v>249</v>
      </c>
      <c r="E30" s="62"/>
      <c r="F30" s="62"/>
      <c r="G30" s="62" t="s">
        <v>3</v>
      </c>
      <c r="H30" s="63">
        <v>7800</v>
      </c>
      <c r="I30" s="63">
        <v>10990</v>
      </c>
      <c r="J30" s="62"/>
      <c r="K30" s="62" t="s">
        <v>248</v>
      </c>
      <c r="L30" s="62"/>
      <c r="M30" s="62"/>
      <c r="N30" s="3" t="str">
        <f t="shared" si="0"/>
        <v>0</v>
      </c>
      <c r="O30" s="3" t="str">
        <f>INDEX(Кат!$H:$H,MATCH($A30,Кат!$A:$A,0))</f>
        <v>Севием</v>
      </c>
    </row>
    <row r="31" spans="1:15" ht="45" x14ac:dyDescent="0.25">
      <c r="A31" s="61">
        <v>143748</v>
      </c>
      <c r="B31" s="61">
        <v>20631</v>
      </c>
      <c r="C31" s="62" t="s">
        <v>12</v>
      </c>
      <c r="D31" s="62" t="s">
        <v>249</v>
      </c>
      <c r="E31" s="62"/>
      <c r="F31" s="62"/>
      <c r="G31" s="62" t="s">
        <v>3</v>
      </c>
      <c r="H31" s="63">
        <v>4500</v>
      </c>
      <c r="I31" s="63">
        <v>6090</v>
      </c>
      <c r="J31" s="62" t="s">
        <v>289</v>
      </c>
      <c r="K31" s="62" t="s">
        <v>7</v>
      </c>
      <c r="L31" s="62"/>
      <c r="M31" s="62"/>
      <c r="N31" s="3" t="str">
        <f t="shared" si="0"/>
        <v>1</v>
      </c>
      <c r="O31" s="3" t="str">
        <f>INDEX(Кат!$H:$H,MATCH($A31,Кат!$A:$A,0))</f>
        <v>Севием</v>
      </c>
    </row>
    <row r="32" spans="1:15" ht="45" x14ac:dyDescent="0.25">
      <c r="A32" s="61">
        <v>143750</v>
      </c>
      <c r="B32" s="61">
        <v>24653</v>
      </c>
      <c r="C32" s="62" t="s">
        <v>114</v>
      </c>
      <c r="D32" s="62" t="s">
        <v>249</v>
      </c>
      <c r="E32" s="62" t="s">
        <v>115</v>
      </c>
      <c r="F32" s="62"/>
      <c r="G32" s="62" t="s">
        <v>3</v>
      </c>
      <c r="H32" s="63">
        <v>700</v>
      </c>
      <c r="I32" s="63">
        <v>1290</v>
      </c>
      <c r="J32" s="62" t="s">
        <v>193</v>
      </c>
      <c r="K32" s="62" t="s">
        <v>248</v>
      </c>
      <c r="L32" s="62"/>
      <c r="M32" s="62"/>
      <c r="N32" s="3" t="str">
        <f t="shared" si="0"/>
        <v>0</v>
      </c>
      <c r="O32" s="3" t="str">
        <f>INDEX(Кат!$H:$H,MATCH($A32,Кат!$A:$A,0))</f>
        <v>Севием</v>
      </c>
    </row>
    <row r="33" spans="1:15" ht="45" x14ac:dyDescent="0.25">
      <c r="A33" s="61">
        <v>143751</v>
      </c>
      <c r="B33" s="61">
        <v>24649</v>
      </c>
      <c r="C33" s="62" t="s">
        <v>50</v>
      </c>
      <c r="D33" s="62" t="s">
        <v>249</v>
      </c>
      <c r="E33" s="62"/>
      <c r="F33" s="62"/>
      <c r="G33" s="62" t="s">
        <v>3</v>
      </c>
      <c r="H33" s="63">
        <v>600</v>
      </c>
      <c r="I33" s="63">
        <v>1390</v>
      </c>
      <c r="J33" s="62" t="s">
        <v>191</v>
      </c>
      <c r="K33" s="62" t="s">
        <v>7</v>
      </c>
      <c r="L33" s="62"/>
      <c r="M33" s="62"/>
      <c r="N33" s="3" t="str">
        <f t="shared" si="0"/>
        <v>1</v>
      </c>
      <c r="O33" s="3" t="str">
        <f>INDEX(Кат!$H:$H,MATCH($A33,Кат!$A:$A,0))</f>
        <v>Севием</v>
      </c>
    </row>
    <row r="34" spans="1:15" ht="45" x14ac:dyDescent="0.25">
      <c r="A34" s="61">
        <v>143752</v>
      </c>
      <c r="B34" s="61">
        <v>24655</v>
      </c>
      <c r="C34" s="62" t="s">
        <v>49</v>
      </c>
      <c r="D34" s="62" t="s">
        <v>249</v>
      </c>
      <c r="E34" s="62"/>
      <c r="F34" s="62"/>
      <c r="G34" s="62" t="s">
        <v>3</v>
      </c>
      <c r="H34" s="63">
        <v>700</v>
      </c>
      <c r="I34" s="63">
        <v>1290</v>
      </c>
      <c r="J34" s="62" t="s">
        <v>194</v>
      </c>
      <c r="K34" s="62" t="s">
        <v>7</v>
      </c>
      <c r="L34" s="62" t="s">
        <v>7</v>
      </c>
      <c r="M34" s="62"/>
      <c r="N34" s="3" t="str">
        <f t="shared" si="0"/>
        <v>1ск1</v>
      </c>
      <c r="O34" s="3" t="str">
        <f>INDEX(Кат!$H:$H,MATCH($A34,Кат!$A:$A,0))</f>
        <v>Севием</v>
      </c>
    </row>
    <row r="35" spans="1:15" ht="45" x14ac:dyDescent="0.25">
      <c r="A35" s="61">
        <v>143753</v>
      </c>
      <c r="B35" s="61">
        <v>24651</v>
      </c>
      <c r="C35" s="62" t="s">
        <v>48</v>
      </c>
      <c r="D35" s="62" t="s">
        <v>249</v>
      </c>
      <c r="E35" s="62"/>
      <c r="F35" s="62"/>
      <c r="G35" s="62" t="s">
        <v>3</v>
      </c>
      <c r="H35" s="63">
        <v>600</v>
      </c>
      <c r="I35" s="63">
        <v>1290</v>
      </c>
      <c r="J35" s="62" t="s">
        <v>192</v>
      </c>
      <c r="K35" s="62" t="s">
        <v>7</v>
      </c>
      <c r="L35" s="62"/>
      <c r="M35" s="62" t="s">
        <v>249</v>
      </c>
      <c r="N35" s="3" t="str">
        <f t="shared" si="0"/>
        <v>1</v>
      </c>
      <c r="O35" s="3" t="str">
        <f>INDEX(Кат!$H:$H,MATCH($A35,Кат!$A:$A,0))</f>
        <v>Севием</v>
      </c>
    </row>
    <row r="36" spans="1:15" ht="45" x14ac:dyDescent="0.25">
      <c r="A36" s="61">
        <v>143754</v>
      </c>
      <c r="B36" s="61">
        <v>24654</v>
      </c>
      <c r="C36" s="62" t="s">
        <v>47</v>
      </c>
      <c r="D36" s="62" t="s">
        <v>249</v>
      </c>
      <c r="E36" s="62"/>
      <c r="F36" s="62"/>
      <c r="G36" s="62" t="s">
        <v>3</v>
      </c>
      <c r="H36" s="63">
        <v>900</v>
      </c>
      <c r="I36" s="63">
        <v>1290</v>
      </c>
      <c r="J36" s="62" t="s">
        <v>193</v>
      </c>
      <c r="K36" s="62" t="s">
        <v>7</v>
      </c>
      <c r="L36" s="62"/>
      <c r="M36" s="62"/>
      <c r="N36" s="3" t="str">
        <f t="shared" si="0"/>
        <v>1</v>
      </c>
      <c r="O36" s="3" t="str">
        <f>INDEX(Кат!$H:$H,MATCH($A36,Кат!$A:$A,0))</f>
        <v>Севием</v>
      </c>
    </row>
    <row r="37" spans="1:15" ht="45" x14ac:dyDescent="0.25">
      <c r="A37" s="61">
        <v>143755</v>
      </c>
      <c r="B37" s="61">
        <v>24650</v>
      </c>
      <c r="C37" s="62" t="s">
        <v>46</v>
      </c>
      <c r="D37" s="62" t="s">
        <v>249</v>
      </c>
      <c r="E37" s="62"/>
      <c r="F37" s="62"/>
      <c r="G37" s="62" t="s">
        <v>3</v>
      </c>
      <c r="H37" s="63">
        <v>600</v>
      </c>
      <c r="I37" s="63">
        <v>1390</v>
      </c>
      <c r="J37" s="62" t="s">
        <v>191</v>
      </c>
      <c r="K37" s="62" t="s">
        <v>7</v>
      </c>
      <c r="L37" s="62"/>
      <c r="M37" s="62"/>
      <c r="N37" s="3" t="str">
        <f t="shared" si="0"/>
        <v>1</v>
      </c>
      <c r="O37" s="3" t="str">
        <f>INDEX(Кат!$H:$H,MATCH($A37,Кат!$A:$A,0))</f>
        <v>Севием</v>
      </c>
    </row>
    <row r="38" spans="1:15" ht="45" x14ac:dyDescent="0.25">
      <c r="A38" s="61">
        <v>143756</v>
      </c>
      <c r="B38" s="61">
        <v>24656</v>
      </c>
      <c r="C38" s="62" t="s">
        <v>45</v>
      </c>
      <c r="D38" s="62" t="s">
        <v>249</v>
      </c>
      <c r="E38" s="62"/>
      <c r="F38" s="62"/>
      <c r="G38" s="62" t="s">
        <v>3</v>
      </c>
      <c r="H38" s="63">
        <v>600</v>
      </c>
      <c r="I38" s="63">
        <v>1290</v>
      </c>
      <c r="J38" s="62" t="s">
        <v>194</v>
      </c>
      <c r="K38" s="62" t="s">
        <v>7</v>
      </c>
      <c r="L38" s="62"/>
      <c r="M38" s="62"/>
      <c r="N38" s="3" t="str">
        <f t="shared" si="0"/>
        <v>1</v>
      </c>
      <c r="O38" s="3" t="str">
        <f>INDEX(Кат!$H:$H,MATCH($A38,Кат!$A:$A,0))</f>
        <v>Севием</v>
      </c>
    </row>
    <row r="39" spans="1:15" ht="45" x14ac:dyDescent="0.25">
      <c r="A39" s="61">
        <v>143757</v>
      </c>
      <c r="B39" s="61">
        <v>24652</v>
      </c>
      <c r="C39" s="62" t="s">
        <v>44</v>
      </c>
      <c r="D39" s="62" t="s">
        <v>249</v>
      </c>
      <c r="E39" s="62"/>
      <c r="F39" s="62"/>
      <c r="G39" s="62" t="s">
        <v>3</v>
      </c>
      <c r="H39" s="63">
        <v>600</v>
      </c>
      <c r="I39" s="63">
        <v>1290</v>
      </c>
      <c r="J39" s="62" t="s">
        <v>192</v>
      </c>
      <c r="K39" s="62" t="s">
        <v>7</v>
      </c>
      <c r="L39" s="62"/>
      <c r="M39" s="62"/>
      <c r="N39" s="3" t="str">
        <f t="shared" si="0"/>
        <v>1</v>
      </c>
      <c r="O39" s="3" t="str">
        <f>INDEX(Кат!$H:$H,MATCH($A39,Кат!$A:$A,0))</f>
        <v>Севием</v>
      </c>
    </row>
    <row r="40" spans="1:15" ht="60" x14ac:dyDescent="0.25">
      <c r="A40" s="61">
        <v>145329</v>
      </c>
      <c r="B40" s="61">
        <v>16804</v>
      </c>
      <c r="C40" s="62" t="s">
        <v>98</v>
      </c>
      <c r="D40" s="62" t="s">
        <v>249</v>
      </c>
      <c r="E40" s="62"/>
      <c r="F40" s="62"/>
      <c r="G40" s="62" t="s">
        <v>3</v>
      </c>
      <c r="H40" s="63">
        <v>700</v>
      </c>
      <c r="I40" s="63">
        <v>1190</v>
      </c>
      <c r="J40" s="62" t="s">
        <v>196</v>
      </c>
      <c r="K40" s="62" t="s">
        <v>7</v>
      </c>
      <c r="L40" s="62"/>
      <c r="M40" s="62"/>
      <c r="N40" s="3" t="str">
        <f t="shared" si="0"/>
        <v>1</v>
      </c>
      <c r="O40" s="3" t="str">
        <f>INDEX(Кат!$H:$H,MATCH($A40,Кат!$A:$A,0))</f>
        <v>Севием</v>
      </c>
    </row>
    <row r="41" spans="1:15" ht="45" x14ac:dyDescent="0.25">
      <c r="A41" s="61">
        <v>145429</v>
      </c>
      <c r="B41" s="61">
        <v>166965</v>
      </c>
      <c r="C41" s="62" t="s">
        <v>160</v>
      </c>
      <c r="D41" s="62" t="s">
        <v>249</v>
      </c>
      <c r="E41" s="62"/>
      <c r="F41" s="62"/>
      <c r="G41" s="62" t="s">
        <v>3</v>
      </c>
      <c r="H41" s="63">
        <v>1800</v>
      </c>
      <c r="I41" s="63">
        <v>3190</v>
      </c>
      <c r="J41" s="62"/>
      <c r="K41" s="62" t="s">
        <v>248</v>
      </c>
      <c r="L41" s="62"/>
      <c r="M41" s="62"/>
      <c r="N41" s="3" t="str">
        <f t="shared" si="0"/>
        <v>0</v>
      </c>
      <c r="O41" s="3" t="str">
        <f>INDEX(Кат!$H:$H,MATCH($A41,Кат!$A:$A,0))</f>
        <v>Севием</v>
      </c>
    </row>
    <row r="42" spans="1:15" ht="30" x14ac:dyDescent="0.25">
      <c r="A42" s="61">
        <v>145430</v>
      </c>
      <c r="B42" s="61">
        <v>28079</v>
      </c>
      <c r="C42" s="62" t="s">
        <v>295</v>
      </c>
      <c r="D42" s="62" t="s">
        <v>249</v>
      </c>
      <c r="E42" s="62"/>
      <c r="F42" s="62"/>
      <c r="G42" s="62" t="s">
        <v>3</v>
      </c>
      <c r="H42" s="63">
        <v>1500</v>
      </c>
      <c r="I42" s="63">
        <v>2690</v>
      </c>
      <c r="J42" s="62"/>
      <c r="K42" s="62" t="s">
        <v>7</v>
      </c>
      <c r="L42" s="62"/>
      <c r="M42" s="62"/>
      <c r="N42" s="3" t="str">
        <f t="shared" si="0"/>
        <v>1</v>
      </c>
      <c r="O42" s="3" t="str">
        <f>INDEX(Кат!$H:$H,MATCH($A42,Кат!$A:$A,0))</f>
        <v>Севием</v>
      </c>
    </row>
    <row r="43" spans="1:15" ht="45" x14ac:dyDescent="0.25">
      <c r="A43" s="61">
        <v>145494</v>
      </c>
      <c r="B43" s="61">
        <v>34087</v>
      </c>
      <c r="C43" s="62" t="s">
        <v>22</v>
      </c>
      <c r="D43" s="62" t="s">
        <v>249</v>
      </c>
      <c r="E43" s="62"/>
      <c r="F43" s="62"/>
      <c r="G43" s="62" t="s">
        <v>3</v>
      </c>
      <c r="H43" s="63">
        <v>3300</v>
      </c>
      <c r="I43" s="63">
        <v>4490</v>
      </c>
      <c r="J43" s="62" t="s">
        <v>178</v>
      </c>
      <c r="K43" s="62" t="s">
        <v>7</v>
      </c>
      <c r="L43" s="62"/>
      <c r="M43" s="62"/>
      <c r="N43" s="3" t="str">
        <f t="shared" si="0"/>
        <v>1</v>
      </c>
      <c r="O43" s="3" t="str">
        <f>INDEX(Кат!$H:$H,MATCH($A43,Кат!$A:$A,0))</f>
        <v>Севием</v>
      </c>
    </row>
    <row r="44" spans="1:15" ht="30" x14ac:dyDescent="0.25">
      <c r="A44" s="61">
        <v>145563</v>
      </c>
      <c r="B44" s="61">
        <v>11769</v>
      </c>
      <c r="C44" s="62" t="s">
        <v>296</v>
      </c>
      <c r="D44" s="62" t="s">
        <v>249</v>
      </c>
      <c r="E44" s="62"/>
      <c r="F44" s="62"/>
      <c r="G44" s="62" t="s">
        <v>3</v>
      </c>
      <c r="H44" s="63">
        <v>1700</v>
      </c>
      <c r="I44" s="63">
        <v>2990</v>
      </c>
      <c r="J44" s="62"/>
      <c r="K44" s="62" t="s">
        <v>7</v>
      </c>
      <c r="L44" s="62"/>
      <c r="M44" s="62"/>
      <c r="N44" s="3" t="str">
        <f t="shared" si="0"/>
        <v>1</v>
      </c>
      <c r="O44" s="3" t="str">
        <f>INDEX(Кат!$H:$H,MATCH($A44,Кат!$A:$A,0))</f>
        <v>Севием</v>
      </c>
    </row>
    <row r="45" spans="1:15" ht="30" x14ac:dyDescent="0.25">
      <c r="A45" s="61">
        <v>145575</v>
      </c>
      <c r="B45" s="61">
        <v>32820</v>
      </c>
      <c r="C45" s="62" t="s">
        <v>43</v>
      </c>
      <c r="D45" s="62" t="s">
        <v>249</v>
      </c>
      <c r="E45" s="62" t="s">
        <v>120</v>
      </c>
      <c r="F45" s="62"/>
      <c r="G45" s="62" t="s">
        <v>3</v>
      </c>
      <c r="H45" s="63">
        <v>2700</v>
      </c>
      <c r="I45" s="63">
        <v>4090</v>
      </c>
      <c r="J45" s="62" t="s">
        <v>175</v>
      </c>
      <c r="K45" s="62" t="s">
        <v>7</v>
      </c>
      <c r="L45" s="62"/>
      <c r="M45" s="62"/>
      <c r="N45" s="3" t="str">
        <f t="shared" si="0"/>
        <v>1</v>
      </c>
      <c r="O45" s="3" t="str">
        <f>INDEX(Кат!$H:$H,MATCH($A45,Кат!$A:$A,0))</f>
        <v>Севием</v>
      </c>
    </row>
    <row r="46" spans="1:15" ht="45" x14ac:dyDescent="0.25">
      <c r="A46" s="61">
        <v>153108</v>
      </c>
      <c r="B46" s="61">
        <v>25084</v>
      </c>
      <c r="C46" s="62" t="s">
        <v>42</v>
      </c>
      <c r="D46" s="62" t="s">
        <v>249</v>
      </c>
      <c r="E46" s="62"/>
      <c r="F46" s="62"/>
      <c r="G46" s="62" t="s">
        <v>3</v>
      </c>
      <c r="H46" s="63">
        <v>500</v>
      </c>
      <c r="I46" s="63">
        <v>879</v>
      </c>
      <c r="J46" s="62"/>
      <c r="K46" s="62" t="s">
        <v>7</v>
      </c>
      <c r="L46" s="62"/>
      <c r="M46" s="62"/>
      <c r="N46" s="3" t="str">
        <f t="shared" si="0"/>
        <v>1</v>
      </c>
      <c r="O46" s="3" t="str">
        <f>INDEX(Кат!$H:$H,MATCH($A46,Кат!$A:$A,0))</f>
        <v>Севием</v>
      </c>
    </row>
    <row r="47" spans="1:15" ht="30" x14ac:dyDescent="0.25">
      <c r="A47" s="61">
        <v>155775</v>
      </c>
      <c r="B47" s="61">
        <v>4828</v>
      </c>
      <c r="C47" s="62" t="s">
        <v>6</v>
      </c>
      <c r="D47" s="62" t="s">
        <v>249</v>
      </c>
      <c r="E47" s="62"/>
      <c r="F47" s="62"/>
      <c r="G47" s="62" t="s">
        <v>3</v>
      </c>
      <c r="H47" s="63">
        <v>300</v>
      </c>
      <c r="I47" s="63">
        <v>629</v>
      </c>
      <c r="J47" s="62" t="s">
        <v>209</v>
      </c>
      <c r="K47" s="62" t="s">
        <v>7</v>
      </c>
      <c r="L47" s="62"/>
      <c r="M47" s="62"/>
      <c r="N47" s="3" t="str">
        <f t="shared" si="0"/>
        <v>1</v>
      </c>
      <c r="O47" s="3" t="str">
        <f>INDEX(Кат!$H:$H,MATCH($A47,Кат!$A:$A,0))</f>
        <v>Севием</v>
      </c>
    </row>
    <row r="48" spans="1:15" ht="30" x14ac:dyDescent="0.25">
      <c r="A48" s="61">
        <v>155778</v>
      </c>
      <c r="B48" s="61">
        <v>29053</v>
      </c>
      <c r="C48" s="62" t="s">
        <v>41</v>
      </c>
      <c r="D48" s="62" t="s">
        <v>249</v>
      </c>
      <c r="E48" s="62"/>
      <c r="F48" s="62"/>
      <c r="G48" s="62" t="s">
        <v>3</v>
      </c>
      <c r="H48" s="63">
        <v>600</v>
      </c>
      <c r="I48" s="63">
        <v>1090</v>
      </c>
      <c r="J48" s="62"/>
      <c r="K48" s="62" t="s">
        <v>7</v>
      </c>
      <c r="L48" s="62"/>
      <c r="M48" s="62"/>
      <c r="N48" s="3" t="str">
        <f t="shared" si="0"/>
        <v>1</v>
      </c>
      <c r="O48" s="3" t="str">
        <f>INDEX(Кат!$H:$H,MATCH($A48,Кат!$A:$A,0))</f>
        <v>Севием</v>
      </c>
    </row>
    <row r="49" spans="1:15" ht="30" x14ac:dyDescent="0.25">
      <c r="A49" s="61">
        <v>155783</v>
      </c>
      <c r="B49" s="61">
        <v>29181</v>
      </c>
      <c r="C49" s="62" t="s">
        <v>20</v>
      </c>
      <c r="D49" s="62" t="s">
        <v>249</v>
      </c>
      <c r="E49" s="62"/>
      <c r="F49" s="62"/>
      <c r="G49" s="62" t="s">
        <v>3</v>
      </c>
      <c r="H49" s="63">
        <v>600</v>
      </c>
      <c r="I49" s="63">
        <v>1090</v>
      </c>
      <c r="J49" s="62"/>
      <c r="K49" s="62" t="s">
        <v>7</v>
      </c>
      <c r="L49" s="62"/>
      <c r="M49" s="62" t="s">
        <v>249</v>
      </c>
      <c r="N49" s="3" t="str">
        <f t="shared" si="0"/>
        <v>1</v>
      </c>
      <c r="O49" s="3" t="str">
        <f>INDEX(Кат!$H:$H,MATCH($A49,Кат!$A:$A,0))</f>
        <v>Севием</v>
      </c>
    </row>
    <row r="50" spans="1:15" ht="45" x14ac:dyDescent="0.25">
      <c r="A50" s="61">
        <v>247407</v>
      </c>
      <c r="B50" s="61">
        <v>180365</v>
      </c>
      <c r="C50" s="62" t="s">
        <v>313</v>
      </c>
      <c r="D50" s="62" t="s">
        <v>249</v>
      </c>
      <c r="E50" s="62" t="s">
        <v>168</v>
      </c>
      <c r="F50" s="62"/>
      <c r="G50" s="62" t="s">
        <v>3</v>
      </c>
      <c r="H50" s="63">
        <v>50</v>
      </c>
      <c r="I50" s="63">
        <v>259</v>
      </c>
      <c r="J50" s="62" t="s">
        <v>268</v>
      </c>
      <c r="K50" s="62" t="s">
        <v>7</v>
      </c>
      <c r="L50" s="62"/>
      <c r="M50" s="62"/>
      <c r="N50" s="3" t="str">
        <f t="shared" si="0"/>
        <v>1</v>
      </c>
      <c r="O50" s="3" t="str">
        <f>INDEX(Кат!$H:$H,MATCH($A50,Кат!$A:$A,0))</f>
        <v>Севием</v>
      </c>
    </row>
    <row r="51" spans="1:15" ht="60" x14ac:dyDescent="0.25">
      <c r="A51" s="61">
        <v>158512</v>
      </c>
      <c r="B51" s="61">
        <v>23773</v>
      </c>
      <c r="C51" s="62" t="s">
        <v>252</v>
      </c>
      <c r="D51" s="62" t="s">
        <v>249</v>
      </c>
      <c r="E51" s="62"/>
      <c r="F51" s="62"/>
      <c r="G51" s="62" t="s">
        <v>3</v>
      </c>
      <c r="H51" s="63">
        <v>1200</v>
      </c>
      <c r="I51" s="63">
        <v>2590</v>
      </c>
      <c r="J51" s="62" t="s">
        <v>302</v>
      </c>
      <c r="K51" s="62" t="s">
        <v>7</v>
      </c>
      <c r="L51" s="62"/>
      <c r="M51" s="62"/>
      <c r="N51" s="3" t="str">
        <f t="shared" si="0"/>
        <v>1</v>
      </c>
      <c r="O51" s="3" t="str">
        <f>INDEX(Кат!$H:$H,MATCH($A51,Кат!$A:$A,0))</f>
        <v>Севием</v>
      </c>
    </row>
    <row r="52" spans="1:15" ht="60" x14ac:dyDescent="0.25">
      <c r="A52" s="61">
        <v>158511</v>
      </c>
      <c r="B52" s="61">
        <v>21040</v>
      </c>
      <c r="C52" s="62" t="s">
        <v>108</v>
      </c>
      <c r="D52" s="62" t="s">
        <v>249</v>
      </c>
      <c r="E52" s="62" t="s">
        <v>109</v>
      </c>
      <c r="F52" s="62"/>
      <c r="G52" s="62" t="s">
        <v>3</v>
      </c>
      <c r="H52" s="63">
        <v>1500</v>
      </c>
      <c r="I52" s="63">
        <v>1990</v>
      </c>
      <c r="J52" s="62" t="s">
        <v>202</v>
      </c>
      <c r="K52" s="62" t="s">
        <v>7</v>
      </c>
      <c r="L52" s="62"/>
      <c r="M52" s="62"/>
      <c r="N52" s="3" t="str">
        <f t="shared" si="0"/>
        <v>1</v>
      </c>
      <c r="O52" s="3" t="str">
        <f>INDEX(Кат!$H:$H,MATCH($A52,Кат!$A:$A,0))</f>
        <v>Севием</v>
      </c>
    </row>
    <row r="53" spans="1:15" ht="30" x14ac:dyDescent="0.25">
      <c r="A53" s="61">
        <v>159503</v>
      </c>
      <c r="B53" s="61">
        <v>25951</v>
      </c>
      <c r="C53" s="62" t="s">
        <v>18</v>
      </c>
      <c r="D53" s="62" t="s">
        <v>249</v>
      </c>
      <c r="E53" s="62"/>
      <c r="F53" s="62"/>
      <c r="G53" s="62" t="s">
        <v>3</v>
      </c>
      <c r="H53" s="63">
        <v>10500</v>
      </c>
      <c r="I53" s="63">
        <v>14190</v>
      </c>
      <c r="J53" s="62"/>
      <c r="K53" s="62" t="s">
        <v>7</v>
      </c>
      <c r="L53" s="62"/>
      <c r="M53" s="62"/>
      <c r="N53" s="3" t="str">
        <f t="shared" si="0"/>
        <v>1</v>
      </c>
      <c r="O53" s="3" t="str">
        <f>INDEX(Кат!$H:$H,MATCH($A53,Кат!$A:$A,0))</f>
        <v>Севием</v>
      </c>
    </row>
    <row r="54" spans="1:15" ht="30" x14ac:dyDescent="0.25">
      <c r="A54" s="61">
        <v>247460</v>
      </c>
      <c r="B54" s="61">
        <v>180190</v>
      </c>
      <c r="C54" s="62" t="s">
        <v>162</v>
      </c>
      <c r="D54" s="62" t="s">
        <v>249</v>
      </c>
      <c r="E54" s="62" t="s">
        <v>163</v>
      </c>
      <c r="F54" s="62"/>
      <c r="G54" s="62" t="s">
        <v>3</v>
      </c>
      <c r="H54" s="63">
        <v>1700</v>
      </c>
      <c r="I54" s="63">
        <v>3090</v>
      </c>
      <c r="J54" s="62" t="s">
        <v>304</v>
      </c>
      <c r="K54" s="62" t="s">
        <v>248</v>
      </c>
      <c r="L54" s="62"/>
      <c r="M54" s="62"/>
      <c r="N54" s="3" t="str">
        <f t="shared" si="0"/>
        <v>0</v>
      </c>
      <c r="O54" s="3" t="str">
        <f>INDEX(Кат!$H:$H,MATCH($A54,Кат!$A:$A,0))</f>
        <v>Севием</v>
      </c>
    </row>
    <row r="55" spans="1:15" ht="30" x14ac:dyDescent="0.25">
      <c r="A55" s="61">
        <v>247461</v>
      </c>
      <c r="B55" s="61">
        <v>180197</v>
      </c>
      <c r="C55" s="62" t="s">
        <v>167</v>
      </c>
      <c r="D55" s="62" t="s">
        <v>249</v>
      </c>
      <c r="E55" s="62"/>
      <c r="F55" s="62"/>
      <c r="G55" s="62" t="s">
        <v>3</v>
      </c>
      <c r="H55" s="63">
        <v>1200</v>
      </c>
      <c r="I55" s="63">
        <v>2490</v>
      </c>
      <c r="J55" s="62" t="s">
        <v>201</v>
      </c>
      <c r="K55" s="62" t="s">
        <v>7</v>
      </c>
      <c r="L55" s="62"/>
      <c r="M55" s="62"/>
      <c r="N55" s="3" t="str">
        <f t="shared" si="0"/>
        <v>1</v>
      </c>
      <c r="O55" s="3" t="str">
        <f>INDEX(Кат!$H:$H,MATCH($A55,Кат!$A:$A,0))</f>
        <v>Севием</v>
      </c>
    </row>
    <row r="56" spans="1:15" ht="30" x14ac:dyDescent="0.25">
      <c r="A56" s="61">
        <v>247463</v>
      </c>
      <c r="B56" s="61">
        <v>180192</v>
      </c>
      <c r="C56" s="62" t="s">
        <v>164</v>
      </c>
      <c r="D56" s="62" t="s">
        <v>249</v>
      </c>
      <c r="E56" s="62" t="s">
        <v>165</v>
      </c>
      <c r="F56" s="62"/>
      <c r="G56" s="62" t="s">
        <v>3</v>
      </c>
      <c r="H56" s="63">
        <v>1700</v>
      </c>
      <c r="I56" s="63">
        <v>3090</v>
      </c>
      <c r="J56" s="62" t="s">
        <v>305</v>
      </c>
      <c r="K56" s="62" t="s">
        <v>248</v>
      </c>
      <c r="L56" s="62"/>
      <c r="M56" s="62" t="s">
        <v>249</v>
      </c>
      <c r="N56" s="3" t="str">
        <f t="shared" si="0"/>
        <v>0</v>
      </c>
      <c r="O56" s="3" t="str">
        <f>INDEX(Кат!$H:$H,MATCH($A56,Кат!$A:$A,0))</f>
        <v>Севием</v>
      </c>
    </row>
    <row r="57" spans="1:15" ht="30" x14ac:dyDescent="0.25">
      <c r="A57" s="61">
        <v>247464</v>
      </c>
      <c r="B57" s="61">
        <v>180196</v>
      </c>
      <c r="C57" s="62" t="s">
        <v>166</v>
      </c>
      <c r="D57" s="62" t="s">
        <v>249</v>
      </c>
      <c r="E57" s="62"/>
      <c r="F57" s="62"/>
      <c r="G57" s="62" t="s">
        <v>3</v>
      </c>
      <c r="H57" s="63">
        <v>1200</v>
      </c>
      <c r="I57" s="63">
        <v>2490</v>
      </c>
      <c r="J57" s="62" t="s">
        <v>200</v>
      </c>
      <c r="K57" s="62" t="s">
        <v>7</v>
      </c>
      <c r="L57" s="62"/>
      <c r="M57" s="62"/>
      <c r="N57" s="3" t="str">
        <f t="shared" si="0"/>
        <v>1</v>
      </c>
      <c r="O57" s="3" t="str">
        <f>INDEX(Кат!$H:$H,MATCH($A57,Кат!$A:$A,0))</f>
        <v>Севием</v>
      </c>
    </row>
    <row r="58" spans="1:15" x14ac:dyDescent="0.25">
      <c r="A58" s="61">
        <v>162826</v>
      </c>
      <c r="B58" s="61">
        <v>5129</v>
      </c>
      <c r="C58" s="62" t="s">
        <v>91</v>
      </c>
      <c r="D58" s="62" t="s">
        <v>249</v>
      </c>
      <c r="E58" s="62"/>
      <c r="F58" s="62"/>
      <c r="G58" s="62" t="s">
        <v>3</v>
      </c>
      <c r="H58" s="63">
        <v>1500</v>
      </c>
      <c r="I58" s="63">
        <v>2690</v>
      </c>
      <c r="J58" s="62"/>
      <c r="K58" s="62" t="s">
        <v>7</v>
      </c>
      <c r="L58" s="62"/>
      <c r="M58" s="62"/>
      <c r="N58" s="3" t="str">
        <f t="shared" si="0"/>
        <v>1</v>
      </c>
      <c r="O58" s="3" t="str">
        <f>INDEX(Кат!$H:$H,MATCH($A58,Кат!$A:$A,0))</f>
        <v>Севием</v>
      </c>
    </row>
    <row r="59" spans="1:15" ht="60" x14ac:dyDescent="0.25">
      <c r="A59" s="61">
        <v>162939</v>
      </c>
      <c r="B59" s="61">
        <v>18909</v>
      </c>
      <c r="C59" s="62" t="s">
        <v>104</v>
      </c>
      <c r="D59" s="62" t="s">
        <v>249</v>
      </c>
      <c r="E59" s="62"/>
      <c r="F59" s="62"/>
      <c r="G59" s="62" t="s">
        <v>3</v>
      </c>
      <c r="H59" s="63">
        <v>3000</v>
      </c>
      <c r="I59" s="63">
        <v>4090</v>
      </c>
      <c r="J59" s="62"/>
      <c r="K59" s="62" t="s">
        <v>248</v>
      </c>
      <c r="L59" s="62"/>
      <c r="M59" s="62"/>
      <c r="N59" s="3" t="str">
        <f t="shared" si="0"/>
        <v>0</v>
      </c>
      <c r="O59" s="3" t="str">
        <f>INDEX(Кат!$H:$H,MATCH($A59,Кат!$A:$A,0))</f>
        <v>Севием</v>
      </c>
    </row>
    <row r="60" spans="1:15" ht="30" x14ac:dyDescent="0.25">
      <c r="A60" s="61">
        <v>170718</v>
      </c>
      <c r="B60" s="61">
        <v>25063</v>
      </c>
      <c r="C60" s="62" t="s">
        <v>40</v>
      </c>
      <c r="D60" s="62" t="s">
        <v>249</v>
      </c>
      <c r="E60" s="62"/>
      <c r="F60" s="62"/>
      <c r="G60" s="62" t="s">
        <v>3</v>
      </c>
      <c r="H60" s="63">
        <v>900</v>
      </c>
      <c r="I60" s="63">
        <v>1590</v>
      </c>
      <c r="J60" s="62"/>
      <c r="K60" s="62" t="s">
        <v>7</v>
      </c>
      <c r="L60" s="62"/>
      <c r="M60" s="62" t="s">
        <v>249</v>
      </c>
      <c r="N60" s="3" t="str">
        <f t="shared" si="0"/>
        <v>1</v>
      </c>
      <c r="O60" s="3" t="str">
        <f>INDEX(Кат!$H:$H,MATCH($A60,Кат!$A:$A,0))</f>
        <v>Севием</v>
      </c>
    </row>
    <row r="61" spans="1:15" ht="30" x14ac:dyDescent="0.25">
      <c r="A61" s="61">
        <v>170719</v>
      </c>
      <c r="B61" s="61">
        <v>32894</v>
      </c>
      <c r="C61" s="62" t="s">
        <v>39</v>
      </c>
      <c r="D61" s="62" t="s">
        <v>249</v>
      </c>
      <c r="E61" s="62"/>
      <c r="F61" s="62"/>
      <c r="G61" s="62" t="s">
        <v>3</v>
      </c>
      <c r="H61" s="63">
        <v>900</v>
      </c>
      <c r="I61" s="63">
        <v>1590</v>
      </c>
      <c r="J61" s="62"/>
      <c r="K61" s="62" t="s">
        <v>7</v>
      </c>
      <c r="L61" s="62"/>
      <c r="M61" s="62"/>
      <c r="N61" s="3" t="str">
        <f t="shared" si="0"/>
        <v>1</v>
      </c>
      <c r="O61" s="3" t="str">
        <f>INDEX(Кат!$H:$H,MATCH($A61,Кат!$A:$A,0))</f>
        <v>Севием</v>
      </c>
    </row>
    <row r="62" spans="1:15" ht="30" x14ac:dyDescent="0.25">
      <c r="A62" s="61">
        <v>250385</v>
      </c>
      <c r="B62" s="61">
        <v>196471</v>
      </c>
      <c r="C62" s="62" t="s">
        <v>171</v>
      </c>
      <c r="D62" s="62" t="s">
        <v>249</v>
      </c>
      <c r="E62" s="62"/>
      <c r="F62" s="62"/>
      <c r="G62" s="62" t="s">
        <v>3</v>
      </c>
      <c r="H62" s="63">
        <v>100</v>
      </c>
      <c r="I62" s="63">
        <v>309</v>
      </c>
      <c r="J62" s="62" t="s">
        <v>207</v>
      </c>
      <c r="K62" s="62" t="s">
        <v>7</v>
      </c>
      <c r="L62" s="62" t="s">
        <v>88</v>
      </c>
      <c r="M62" s="62"/>
      <c r="N62" s="3" t="str">
        <f t="shared" si="0"/>
        <v>1ск4</v>
      </c>
      <c r="O62" s="3" t="str">
        <f>INDEX(Кат!$H:$H,MATCH($A62,Кат!$A:$A,0))</f>
        <v>Севием</v>
      </c>
    </row>
    <row r="63" spans="1:15" ht="75" x14ac:dyDescent="0.25">
      <c r="A63" s="61">
        <v>187235</v>
      </c>
      <c r="B63" s="61">
        <v>133269</v>
      </c>
      <c r="C63" s="62" t="s">
        <v>151</v>
      </c>
      <c r="D63" s="62" t="s">
        <v>249</v>
      </c>
      <c r="E63" s="62"/>
      <c r="F63" s="62"/>
      <c r="G63" s="62" t="s">
        <v>3</v>
      </c>
      <c r="H63" s="63">
        <v>9000</v>
      </c>
      <c r="I63" s="63">
        <v>15890</v>
      </c>
      <c r="J63" s="62" t="s">
        <v>314</v>
      </c>
      <c r="K63" s="62" t="s">
        <v>7</v>
      </c>
      <c r="L63" s="62"/>
      <c r="M63" s="62"/>
      <c r="N63" s="3" t="str">
        <f t="shared" si="0"/>
        <v>1</v>
      </c>
      <c r="O63" s="3" t="str">
        <f>INDEX(Кат!$H:$H,MATCH($A63,Кат!$A:$A,0))</f>
        <v>Севием</v>
      </c>
    </row>
    <row r="64" spans="1:15" ht="30" x14ac:dyDescent="0.25">
      <c r="A64" s="61">
        <v>187236</v>
      </c>
      <c r="B64" s="61">
        <v>32823</v>
      </c>
      <c r="C64" s="62" t="s">
        <v>297</v>
      </c>
      <c r="D64" s="62" t="s">
        <v>249</v>
      </c>
      <c r="E64" s="62"/>
      <c r="F64" s="62"/>
      <c r="G64" s="62" t="s">
        <v>3</v>
      </c>
      <c r="H64" s="63">
        <v>5000</v>
      </c>
      <c r="I64" s="63">
        <v>6990</v>
      </c>
      <c r="J64" s="62" t="s">
        <v>179</v>
      </c>
      <c r="K64" s="62" t="s">
        <v>7</v>
      </c>
      <c r="L64" s="62"/>
      <c r="M64" s="62"/>
      <c r="N64" s="3" t="str">
        <f t="shared" si="0"/>
        <v>1</v>
      </c>
      <c r="O64" s="3" t="str">
        <f>INDEX(Кат!$H:$H,MATCH($A64,Кат!$A:$A,0))</f>
        <v>Севием</v>
      </c>
    </row>
    <row r="65" spans="1:15" ht="30" x14ac:dyDescent="0.25">
      <c r="A65" s="61">
        <v>187502</v>
      </c>
      <c r="B65" s="61">
        <v>24475</v>
      </c>
      <c r="C65" s="62" t="s">
        <v>16</v>
      </c>
      <c r="D65" s="62" t="s">
        <v>249</v>
      </c>
      <c r="E65" s="62"/>
      <c r="F65" s="62"/>
      <c r="G65" s="62" t="s">
        <v>3</v>
      </c>
      <c r="H65" s="63">
        <v>9900</v>
      </c>
      <c r="I65" s="63">
        <v>13890</v>
      </c>
      <c r="J65" s="62"/>
      <c r="K65" s="62" t="s">
        <v>7</v>
      </c>
      <c r="L65" s="62"/>
      <c r="M65" s="62" t="s">
        <v>249</v>
      </c>
      <c r="N65" s="3" t="str">
        <f t="shared" si="0"/>
        <v>1</v>
      </c>
      <c r="O65" s="3" t="str">
        <f>INDEX(Кат!$H:$H,MATCH($A65,Кат!$A:$A,0))</f>
        <v>Севием</v>
      </c>
    </row>
    <row r="66" spans="1:15" ht="30" x14ac:dyDescent="0.25">
      <c r="A66" s="61">
        <v>194070</v>
      </c>
      <c r="B66" s="61">
        <v>23760</v>
      </c>
      <c r="C66" s="62" t="s">
        <v>111</v>
      </c>
      <c r="D66" s="62" t="s">
        <v>249</v>
      </c>
      <c r="E66" s="62"/>
      <c r="F66" s="62"/>
      <c r="G66" s="62" t="s">
        <v>3</v>
      </c>
      <c r="H66" s="63">
        <v>600</v>
      </c>
      <c r="I66" s="63">
        <v>989</v>
      </c>
      <c r="J66" s="62" t="s">
        <v>285</v>
      </c>
      <c r="K66" s="62" t="s">
        <v>7</v>
      </c>
      <c r="L66" s="62"/>
      <c r="M66" s="62"/>
      <c r="N66" s="3" t="str">
        <f t="shared" si="0"/>
        <v>1</v>
      </c>
      <c r="O66" s="3" t="str">
        <f>INDEX(Кат!$H:$H,MATCH($A66,Кат!$A:$A,0))</f>
        <v>Севием</v>
      </c>
    </row>
    <row r="67" spans="1:15" ht="60" x14ac:dyDescent="0.25">
      <c r="A67" s="61">
        <v>194072</v>
      </c>
      <c r="B67" s="61">
        <v>48000</v>
      </c>
      <c r="C67" s="62" t="s">
        <v>150</v>
      </c>
      <c r="D67" s="62" t="s">
        <v>249</v>
      </c>
      <c r="E67" s="62"/>
      <c r="F67" s="62"/>
      <c r="G67" s="62" t="s">
        <v>3</v>
      </c>
      <c r="H67" s="63">
        <v>240</v>
      </c>
      <c r="I67" s="63">
        <v>529</v>
      </c>
      <c r="J67" s="62" t="s">
        <v>274</v>
      </c>
      <c r="K67" s="62" t="s">
        <v>7</v>
      </c>
      <c r="L67" s="62"/>
      <c r="M67" s="62"/>
      <c r="N67" s="3" t="str">
        <f t="shared" ref="N67:N130" si="1">_xlfn.CONCAT(K67,IF(L67&lt;&gt;"",_xlfn.CONCAT("ск",L67),""))</f>
        <v>1</v>
      </c>
      <c r="O67" s="3" t="str">
        <f>INDEX(Кат!$H:$H,MATCH($A67,Кат!$A:$A,0))</f>
        <v>Севием</v>
      </c>
    </row>
    <row r="68" spans="1:15" ht="45" x14ac:dyDescent="0.25">
      <c r="A68" s="61">
        <v>194089</v>
      </c>
      <c r="B68" s="61">
        <v>37551</v>
      </c>
      <c r="C68" s="62" t="s">
        <v>125</v>
      </c>
      <c r="D68" s="62" t="s">
        <v>249</v>
      </c>
      <c r="E68" s="62"/>
      <c r="F68" s="62"/>
      <c r="G68" s="62" t="s">
        <v>3</v>
      </c>
      <c r="H68" s="63">
        <v>500</v>
      </c>
      <c r="I68" s="63">
        <v>879</v>
      </c>
      <c r="J68" s="62"/>
      <c r="K68" s="62" t="s">
        <v>7</v>
      </c>
      <c r="L68" s="62" t="s">
        <v>7</v>
      </c>
      <c r="M68" s="62"/>
      <c r="N68" s="3" t="str">
        <f t="shared" si="1"/>
        <v>1ск1</v>
      </c>
      <c r="O68" s="3" t="str">
        <f>INDEX(Кат!$H:$H,MATCH($A68,Кат!$A:$A,0))</f>
        <v>Севием</v>
      </c>
    </row>
    <row r="69" spans="1:15" ht="45" x14ac:dyDescent="0.25">
      <c r="A69" s="61">
        <v>194094</v>
      </c>
      <c r="B69" s="61">
        <v>59726</v>
      </c>
      <c r="C69" s="62" t="s">
        <v>133</v>
      </c>
      <c r="D69" s="62" t="s">
        <v>249</v>
      </c>
      <c r="E69" s="62"/>
      <c r="F69" s="62"/>
      <c r="G69" s="62" t="s">
        <v>3</v>
      </c>
      <c r="H69" s="63">
        <v>600</v>
      </c>
      <c r="I69" s="63">
        <v>1090</v>
      </c>
      <c r="J69" s="62"/>
      <c r="K69" s="62" t="s">
        <v>7</v>
      </c>
      <c r="L69" s="62" t="s">
        <v>7</v>
      </c>
      <c r="M69" s="62"/>
      <c r="N69" s="3" t="str">
        <f t="shared" si="1"/>
        <v>1ск1</v>
      </c>
      <c r="O69" s="3" t="str">
        <f>INDEX(Кат!$H:$H,MATCH($A69,Кат!$A:$A,0))</f>
        <v>Севием</v>
      </c>
    </row>
    <row r="70" spans="1:15" ht="30" x14ac:dyDescent="0.25">
      <c r="A70" s="61">
        <v>194923</v>
      </c>
      <c r="B70" s="61">
        <v>4168</v>
      </c>
      <c r="C70" s="62" t="s">
        <v>4</v>
      </c>
      <c r="D70" s="62" t="s">
        <v>249</v>
      </c>
      <c r="E70" s="62"/>
      <c r="F70" s="62"/>
      <c r="G70" s="62" t="s">
        <v>3</v>
      </c>
      <c r="H70" s="63">
        <v>300</v>
      </c>
      <c r="I70" s="63">
        <v>629</v>
      </c>
      <c r="J70" s="62" t="s">
        <v>186</v>
      </c>
      <c r="K70" s="62" t="s">
        <v>7</v>
      </c>
      <c r="L70" s="62"/>
      <c r="M70" s="62"/>
      <c r="N70" s="3" t="str">
        <f t="shared" si="1"/>
        <v>1</v>
      </c>
      <c r="O70" s="3" t="str">
        <f>INDEX(Кат!$H:$H,MATCH($A70,Кат!$A:$A,0))</f>
        <v>Севием</v>
      </c>
    </row>
    <row r="71" spans="1:15" ht="30" x14ac:dyDescent="0.25">
      <c r="A71" s="61">
        <v>194925</v>
      </c>
      <c r="B71" s="61">
        <v>4169</v>
      </c>
      <c r="C71" s="62" t="s">
        <v>5</v>
      </c>
      <c r="D71" s="62" t="s">
        <v>249</v>
      </c>
      <c r="E71" s="62"/>
      <c r="F71" s="62"/>
      <c r="G71" s="62" t="s">
        <v>3</v>
      </c>
      <c r="H71" s="63">
        <v>300</v>
      </c>
      <c r="I71" s="63">
        <v>629</v>
      </c>
      <c r="J71" s="62" t="s">
        <v>186</v>
      </c>
      <c r="K71" s="62" t="s">
        <v>7</v>
      </c>
      <c r="L71" s="62"/>
      <c r="M71" s="62"/>
      <c r="N71" s="3" t="str">
        <f t="shared" si="1"/>
        <v>1</v>
      </c>
      <c r="O71" s="3" t="str">
        <f>INDEX(Кат!$H:$H,MATCH($A71,Кат!$A:$A,0))</f>
        <v>Севием</v>
      </c>
    </row>
    <row r="72" spans="1:15" ht="30" x14ac:dyDescent="0.25">
      <c r="A72" s="61">
        <v>201803</v>
      </c>
      <c r="B72" s="61">
        <v>23973</v>
      </c>
      <c r="C72" s="62" t="s">
        <v>15</v>
      </c>
      <c r="D72" s="62" t="s">
        <v>249</v>
      </c>
      <c r="E72" s="62"/>
      <c r="F72" s="62"/>
      <c r="G72" s="62" t="s">
        <v>3</v>
      </c>
      <c r="H72" s="63">
        <v>0</v>
      </c>
      <c r="I72" s="63">
        <v>3790</v>
      </c>
      <c r="J72" s="62"/>
      <c r="K72" s="62" t="s">
        <v>248</v>
      </c>
      <c r="L72" s="62"/>
      <c r="M72" s="62"/>
      <c r="N72" s="3" t="str">
        <f t="shared" si="1"/>
        <v>0</v>
      </c>
      <c r="O72" s="3" t="str">
        <f>INDEX(Кат!$H:$H,MATCH($A72,Кат!$A:$A,0))</f>
        <v>Севием</v>
      </c>
    </row>
    <row r="73" spans="1:15" ht="30" x14ac:dyDescent="0.25">
      <c r="A73" s="61">
        <v>201805</v>
      </c>
      <c r="B73" s="61">
        <v>4235</v>
      </c>
      <c r="C73" s="62" t="s">
        <v>90</v>
      </c>
      <c r="D73" s="62" t="s">
        <v>249</v>
      </c>
      <c r="E73" s="62"/>
      <c r="F73" s="62"/>
      <c r="G73" s="62" t="s">
        <v>3</v>
      </c>
      <c r="H73" s="63">
        <v>700</v>
      </c>
      <c r="I73" s="63">
        <v>1190</v>
      </c>
      <c r="J73" s="62" t="s">
        <v>195</v>
      </c>
      <c r="K73" s="62" t="s">
        <v>7</v>
      </c>
      <c r="L73" s="62"/>
      <c r="M73" s="62"/>
      <c r="N73" s="3" t="str">
        <f t="shared" si="1"/>
        <v>1</v>
      </c>
      <c r="O73" s="3" t="str">
        <f>INDEX(Кат!$H:$H,MATCH($A73,Кат!$A:$A,0))</f>
        <v>Севием</v>
      </c>
    </row>
    <row r="74" spans="1:15" ht="45" x14ac:dyDescent="0.25">
      <c r="A74" s="61">
        <v>208974</v>
      </c>
      <c r="B74" s="61">
        <v>35893</v>
      </c>
      <c r="C74" s="62" t="s">
        <v>253</v>
      </c>
      <c r="D74" s="62" t="s">
        <v>249</v>
      </c>
      <c r="E74" s="62"/>
      <c r="F74" s="62"/>
      <c r="G74" s="62" t="s">
        <v>3</v>
      </c>
      <c r="H74" s="63">
        <v>3500</v>
      </c>
      <c r="I74" s="63">
        <v>4790</v>
      </c>
      <c r="J74" s="62"/>
      <c r="K74" s="62" t="s">
        <v>7</v>
      </c>
      <c r="L74" s="62"/>
      <c r="M74" s="62"/>
      <c r="N74" s="3" t="str">
        <f t="shared" si="1"/>
        <v>1</v>
      </c>
      <c r="O74" s="3" t="str">
        <f>INDEX(Кат!$H:$H,MATCH($A74,Кат!$A:$A,0))</f>
        <v>Севием</v>
      </c>
    </row>
    <row r="75" spans="1:15" ht="30" x14ac:dyDescent="0.25">
      <c r="A75" s="61">
        <v>213273</v>
      </c>
      <c r="B75" s="61">
        <v>30782</v>
      </c>
      <c r="C75" s="62" t="s">
        <v>38</v>
      </c>
      <c r="D75" s="62" t="s">
        <v>249</v>
      </c>
      <c r="E75" s="62"/>
      <c r="F75" s="62"/>
      <c r="G75" s="62" t="s">
        <v>3</v>
      </c>
      <c r="H75" s="63">
        <v>200</v>
      </c>
      <c r="I75" s="63">
        <v>369</v>
      </c>
      <c r="J75" s="62"/>
      <c r="K75" s="62" t="s">
        <v>7</v>
      </c>
      <c r="L75" s="62" t="s">
        <v>7</v>
      </c>
      <c r="M75" s="62"/>
      <c r="N75" s="3" t="str">
        <f t="shared" si="1"/>
        <v>1ск1</v>
      </c>
      <c r="O75" s="3" t="str">
        <f>INDEX(Кат!$H:$H,MATCH($A75,Кат!$A:$A,0))</f>
        <v>Севием</v>
      </c>
    </row>
    <row r="76" spans="1:15" ht="45" x14ac:dyDescent="0.25">
      <c r="A76" s="61">
        <v>213589</v>
      </c>
      <c r="B76" s="61">
        <v>14003</v>
      </c>
      <c r="C76" s="62" t="s">
        <v>298</v>
      </c>
      <c r="D76" s="62" t="s">
        <v>249</v>
      </c>
      <c r="E76" s="62"/>
      <c r="F76" s="62"/>
      <c r="G76" s="62" t="s">
        <v>3</v>
      </c>
      <c r="H76" s="63">
        <v>3740</v>
      </c>
      <c r="I76" s="63">
        <v>5090</v>
      </c>
      <c r="J76" s="62" t="s">
        <v>287</v>
      </c>
      <c r="K76" s="62" t="s">
        <v>7</v>
      </c>
      <c r="L76" s="62"/>
      <c r="M76" s="62"/>
      <c r="N76" s="3" t="str">
        <f t="shared" si="1"/>
        <v>1</v>
      </c>
      <c r="O76" s="3" t="str">
        <f>INDEX(Кат!$H:$H,MATCH($A76,Кат!$A:$A,0))</f>
        <v>Севием</v>
      </c>
    </row>
    <row r="77" spans="1:15" ht="30" x14ac:dyDescent="0.25">
      <c r="A77" s="61">
        <v>213660</v>
      </c>
      <c r="B77" s="61">
        <v>31405</v>
      </c>
      <c r="C77" s="62" t="s">
        <v>21</v>
      </c>
      <c r="D77" s="62" t="s">
        <v>249</v>
      </c>
      <c r="E77" s="62"/>
      <c r="F77" s="62"/>
      <c r="G77" s="62" t="s">
        <v>3</v>
      </c>
      <c r="H77" s="63">
        <v>1150</v>
      </c>
      <c r="I77" s="63">
        <v>2090</v>
      </c>
      <c r="J77" s="62"/>
      <c r="K77" s="62" t="s">
        <v>7</v>
      </c>
      <c r="L77" s="62"/>
      <c r="M77" s="62"/>
      <c r="N77" s="3" t="str">
        <f t="shared" si="1"/>
        <v>1</v>
      </c>
      <c r="O77" s="3" t="str">
        <f>INDEX(Кат!$H:$H,MATCH($A77,Кат!$A:$A,0))</f>
        <v>Севием</v>
      </c>
    </row>
    <row r="78" spans="1:15" ht="60" x14ac:dyDescent="0.25">
      <c r="A78" s="61">
        <v>213676</v>
      </c>
      <c r="B78" s="61">
        <v>23637</v>
      </c>
      <c r="C78" s="62" t="s">
        <v>13</v>
      </c>
      <c r="D78" s="62" t="s">
        <v>249</v>
      </c>
      <c r="E78" s="62"/>
      <c r="F78" s="62"/>
      <c r="G78" s="62" t="s">
        <v>3</v>
      </c>
      <c r="H78" s="63">
        <v>1800</v>
      </c>
      <c r="I78" s="63">
        <v>3190</v>
      </c>
      <c r="J78" s="62"/>
      <c r="K78" s="62" t="s">
        <v>7</v>
      </c>
      <c r="L78" s="62"/>
      <c r="M78" s="62"/>
      <c r="N78" s="3" t="str">
        <f t="shared" si="1"/>
        <v>1</v>
      </c>
      <c r="O78" s="3" t="str">
        <f>INDEX(Кат!$H:$H,MATCH($A78,Кат!$A:$A,0))</f>
        <v>Севием</v>
      </c>
    </row>
    <row r="79" spans="1:15" ht="45" x14ac:dyDescent="0.25">
      <c r="A79" s="61">
        <v>213684</v>
      </c>
      <c r="B79" s="61">
        <v>26147</v>
      </c>
      <c r="C79" s="62" t="s">
        <v>19</v>
      </c>
      <c r="D79" s="62" t="s">
        <v>249</v>
      </c>
      <c r="E79" s="62"/>
      <c r="F79" s="62"/>
      <c r="G79" s="62" t="s">
        <v>3</v>
      </c>
      <c r="H79" s="63">
        <v>2000</v>
      </c>
      <c r="I79" s="63">
        <v>2690</v>
      </c>
      <c r="J79" s="62"/>
      <c r="K79" s="62" t="s">
        <v>248</v>
      </c>
      <c r="L79" s="62"/>
      <c r="M79" s="62"/>
      <c r="N79" s="3" t="str">
        <f t="shared" si="1"/>
        <v>0</v>
      </c>
      <c r="O79" s="3" t="str">
        <f>INDEX(Кат!$H:$H,MATCH($A79,Кат!$A:$A,0))</f>
        <v>Севием</v>
      </c>
    </row>
    <row r="80" spans="1:15" ht="30" x14ac:dyDescent="0.25">
      <c r="A80" s="61">
        <v>213689</v>
      </c>
      <c r="B80" s="61">
        <v>23961</v>
      </c>
      <c r="C80" s="62" t="s">
        <v>37</v>
      </c>
      <c r="D80" s="62" t="s">
        <v>249</v>
      </c>
      <c r="E80" s="62"/>
      <c r="F80" s="62"/>
      <c r="G80" s="62" t="s">
        <v>3</v>
      </c>
      <c r="H80" s="63">
        <v>18700</v>
      </c>
      <c r="I80" s="63">
        <v>25290</v>
      </c>
      <c r="J80" s="62"/>
      <c r="K80" s="62" t="s">
        <v>248</v>
      </c>
      <c r="L80" s="62"/>
      <c r="M80" s="62"/>
      <c r="N80" s="3" t="str">
        <f t="shared" si="1"/>
        <v>0</v>
      </c>
      <c r="O80" s="3" t="str">
        <f>INDEX(Кат!$H:$H,MATCH($A80,Кат!$A:$A,0))</f>
        <v>Севием</v>
      </c>
    </row>
    <row r="81" spans="1:15" ht="60" x14ac:dyDescent="0.25">
      <c r="A81" s="61">
        <v>274419</v>
      </c>
      <c r="B81" s="61">
        <v>224740</v>
      </c>
      <c r="C81" s="62" t="s">
        <v>254</v>
      </c>
      <c r="D81" s="62" t="s">
        <v>249</v>
      </c>
      <c r="E81" s="62" t="s">
        <v>255</v>
      </c>
      <c r="F81" s="62"/>
      <c r="G81" s="62" t="s">
        <v>3</v>
      </c>
      <c r="H81" s="63"/>
      <c r="I81" s="63">
        <v>8990</v>
      </c>
      <c r="J81" s="62"/>
      <c r="K81" s="62" t="s">
        <v>7</v>
      </c>
      <c r="L81" s="62" t="s">
        <v>7</v>
      </c>
      <c r="M81" s="62"/>
      <c r="N81" s="3" t="str">
        <f t="shared" si="1"/>
        <v>1ск1</v>
      </c>
      <c r="O81" s="3" t="str">
        <f>INDEX(Кат!$H:$H,MATCH($A81,Кат!$A:$A,0))</f>
        <v>Севием</v>
      </c>
    </row>
    <row r="82" spans="1:15" ht="75" x14ac:dyDescent="0.25">
      <c r="A82" s="61">
        <v>213695</v>
      </c>
      <c r="B82" s="61">
        <v>13911</v>
      </c>
      <c r="C82" s="62" t="s">
        <v>97</v>
      </c>
      <c r="D82" s="62" t="s">
        <v>249</v>
      </c>
      <c r="E82" s="62"/>
      <c r="F82" s="62"/>
      <c r="G82" s="62" t="s">
        <v>3</v>
      </c>
      <c r="H82" s="63">
        <v>7700</v>
      </c>
      <c r="I82" s="63">
        <v>10790</v>
      </c>
      <c r="J82" s="62"/>
      <c r="K82" s="62" t="s">
        <v>7</v>
      </c>
      <c r="L82" s="62"/>
      <c r="M82" s="62"/>
      <c r="N82" s="3" t="str">
        <f t="shared" si="1"/>
        <v>1</v>
      </c>
      <c r="O82" s="3" t="str">
        <f>INDEX(Кат!$H:$H,MATCH($A82,Кат!$A:$A,0))</f>
        <v>Севием</v>
      </c>
    </row>
    <row r="83" spans="1:15" ht="60" x14ac:dyDescent="0.25">
      <c r="A83" s="61">
        <v>213696</v>
      </c>
      <c r="B83" s="61">
        <v>12694</v>
      </c>
      <c r="C83" s="62" t="s">
        <v>94</v>
      </c>
      <c r="D83" s="62" t="s">
        <v>249</v>
      </c>
      <c r="E83" s="62"/>
      <c r="F83" s="62"/>
      <c r="G83" s="62" t="s">
        <v>3</v>
      </c>
      <c r="H83" s="63">
        <v>7700</v>
      </c>
      <c r="I83" s="63">
        <v>10790</v>
      </c>
      <c r="J83" s="62"/>
      <c r="K83" s="62" t="s">
        <v>248</v>
      </c>
      <c r="L83" s="62"/>
      <c r="M83" s="62"/>
      <c r="N83" s="3" t="str">
        <f t="shared" si="1"/>
        <v>0</v>
      </c>
      <c r="O83" s="3" t="str">
        <f>INDEX(Кат!$H:$H,MATCH($A83,Кат!$A:$A,0))</f>
        <v>Севием</v>
      </c>
    </row>
    <row r="84" spans="1:15" ht="60" x14ac:dyDescent="0.25">
      <c r="A84" s="61">
        <v>213697</v>
      </c>
      <c r="B84" s="61">
        <v>19188</v>
      </c>
      <c r="C84" s="62" t="s">
        <v>105</v>
      </c>
      <c r="D84" s="62" t="s">
        <v>249</v>
      </c>
      <c r="E84" s="62" t="s">
        <v>106</v>
      </c>
      <c r="F84" s="62"/>
      <c r="G84" s="62" t="s">
        <v>3</v>
      </c>
      <c r="H84" s="63">
        <v>7700</v>
      </c>
      <c r="I84" s="63">
        <v>10790</v>
      </c>
      <c r="J84" s="62"/>
      <c r="K84" s="62" t="s">
        <v>7</v>
      </c>
      <c r="L84" s="62"/>
      <c r="M84" s="62"/>
      <c r="N84" s="3" t="str">
        <f t="shared" si="1"/>
        <v>1</v>
      </c>
      <c r="O84" s="3" t="str">
        <f>INDEX(Кат!$H:$H,MATCH($A84,Кат!$A:$A,0))</f>
        <v>Севием</v>
      </c>
    </row>
    <row r="85" spans="1:15" ht="75" x14ac:dyDescent="0.25">
      <c r="A85" s="61">
        <v>213698</v>
      </c>
      <c r="B85" s="61">
        <v>12693</v>
      </c>
      <c r="C85" s="62" t="s">
        <v>93</v>
      </c>
      <c r="D85" s="62" t="s">
        <v>249</v>
      </c>
      <c r="E85" s="62"/>
      <c r="F85" s="62"/>
      <c r="G85" s="62" t="s">
        <v>3</v>
      </c>
      <c r="H85" s="63">
        <v>7700</v>
      </c>
      <c r="I85" s="63">
        <v>10790</v>
      </c>
      <c r="J85" s="62"/>
      <c r="K85" s="62" t="s">
        <v>7</v>
      </c>
      <c r="L85" s="62" t="s">
        <v>7</v>
      </c>
      <c r="M85" s="62"/>
      <c r="N85" s="3" t="str">
        <f t="shared" si="1"/>
        <v>1ск1</v>
      </c>
      <c r="O85" s="3" t="str">
        <f>INDEX(Кат!$H:$H,MATCH($A85,Кат!$A:$A,0))</f>
        <v>Севием</v>
      </c>
    </row>
    <row r="86" spans="1:15" ht="60" x14ac:dyDescent="0.25">
      <c r="A86" s="61">
        <v>213699</v>
      </c>
      <c r="B86" s="61">
        <v>19190</v>
      </c>
      <c r="C86" s="62" t="s">
        <v>107</v>
      </c>
      <c r="D86" s="62" t="s">
        <v>249</v>
      </c>
      <c r="E86" s="62" t="s">
        <v>106</v>
      </c>
      <c r="F86" s="62"/>
      <c r="G86" s="62" t="s">
        <v>3</v>
      </c>
      <c r="H86" s="63">
        <v>7700</v>
      </c>
      <c r="I86" s="63">
        <v>10790</v>
      </c>
      <c r="J86" s="62"/>
      <c r="K86" s="62" t="s">
        <v>7</v>
      </c>
      <c r="L86" s="62"/>
      <c r="M86" s="62" t="s">
        <v>249</v>
      </c>
      <c r="N86" s="3" t="str">
        <f t="shared" si="1"/>
        <v>1</v>
      </c>
      <c r="O86" s="3" t="str">
        <f>INDEX(Кат!$H:$H,MATCH($A86,Кат!$A:$A,0))</f>
        <v>Севием</v>
      </c>
    </row>
    <row r="87" spans="1:15" ht="60" x14ac:dyDescent="0.25">
      <c r="A87" s="61">
        <v>213705</v>
      </c>
      <c r="B87" s="61">
        <v>13638</v>
      </c>
      <c r="C87" s="62" t="s">
        <v>95</v>
      </c>
      <c r="D87" s="62" t="s">
        <v>249</v>
      </c>
      <c r="E87" s="62" t="s">
        <v>96</v>
      </c>
      <c r="F87" s="62"/>
      <c r="G87" s="62" t="s">
        <v>3</v>
      </c>
      <c r="H87" s="63">
        <v>7700</v>
      </c>
      <c r="I87" s="63">
        <v>10790</v>
      </c>
      <c r="J87" s="62"/>
      <c r="K87" s="62" t="s">
        <v>7</v>
      </c>
      <c r="L87" s="62"/>
      <c r="M87" s="62"/>
      <c r="N87" s="3" t="str">
        <f t="shared" si="1"/>
        <v>1</v>
      </c>
      <c r="O87" s="3" t="str">
        <f>INDEX(Кат!$H:$H,MATCH($A87,Кат!$A:$A,0))</f>
        <v>Севием</v>
      </c>
    </row>
    <row r="88" spans="1:15" ht="30" x14ac:dyDescent="0.25">
      <c r="A88" s="61">
        <v>213884</v>
      </c>
      <c r="B88" s="61">
        <v>39565</v>
      </c>
      <c r="C88" s="62" t="s">
        <v>128</v>
      </c>
      <c r="D88" s="62" t="s">
        <v>249</v>
      </c>
      <c r="E88" s="62" t="s">
        <v>129</v>
      </c>
      <c r="F88" s="62" t="s">
        <v>129</v>
      </c>
      <c r="G88" s="62" t="s">
        <v>3</v>
      </c>
      <c r="H88" s="63">
        <v>350</v>
      </c>
      <c r="I88" s="63">
        <v>699</v>
      </c>
      <c r="J88" s="62"/>
      <c r="K88" s="62" t="s">
        <v>7</v>
      </c>
      <c r="L88" s="62"/>
      <c r="M88" s="62"/>
      <c r="N88" s="3" t="str">
        <f t="shared" si="1"/>
        <v>1</v>
      </c>
      <c r="O88" s="3" t="str">
        <f>INDEX(Кат!$H:$H,MATCH($A88,Кат!$A:$A,0))</f>
        <v>Севием</v>
      </c>
    </row>
    <row r="89" spans="1:15" ht="30" x14ac:dyDescent="0.25">
      <c r="A89" s="61">
        <v>217444</v>
      </c>
      <c r="B89" s="61">
        <v>35473</v>
      </c>
      <c r="C89" s="62" t="s">
        <v>36</v>
      </c>
      <c r="D89" s="62" t="s">
        <v>249</v>
      </c>
      <c r="E89" s="62"/>
      <c r="F89" s="62"/>
      <c r="G89" s="62" t="s">
        <v>3</v>
      </c>
      <c r="H89" s="63">
        <v>550</v>
      </c>
      <c r="I89" s="63">
        <v>969</v>
      </c>
      <c r="J89" s="62"/>
      <c r="K89" s="62" t="s">
        <v>7</v>
      </c>
      <c r="L89" s="62"/>
      <c r="M89" s="62"/>
      <c r="N89" s="3" t="str">
        <f t="shared" si="1"/>
        <v>1</v>
      </c>
      <c r="O89" s="3" t="str">
        <f>INDEX(Кат!$H:$H,MATCH($A89,Кат!$A:$A,0))</f>
        <v>Севием</v>
      </c>
    </row>
    <row r="90" spans="1:15" ht="30" x14ac:dyDescent="0.25">
      <c r="A90" s="61">
        <v>217446</v>
      </c>
      <c r="B90" s="61">
        <v>11440</v>
      </c>
      <c r="C90" s="62" t="s">
        <v>10</v>
      </c>
      <c r="D90" s="62" t="s">
        <v>249</v>
      </c>
      <c r="E90" s="62"/>
      <c r="F90" s="62"/>
      <c r="G90" s="62" t="s">
        <v>3</v>
      </c>
      <c r="H90" s="63">
        <v>600</v>
      </c>
      <c r="I90" s="63">
        <v>1090</v>
      </c>
      <c r="J90" s="62"/>
      <c r="K90" s="62" t="s">
        <v>7</v>
      </c>
      <c r="L90" s="62"/>
      <c r="M90" s="62"/>
      <c r="N90" s="3" t="str">
        <f t="shared" si="1"/>
        <v>1</v>
      </c>
      <c r="O90" s="3" t="str">
        <f>INDEX(Кат!$H:$H,MATCH($A90,Кат!$A:$A,0))</f>
        <v>Севием</v>
      </c>
    </row>
    <row r="91" spans="1:15" ht="30" x14ac:dyDescent="0.25">
      <c r="A91" s="61">
        <v>256559</v>
      </c>
      <c r="B91" s="61">
        <v>182300</v>
      </c>
      <c r="C91" s="62" t="s">
        <v>169</v>
      </c>
      <c r="D91" s="62" t="s">
        <v>249</v>
      </c>
      <c r="E91" s="62"/>
      <c r="F91" s="62"/>
      <c r="G91" s="62" t="s">
        <v>3</v>
      </c>
      <c r="H91" s="63"/>
      <c r="I91" s="63">
        <v>1190</v>
      </c>
      <c r="J91" s="62" t="s">
        <v>306</v>
      </c>
      <c r="K91" s="62" t="s">
        <v>248</v>
      </c>
      <c r="L91" s="62"/>
      <c r="M91" s="62"/>
      <c r="N91" s="3" t="str">
        <f t="shared" si="1"/>
        <v>0</v>
      </c>
      <c r="O91" s="3" t="str">
        <f>INDEX(Кат!$H:$H,MATCH($A91,Кат!$A:$A,0))</f>
        <v>Севием</v>
      </c>
    </row>
    <row r="92" spans="1:15" ht="30" x14ac:dyDescent="0.25">
      <c r="A92" s="61">
        <v>217450</v>
      </c>
      <c r="B92" s="61">
        <v>36919</v>
      </c>
      <c r="C92" s="62" t="s">
        <v>82</v>
      </c>
      <c r="D92" s="62" t="s">
        <v>249</v>
      </c>
      <c r="E92" s="62"/>
      <c r="F92" s="62"/>
      <c r="G92" s="62" t="s">
        <v>3</v>
      </c>
      <c r="H92" s="63">
        <v>900</v>
      </c>
      <c r="I92" s="63">
        <v>1890</v>
      </c>
      <c r="J92" s="62" t="s">
        <v>198</v>
      </c>
      <c r="K92" s="62" t="s">
        <v>7</v>
      </c>
      <c r="L92" s="62"/>
      <c r="M92" s="62"/>
      <c r="N92" s="3" t="str">
        <f t="shared" si="1"/>
        <v>1</v>
      </c>
      <c r="O92" s="3" t="str">
        <f>INDEX(Кат!$H:$H,MATCH($A92,Кат!$A:$A,0))</f>
        <v>Севием</v>
      </c>
    </row>
    <row r="93" spans="1:15" ht="30" x14ac:dyDescent="0.25">
      <c r="A93" s="61">
        <v>217451</v>
      </c>
      <c r="B93" s="61">
        <v>36920</v>
      </c>
      <c r="C93" s="62" t="s">
        <v>83</v>
      </c>
      <c r="D93" s="62" t="s">
        <v>249</v>
      </c>
      <c r="E93" s="62"/>
      <c r="F93" s="62"/>
      <c r="G93" s="62" t="s">
        <v>3</v>
      </c>
      <c r="H93" s="63">
        <v>900</v>
      </c>
      <c r="I93" s="63">
        <v>1890</v>
      </c>
      <c r="J93" s="62" t="s">
        <v>199</v>
      </c>
      <c r="K93" s="62" t="s">
        <v>7</v>
      </c>
      <c r="L93" s="62"/>
      <c r="M93" s="62"/>
      <c r="N93" s="3" t="str">
        <f t="shared" si="1"/>
        <v>1</v>
      </c>
      <c r="O93" s="3" t="str">
        <f>INDEX(Кат!$H:$H,MATCH($A93,Кат!$A:$A,0))</f>
        <v>Севием</v>
      </c>
    </row>
    <row r="94" spans="1:15" ht="30" x14ac:dyDescent="0.25">
      <c r="A94" s="61">
        <v>217464</v>
      </c>
      <c r="B94" s="61">
        <v>8039</v>
      </c>
      <c r="C94" s="62" t="s">
        <v>146</v>
      </c>
      <c r="D94" s="62" t="s">
        <v>249</v>
      </c>
      <c r="E94" s="62"/>
      <c r="F94" s="62"/>
      <c r="G94" s="62" t="s">
        <v>3</v>
      </c>
      <c r="H94" s="63">
        <v>210</v>
      </c>
      <c r="I94" s="63">
        <v>389</v>
      </c>
      <c r="J94" s="62" t="s">
        <v>185</v>
      </c>
      <c r="K94" s="62" t="s">
        <v>7</v>
      </c>
      <c r="L94" s="62"/>
      <c r="M94" s="62"/>
      <c r="N94" s="3" t="str">
        <f t="shared" si="1"/>
        <v>1</v>
      </c>
      <c r="O94" s="3" t="str">
        <f>INDEX(Кат!$H:$H,MATCH($A94,Кат!$A:$A,0))</f>
        <v>Севием</v>
      </c>
    </row>
    <row r="95" spans="1:15" ht="30" x14ac:dyDescent="0.25">
      <c r="A95" s="61">
        <v>217455</v>
      </c>
      <c r="B95" s="61">
        <v>36623</v>
      </c>
      <c r="C95" s="62" t="s">
        <v>35</v>
      </c>
      <c r="D95" s="62" t="s">
        <v>249</v>
      </c>
      <c r="E95" s="62"/>
      <c r="F95" s="62"/>
      <c r="G95" s="62" t="s">
        <v>3</v>
      </c>
      <c r="H95" s="63">
        <v>150</v>
      </c>
      <c r="I95" s="63">
        <v>279</v>
      </c>
      <c r="J95" s="62" t="s">
        <v>183</v>
      </c>
      <c r="K95" s="62" t="s">
        <v>7</v>
      </c>
      <c r="L95" s="62"/>
      <c r="M95" s="62"/>
      <c r="N95" s="3" t="str">
        <f t="shared" si="1"/>
        <v>1</v>
      </c>
      <c r="O95" s="3" t="str">
        <f>INDEX(Кат!$H:$H,MATCH($A95,Кат!$A:$A,0))</f>
        <v>Севием</v>
      </c>
    </row>
    <row r="96" spans="1:15" ht="30" x14ac:dyDescent="0.25">
      <c r="A96" s="61">
        <v>217460</v>
      </c>
      <c r="B96" s="61">
        <v>36624</v>
      </c>
      <c r="C96" s="62" t="s">
        <v>34</v>
      </c>
      <c r="D96" s="62" t="s">
        <v>249</v>
      </c>
      <c r="E96" s="62"/>
      <c r="F96" s="62"/>
      <c r="G96" s="62" t="s">
        <v>3</v>
      </c>
      <c r="H96" s="63">
        <v>150</v>
      </c>
      <c r="I96" s="63">
        <v>309</v>
      </c>
      <c r="J96" s="62" t="s">
        <v>184</v>
      </c>
      <c r="K96" s="62" t="s">
        <v>7</v>
      </c>
      <c r="L96" s="62"/>
      <c r="M96" s="62"/>
      <c r="N96" s="3" t="str">
        <f t="shared" si="1"/>
        <v>1</v>
      </c>
      <c r="O96" s="3" t="str">
        <f>INDEX(Кат!$H:$H,MATCH($A96,Кат!$A:$A,0))</f>
        <v>Севием</v>
      </c>
    </row>
    <row r="97" spans="1:15" ht="30" x14ac:dyDescent="0.25">
      <c r="A97" s="61">
        <v>256560</v>
      </c>
      <c r="B97" s="61">
        <v>196378</v>
      </c>
      <c r="C97" s="62" t="s">
        <v>170</v>
      </c>
      <c r="D97" s="62" t="s">
        <v>249</v>
      </c>
      <c r="E97" s="62"/>
      <c r="F97" s="62"/>
      <c r="G97" s="62" t="s">
        <v>3</v>
      </c>
      <c r="H97" s="63">
        <v>150</v>
      </c>
      <c r="I97" s="63">
        <v>239</v>
      </c>
      <c r="J97" s="62" t="s">
        <v>185</v>
      </c>
      <c r="K97" s="62" t="s">
        <v>7</v>
      </c>
      <c r="L97" s="62"/>
      <c r="M97" s="62"/>
      <c r="N97" s="3" t="str">
        <f t="shared" si="1"/>
        <v>1</v>
      </c>
      <c r="O97" s="3" t="str">
        <f>INDEX(Кат!$H:$H,MATCH($A97,Кат!$A:$A,0))</f>
        <v>Севием</v>
      </c>
    </row>
    <row r="98" spans="1:15" ht="45" x14ac:dyDescent="0.25">
      <c r="A98" s="61">
        <v>217463</v>
      </c>
      <c r="B98" s="61">
        <v>8037</v>
      </c>
      <c r="C98" s="62" t="s">
        <v>8</v>
      </c>
      <c r="D98" s="62" t="s">
        <v>249</v>
      </c>
      <c r="E98" s="62" t="s">
        <v>92</v>
      </c>
      <c r="F98" s="62"/>
      <c r="G98" s="62" t="s">
        <v>3</v>
      </c>
      <c r="H98" s="63">
        <v>29</v>
      </c>
      <c r="I98" s="63">
        <v>139</v>
      </c>
      <c r="J98" s="62" t="s">
        <v>182</v>
      </c>
      <c r="K98" s="62" t="s">
        <v>7</v>
      </c>
      <c r="L98" s="62"/>
      <c r="M98" s="62"/>
      <c r="N98" s="3" t="str">
        <f t="shared" si="1"/>
        <v>1</v>
      </c>
      <c r="O98" s="3" t="str">
        <f>INDEX(Кат!$H:$H,MATCH($A98,Кат!$A:$A,0))</f>
        <v>Севием</v>
      </c>
    </row>
    <row r="99" spans="1:15" ht="30" x14ac:dyDescent="0.25">
      <c r="A99" s="61">
        <v>217465</v>
      </c>
      <c r="B99" s="61">
        <v>8038</v>
      </c>
      <c r="C99" s="62" t="s">
        <v>9</v>
      </c>
      <c r="D99" s="62" t="s">
        <v>249</v>
      </c>
      <c r="E99" s="62"/>
      <c r="F99" s="62"/>
      <c r="G99" s="62" t="s">
        <v>3</v>
      </c>
      <c r="H99" s="63">
        <v>50</v>
      </c>
      <c r="I99" s="63">
        <v>129</v>
      </c>
      <c r="J99" s="62" t="s">
        <v>269</v>
      </c>
      <c r="K99" s="62" t="s">
        <v>7</v>
      </c>
      <c r="L99" s="62"/>
      <c r="M99" s="62"/>
      <c r="N99" s="3" t="str">
        <f t="shared" si="1"/>
        <v>1</v>
      </c>
      <c r="O99" s="3" t="str">
        <f>INDEX(Кат!$H:$H,MATCH($A99,Кат!$A:$A,0))</f>
        <v>Севием</v>
      </c>
    </row>
    <row r="100" spans="1:15" ht="30" x14ac:dyDescent="0.25">
      <c r="A100" s="61">
        <v>217472</v>
      </c>
      <c r="B100" s="61">
        <v>83126</v>
      </c>
      <c r="C100" s="62" t="s">
        <v>256</v>
      </c>
      <c r="D100" s="62" t="s">
        <v>249</v>
      </c>
      <c r="E100" s="62"/>
      <c r="F100" s="62"/>
      <c r="G100" s="62" t="s">
        <v>3</v>
      </c>
      <c r="H100" s="63">
        <v>400</v>
      </c>
      <c r="I100" s="63">
        <v>739</v>
      </c>
      <c r="J100" s="62" t="s">
        <v>293</v>
      </c>
      <c r="K100" s="62" t="s">
        <v>7</v>
      </c>
      <c r="L100" s="62"/>
      <c r="M100" s="62"/>
      <c r="N100" s="3" t="str">
        <f t="shared" si="1"/>
        <v>1</v>
      </c>
      <c r="O100" s="3" t="str">
        <f>INDEX(Кат!$H:$H,MATCH($A100,Кат!$A:$A,0))</f>
        <v>Севием</v>
      </c>
    </row>
    <row r="101" spans="1:15" ht="30" x14ac:dyDescent="0.25">
      <c r="A101" s="61">
        <v>217473</v>
      </c>
      <c r="B101" s="61">
        <v>68437</v>
      </c>
      <c r="C101" s="62" t="s">
        <v>135</v>
      </c>
      <c r="D101" s="62" t="s">
        <v>249</v>
      </c>
      <c r="E101" s="62"/>
      <c r="F101" s="62"/>
      <c r="G101" s="62" t="s">
        <v>3</v>
      </c>
      <c r="H101" s="63">
        <v>350</v>
      </c>
      <c r="I101" s="63">
        <v>739</v>
      </c>
      <c r="J101" s="62" t="s">
        <v>190</v>
      </c>
      <c r="K101" s="62" t="s">
        <v>7</v>
      </c>
      <c r="L101" s="62"/>
      <c r="M101" s="62"/>
      <c r="N101" s="3" t="str">
        <f t="shared" si="1"/>
        <v>1</v>
      </c>
      <c r="O101" s="3" t="str">
        <f>INDEX(Кат!$H:$H,MATCH($A101,Кат!$A:$A,0))</f>
        <v>Севием</v>
      </c>
    </row>
    <row r="102" spans="1:15" ht="30" x14ac:dyDescent="0.25">
      <c r="A102" s="61">
        <v>217474</v>
      </c>
      <c r="B102" s="61">
        <v>83127</v>
      </c>
      <c r="C102" s="62" t="s">
        <v>257</v>
      </c>
      <c r="D102" s="62" t="s">
        <v>249</v>
      </c>
      <c r="E102" s="62"/>
      <c r="F102" s="62"/>
      <c r="G102" s="62" t="s">
        <v>3</v>
      </c>
      <c r="H102" s="63">
        <v>400</v>
      </c>
      <c r="I102" s="63">
        <v>739</v>
      </c>
      <c r="J102" s="62" t="s">
        <v>293</v>
      </c>
      <c r="K102" s="62" t="s">
        <v>7</v>
      </c>
      <c r="L102" s="62"/>
      <c r="M102" s="62"/>
      <c r="N102" s="3" t="str">
        <f t="shared" si="1"/>
        <v>1</v>
      </c>
      <c r="O102" s="3" t="str">
        <f>INDEX(Кат!$H:$H,MATCH($A102,Кат!$A:$A,0))</f>
        <v>Севием</v>
      </c>
    </row>
    <row r="103" spans="1:15" ht="30" x14ac:dyDescent="0.25">
      <c r="A103" s="61">
        <v>217475</v>
      </c>
      <c r="B103" s="61">
        <v>68438</v>
      </c>
      <c r="C103" s="62" t="s">
        <v>136</v>
      </c>
      <c r="D103" s="62" t="s">
        <v>249</v>
      </c>
      <c r="E103" s="62"/>
      <c r="F103" s="62"/>
      <c r="G103" s="62" t="s">
        <v>3</v>
      </c>
      <c r="H103" s="63">
        <v>350</v>
      </c>
      <c r="I103" s="63">
        <v>739</v>
      </c>
      <c r="J103" s="62" t="s">
        <v>190</v>
      </c>
      <c r="K103" s="62" t="s">
        <v>7</v>
      </c>
      <c r="L103" s="62"/>
      <c r="M103" s="62"/>
      <c r="N103" s="3" t="str">
        <f t="shared" si="1"/>
        <v>1</v>
      </c>
      <c r="O103" s="3" t="str">
        <f>INDEX(Кат!$H:$H,MATCH($A103,Кат!$A:$A,0))</f>
        <v>Севием</v>
      </c>
    </row>
    <row r="104" spans="1:15" ht="30" x14ac:dyDescent="0.25">
      <c r="A104" s="61">
        <v>218486</v>
      </c>
      <c r="B104" s="61">
        <v>18637</v>
      </c>
      <c r="C104" s="62" t="s">
        <v>11</v>
      </c>
      <c r="D104" s="62" t="s">
        <v>249</v>
      </c>
      <c r="E104" s="62"/>
      <c r="F104" s="62"/>
      <c r="G104" s="62" t="s">
        <v>3</v>
      </c>
      <c r="H104" s="63">
        <v>600</v>
      </c>
      <c r="I104" s="63">
        <v>1090</v>
      </c>
      <c r="J104" s="62"/>
      <c r="K104" s="62" t="s">
        <v>7</v>
      </c>
      <c r="L104" s="62"/>
      <c r="M104" s="62"/>
      <c r="N104" s="3" t="str">
        <f t="shared" si="1"/>
        <v>1</v>
      </c>
      <c r="O104" s="3" t="str">
        <f>INDEX(Кат!$H:$H,MATCH($A104,Кат!$A:$A,0))</f>
        <v>Севием</v>
      </c>
    </row>
    <row r="105" spans="1:15" ht="30" x14ac:dyDescent="0.25">
      <c r="A105" s="61">
        <v>222850</v>
      </c>
      <c r="B105" s="61">
        <v>55321</v>
      </c>
      <c r="C105" s="62" t="s">
        <v>130</v>
      </c>
      <c r="D105" s="62" t="s">
        <v>249</v>
      </c>
      <c r="E105" s="62"/>
      <c r="F105" s="62"/>
      <c r="G105" s="62" t="s">
        <v>3</v>
      </c>
      <c r="H105" s="63">
        <v>14000</v>
      </c>
      <c r="I105" s="63">
        <v>18890</v>
      </c>
      <c r="J105" s="62"/>
      <c r="K105" s="62" t="s">
        <v>7</v>
      </c>
      <c r="L105" s="62"/>
      <c r="M105" s="62" t="s">
        <v>249</v>
      </c>
      <c r="N105" s="3" t="str">
        <f t="shared" si="1"/>
        <v>1</v>
      </c>
      <c r="O105" s="3" t="str">
        <f>INDEX(Кат!$H:$H,MATCH($A105,Кат!$A:$A,0))</f>
        <v>Севием</v>
      </c>
    </row>
    <row r="106" spans="1:15" ht="45" x14ac:dyDescent="0.25">
      <c r="A106" s="61">
        <v>223038</v>
      </c>
      <c r="B106" s="61">
        <v>17854</v>
      </c>
      <c r="C106" s="62" t="s">
        <v>99</v>
      </c>
      <c r="D106" s="62" t="s">
        <v>249</v>
      </c>
      <c r="E106" s="62"/>
      <c r="F106" s="62"/>
      <c r="G106" s="62" t="s">
        <v>3</v>
      </c>
      <c r="H106" s="63">
        <v>500</v>
      </c>
      <c r="I106" s="63">
        <v>879</v>
      </c>
      <c r="J106" s="62"/>
      <c r="K106" s="62" t="s">
        <v>7</v>
      </c>
      <c r="L106" s="62"/>
      <c r="M106" s="62"/>
      <c r="N106" s="3" t="str">
        <f t="shared" si="1"/>
        <v>1</v>
      </c>
      <c r="O106" s="3" t="str">
        <f>INDEX(Кат!$H:$H,MATCH($A106,Кат!$A:$A,0))</f>
        <v>Севием</v>
      </c>
    </row>
    <row r="107" spans="1:15" ht="45" x14ac:dyDescent="0.25">
      <c r="A107" s="61">
        <v>223039</v>
      </c>
      <c r="B107" s="61">
        <v>38871</v>
      </c>
      <c r="C107" s="62" t="s">
        <v>149</v>
      </c>
      <c r="D107" s="62" t="s">
        <v>249</v>
      </c>
      <c r="E107" s="62" t="s">
        <v>122</v>
      </c>
      <c r="F107" s="62"/>
      <c r="G107" s="62" t="s">
        <v>3</v>
      </c>
      <c r="H107" s="63">
        <v>500</v>
      </c>
      <c r="I107" s="63">
        <v>879</v>
      </c>
      <c r="J107" s="62"/>
      <c r="K107" s="62" t="s">
        <v>7</v>
      </c>
      <c r="L107" s="62" t="s">
        <v>7</v>
      </c>
      <c r="M107" s="62"/>
      <c r="N107" s="3" t="str">
        <f t="shared" si="1"/>
        <v>1ск1</v>
      </c>
      <c r="O107" s="3" t="str">
        <f>INDEX(Кат!$H:$H,MATCH($A107,Кат!$A:$A,0))</f>
        <v>Севием</v>
      </c>
    </row>
    <row r="108" spans="1:15" ht="30" x14ac:dyDescent="0.25">
      <c r="A108" s="61">
        <v>223040</v>
      </c>
      <c r="B108" s="61">
        <v>168064</v>
      </c>
      <c r="C108" s="62" t="s">
        <v>161</v>
      </c>
      <c r="D108" s="62" t="s">
        <v>249</v>
      </c>
      <c r="E108" s="62"/>
      <c r="F108" s="62"/>
      <c r="G108" s="62" t="s">
        <v>3</v>
      </c>
      <c r="H108" s="63">
        <v>560</v>
      </c>
      <c r="I108" s="63">
        <v>979</v>
      </c>
      <c r="J108" s="62"/>
      <c r="K108" s="62" t="s">
        <v>7</v>
      </c>
      <c r="L108" s="62"/>
      <c r="M108" s="62"/>
      <c r="N108" s="3" t="str">
        <f t="shared" si="1"/>
        <v>1</v>
      </c>
      <c r="O108" s="3" t="str">
        <f>INDEX(Кат!$H:$H,MATCH($A108,Кат!$A:$A,0))</f>
        <v>Севием</v>
      </c>
    </row>
    <row r="109" spans="1:15" ht="30" x14ac:dyDescent="0.25">
      <c r="A109" s="61">
        <v>223041</v>
      </c>
      <c r="B109" s="61">
        <v>34137</v>
      </c>
      <c r="C109" s="62" t="s">
        <v>33</v>
      </c>
      <c r="D109" s="62" t="s">
        <v>249</v>
      </c>
      <c r="E109" s="62" t="s">
        <v>122</v>
      </c>
      <c r="F109" s="62"/>
      <c r="G109" s="62" t="s">
        <v>3</v>
      </c>
      <c r="H109" s="63">
        <v>500</v>
      </c>
      <c r="I109" s="63">
        <v>999</v>
      </c>
      <c r="J109" s="62" t="s">
        <v>210</v>
      </c>
      <c r="K109" s="62" t="s">
        <v>7</v>
      </c>
      <c r="L109" s="62"/>
      <c r="M109" s="62"/>
      <c r="N109" s="3" t="str">
        <f t="shared" si="1"/>
        <v>1</v>
      </c>
      <c r="O109" s="3" t="str">
        <f>INDEX(Кат!$H:$H,MATCH($A109,Кат!$A:$A,0))</f>
        <v>Севием</v>
      </c>
    </row>
    <row r="110" spans="1:15" ht="30" x14ac:dyDescent="0.25">
      <c r="A110" s="61">
        <v>223053</v>
      </c>
      <c r="B110" s="61">
        <v>32497</v>
      </c>
      <c r="C110" s="62" t="s">
        <v>118</v>
      </c>
      <c r="D110" s="62" t="s">
        <v>249</v>
      </c>
      <c r="E110" s="62"/>
      <c r="F110" s="62"/>
      <c r="G110" s="62" t="s">
        <v>3</v>
      </c>
      <c r="H110" s="63">
        <v>320</v>
      </c>
      <c r="I110" s="63">
        <v>949</v>
      </c>
      <c r="J110" s="62" t="s">
        <v>188</v>
      </c>
      <c r="K110" s="62" t="s">
        <v>248</v>
      </c>
      <c r="L110" s="62"/>
      <c r="M110" s="62"/>
      <c r="N110" s="3" t="str">
        <f t="shared" si="1"/>
        <v>0</v>
      </c>
      <c r="O110" s="3" t="str">
        <f>INDEX(Кат!$H:$H,MATCH($A110,Кат!$A:$A,0))</f>
        <v>Севием</v>
      </c>
    </row>
    <row r="111" spans="1:15" ht="30" x14ac:dyDescent="0.25">
      <c r="A111" s="61">
        <v>223054</v>
      </c>
      <c r="B111" s="61">
        <v>32496</v>
      </c>
      <c r="C111" s="62" t="s">
        <v>117</v>
      </c>
      <c r="D111" s="62" t="s">
        <v>249</v>
      </c>
      <c r="E111" s="62"/>
      <c r="F111" s="62"/>
      <c r="G111" s="62" t="s">
        <v>3</v>
      </c>
      <c r="H111" s="63">
        <v>400</v>
      </c>
      <c r="I111" s="63">
        <v>949</v>
      </c>
      <c r="J111" s="62" t="s">
        <v>187</v>
      </c>
      <c r="K111" s="62" t="s">
        <v>7</v>
      </c>
      <c r="L111" s="62" t="s">
        <v>89</v>
      </c>
      <c r="M111" s="62"/>
      <c r="N111" s="3" t="str">
        <f t="shared" si="1"/>
        <v>1ск6</v>
      </c>
      <c r="O111" s="3" t="str">
        <f>INDEX(Кат!$H:$H,MATCH($A111,Кат!$A:$A,0))</f>
        <v>Севием</v>
      </c>
    </row>
    <row r="112" spans="1:15" ht="30" x14ac:dyDescent="0.25">
      <c r="A112" s="61">
        <v>223055</v>
      </c>
      <c r="B112" s="61">
        <v>32824</v>
      </c>
      <c r="C112" s="62" t="s">
        <v>121</v>
      </c>
      <c r="D112" s="62" t="s">
        <v>249</v>
      </c>
      <c r="E112" s="62"/>
      <c r="F112" s="62"/>
      <c r="G112" s="62" t="s">
        <v>3</v>
      </c>
      <c r="H112" s="63">
        <v>320</v>
      </c>
      <c r="I112" s="63">
        <v>889</v>
      </c>
      <c r="J112" s="62" t="s">
        <v>187</v>
      </c>
      <c r="K112" s="62" t="s">
        <v>7</v>
      </c>
      <c r="L112" s="62"/>
      <c r="M112" s="62"/>
      <c r="N112" s="3" t="str">
        <f t="shared" si="1"/>
        <v>1</v>
      </c>
      <c r="O112" s="3" t="str">
        <f>INDEX(Кат!$H:$H,MATCH($A112,Кат!$A:$A,0))</f>
        <v>Севием</v>
      </c>
    </row>
    <row r="113" spans="1:15" ht="30" x14ac:dyDescent="0.25">
      <c r="A113" s="61">
        <v>223056</v>
      </c>
      <c r="B113" s="61">
        <v>34262</v>
      </c>
      <c r="C113" s="62" t="s">
        <v>123</v>
      </c>
      <c r="D113" s="62" t="s">
        <v>249</v>
      </c>
      <c r="E113" s="62"/>
      <c r="F113" s="62"/>
      <c r="G113" s="62" t="s">
        <v>3</v>
      </c>
      <c r="H113" s="63">
        <v>400</v>
      </c>
      <c r="I113" s="63">
        <v>799</v>
      </c>
      <c r="J113" s="62"/>
      <c r="K113" s="62" t="s">
        <v>7</v>
      </c>
      <c r="L113" s="62"/>
      <c r="M113" s="62"/>
      <c r="N113" s="3" t="str">
        <f t="shared" si="1"/>
        <v>1</v>
      </c>
      <c r="O113" s="3" t="str">
        <f>INDEX(Кат!$H:$H,MATCH($A113,Кат!$A:$A,0))</f>
        <v>Севием</v>
      </c>
    </row>
    <row r="114" spans="1:15" ht="30" x14ac:dyDescent="0.25">
      <c r="A114" s="61">
        <v>223057</v>
      </c>
      <c r="B114" s="61">
        <v>32498</v>
      </c>
      <c r="C114" s="62" t="s">
        <v>119</v>
      </c>
      <c r="D114" s="62" t="s">
        <v>249</v>
      </c>
      <c r="E114" s="62"/>
      <c r="F114" s="62"/>
      <c r="G114" s="62" t="s">
        <v>3</v>
      </c>
      <c r="H114" s="63">
        <v>320</v>
      </c>
      <c r="I114" s="63">
        <v>889</v>
      </c>
      <c r="J114" s="62" t="s">
        <v>187</v>
      </c>
      <c r="K114" s="62" t="s">
        <v>7</v>
      </c>
      <c r="L114" s="62"/>
      <c r="M114" s="62"/>
      <c r="N114" s="3" t="str">
        <f t="shared" si="1"/>
        <v>1</v>
      </c>
      <c r="O114" s="3" t="str">
        <f>INDEX(Кат!$H:$H,MATCH($A114,Кат!$A:$A,0))</f>
        <v>Севием</v>
      </c>
    </row>
    <row r="115" spans="1:15" ht="30" x14ac:dyDescent="0.25">
      <c r="A115" s="61">
        <v>223058</v>
      </c>
      <c r="B115" s="61">
        <v>32499</v>
      </c>
      <c r="C115" s="62" t="s">
        <v>32</v>
      </c>
      <c r="D115" s="62" t="s">
        <v>249</v>
      </c>
      <c r="E115" s="62"/>
      <c r="F115" s="62"/>
      <c r="G115" s="62" t="s">
        <v>3</v>
      </c>
      <c r="H115" s="63">
        <v>320</v>
      </c>
      <c r="I115" s="63">
        <v>949</v>
      </c>
      <c r="J115" s="62" t="s">
        <v>189</v>
      </c>
      <c r="K115" s="62" t="s">
        <v>7</v>
      </c>
      <c r="L115" s="62"/>
      <c r="M115" s="62"/>
      <c r="N115" s="3" t="str">
        <f t="shared" si="1"/>
        <v>1</v>
      </c>
      <c r="O115" s="3" t="str">
        <f>INDEX(Кат!$H:$H,MATCH($A115,Кат!$A:$A,0))</f>
        <v>Севием</v>
      </c>
    </row>
    <row r="116" spans="1:15" ht="30" x14ac:dyDescent="0.25">
      <c r="A116" s="61">
        <v>223060</v>
      </c>
      <c r="B116" s="61">
        <v>27229</v>
      </c>
      <c r="C116" s="62" t="s">
        <v>31</v>
      </c>
      <c r="D116" s="62" t="s">
        <v>249</v>
      </c>
      <c r="E116" s="62"/>
      <c r="F116" s="62"/>
      <c r="G116" s="62" t="s">
        <v>3</v>
      </c>
      <c r="H116" s="63">
        <v>500</v>
      </c>
      <c r="I116" s="63">
        <v>879</v>
      </c>
      <c r="J116" s="62" t="s">
        <v>278</v>
      </c>
      <c r="K116" s="62" t="s">
        <v>7</v>
      </c>
      <c r="L116" s="62"/>
      <c r="M116" s="62"/>
      <c r="N116" s="3" t="str">
        <f t="shared" si="1"/>
        <v>1</v>
      </c>
      <c r="O116" s="3" t="str">
        <f>INDEX(Кат!$H:$H,MATCH($A116,Кат!$A:$A,0))</f>
        <v>Севием</v>
      </c>
    </row>
    <row r="117" spans="1:15" ht="30" x14ac:dyDescent="0.25">
      <c r="A117" s="61">
        <v>223124</v>
      </c>
      <c r="B117" s="61">
        <v>25082</v>
      </c>
      <c r="C117" s="62" t="s">
        <v>17</v>
      </c>
      <c r="D117" s="62" t="s">
        <v>249</v>
      </c>
      <c r="E117" s="62"/>
      <c r="F117" s="62"/>
      <c r="G117" s="62" t="s">
        <v>3</v>
      </c>
      <c r="H117" s="63">
        <v>250</v>
      </c>
      <c r="I117" s="63">
        <v>469</v>
      </c>
      <c r="J117" s="62"/>
      <c r="K117" s="62" t="s">
        <v>248</v>
      </c>
      <c r="L117" s="62"/>
      <c r="M117" s="62"/>
      <c r="N117" s="3" t="str">
        <f t="shared" si="1"/>
        <v>0</v>
      </c>
      <c r="O117" s="3" t="str">
        <f>INDEX(Кат!$H:$H,MATCH($A117,Кат!$A:$A,0))</f>
        <v>Севием</v>
      </c>
    </row>
    <row r="118" spans="1:15" ht="45" x14ac:dyDescent="0.25">
      <c r="A118" s="61">
        <v>223805</v>
      </c>
      <c r="B118" s="61">
        <v>70406</v>
      </c>
      <c r="C118" s="62" t="s">
        <v>139</v>
      </c>
      <c r="D118" s="62" t="s">
        <v>249</v>
      </c>
      <c r="E118" s="62"/>
      <c r="F118" s="62"/>
      <c r="G118" s="62" t="s">
        <v>3</v>
      </c>
      <c r="H118" s="63">
        <v>2000</v>
      </c>
      <c r="I118" s="63">
        <v>2690</v>
      </c>
      <c r="J118" s="62"/>
      <c r="K118" s="62" t="s">
        <v>248</v>
      </c>
      <c r="L118" s="62"/>
      <c r="M118" s="62"/>
      <c r="N118" s="3" t="str">
        <f t="shared" si="1"/>
        <v>0</v>
      </c>
      <c r="O118" s="3" t="str">
        <f>INDEX(Кат!$H:$H,MATCH($A118,Кат!$A:$A,0))</f>
        <v>Севием</v>
      </c>
    </row>
    <row r="119" spans="1:15" ht="45" x14ac:dyDescent="0.25">
      <c r="A119" s="61">
        <v>223807</v>
      </c>
      <c r="B119" s="61">
        <v>70401</v>
      </c>
      <c r="C119" s="62" t="s">
        <v>138</v>
      </c>
      <c r="D119" s="62" t="s">
        <v>249</v>
      </c>
      <c r="E119" s="62"/>
      <c r="F119" s="62"/>
      <c r="G119" s="62" t="s">
        <v>3</v>
      </c>
      <c r="H119" s="63">
        <v>2000</v>
      </c>
      <c r="I119" s="63">
        <v>2690</v>
      </c>
      <c r="J119" s="62"/>
      <c r="K119" s="62" t="s">
        <v>248</v>
      </c>
      <c r="L119" s="62"/>
      <c r="M119" s="62"/>
      <c r="N119" s="3" t="str">
        <f t="shared" si="1"/>
        <v>0</v>
      </c>
      <c r="O119" s="3" t="str">
        <f>INDEX(Кат!$H:$H,MATCH($A119,Кат!$A:$A,0))</f>
        <v>Севием</v>
      </c>
    </row>
    <row r="120" spans="1:15" ht="30" x14ac:dyDescent="0.25">
      <c r="A120" s="61">
        <v>223839</v>
      </c>
      <c r="B120" s="61">
        <v>134744</v>
      </c>
      <c r="C120" s="62" t="s">
        <v>152</v>
      </c>
      <c r="D120" s="62" t="s">
        <v>249</v>
      </c>
      <c r="E120" s="62" t="s">
        <v>153</v>
      </c>
      <c r="F120" s="62"/>
      <c r="G120" s="62" t="s">
        <v>3</v>
      </c>
      <c r="H120" s="63">
        <v>6000</v>
      </c>
      <c r="I120" s="63">
        <v>8690</v>
      </c>
      <c r="J120" s="62" t="s">
        <v>204</v>
      </c>
      <c r="K120" s="62" t="s">
        <v>7</v>
      </c>
      <c r="L120" s="62" t="s">
        <v>7</v>
      </c>
      <c r="M120" s="62"/>
      <c r="N120" s="3" t="str">
        <f t="shared" si="1"/>
        <v>1ск1</v>
      </c>
      <c r="O120" s="3" t="str">
        <f>INDEX(Кат!$H:$H,MATCH($A120,Кат!$A:$A,0))</f>
        <v>Севием</v>
      </c>
    </row>
    <row r="121" spans="1:15" ht="30" x14ac:dyDescent="0.25">
      <c r="A121" s="61">
        <v>223862</v>
      </c>
      <c r="B121" s="61">
        <v>134746</v>
      </c>
      <c r="C121" s="62" t="s">
        <v>154</v>
      </c>
      <c r="D121" s="62" t="s">
        <v>249</v>
      </c>
      <c r="E121" s="62" t="s">
        <v>155</v>
      </c>
      <c r="F121" s="62"/>
      <c r="G121" s="62" t="s">
        <v>3</v>
      </c>
      <c r="H121" s="63">
        <v>6000</v>
      </c>
      <c r="I121" s="63">
        <v>8690</v>
      </c>
      <c r="J121" s="62" t="s">
        <v>204</v>
      </c>
      <c r="K121" s="62" t="s">
        <v>7</v>
      </c>
      <c r="L121" s="62"/>
      <c r="M121" s="62"/>
      <c r="N121" s="3" t="str">
        <f t="shared" si="1"/>
        <v>1</v>
      </c>
      <c r="O121" s="3" t="str">
        <f>INDEX(Кат!$H:$H,MATCH($A121,Кат!$A:$A,0))</f>
        <v>Севием</v>
      </c>
    </row>
    <row r="122" spans="1:15" ht="30" x14ac:dyDescent="0.25">
      <c r="A122" s="61">
        <v>223863</v>
      </c>
      <c r="B122" s="61">
        <v>17858</v>
      </c>
      <c r="C122" s="62" t="s">
        <v>102</v>
      </c>
      <c r="D122" s="62" t="s">
        <v>249</v>
      </c>
      <c r="E122" s="62" t="s">
        <v>103</v>
      </c>
      <c r="F122" s="62"/>
      <c r="G122" s="62" t="s">
        <v>3</v>
      </c>
      <c r="H122" s="63">
        <v>0</v>
      </c>
      <c r="I122" s="63">
        <v>449</v>
      </c>
      <c r="J122" s="62"/>
      <c r="K122" s="62" t="s">
        <v>248</v>
      </c>
      <c r="L122" s="62"/>
      <c r="M122" s="62"/>
      <c r="N122" s="3" t="str">
        <f t="shared" si="1"/>
        <v>0</v>
      </c>
      <c r="O122" s="3" t="str">
        <f>INDEX(Кат!$H:$H,MATCH($A122,Кат!$A:$A,0))</f>
        <v>Севием</v>
      </c>
    </row>
    <row r="123" spans="1:15" ht="30" x14ac:dyDescent="0.25">
      <c r="A123" s="61">
        <v>223864</v>
      </c>
      <c r="B123" s="61">
        <v>17857</v>
      </c>
      <c r="C123" s="62" t="s">
        <v>100</v>
      </c>
      <c r="D123" s="62" t="s">
        <v>249</v>
      </c>
      <c r="E123" s="62" t="s">
        <v>101</v>
      </c>
      <c r="F123" s="62"/>
      <c r="G123" s="62" t="s">
        <v>3</v>
      </c>
      <c r="H123" s="63">
        <v>0</v>
      </c>
      <c r="I123" s="63">
        <v>449</v>
      </c>
      <c r="J123" s="62"/>
      <c r="K123" s="62" t="s">
        <v>248</v>
      </c>
      <c r="L123" s="62"/>
      <c r="M123" s="62"/>
      <c r="N123" s="3" t="str">
        <f t="shared" si="1"/>
        <v>0</v>
      </c>
      <c r="O123" s="3" t="str">
        <f>INDEX(Кат!$H:$H,MATCH($A123,Кат!$A:$A,0))</f>
        <v>Севием</v>
      </c>
    </row>
    <row r="124" spans="1:15" ht="30" x14ac:dyDescent="0.25">
      <c r="A124" s="61">
        <v>223884</v>
      </c>
      <c r="B124" s="61">
        <v>21403</v>
      </c>
      <c r="C124" s="62" t="s">
        <v>147</v>
      </c>
      <c r="D124" s="62" t="s">
        <v>249</v>
      </c>
      <c r="E124" s="62"/>
      <c r="F124" s="62"/>
      <c r="G124" s="62" t="s">
        <v>3</v>
      </c>
      <c r="H124" s="63">
        <v>12000</v>
      </c>
      <c r="I124" s="63">
        <v>15890</v>
      </c>
      <c r="J124" s="62" t="s">
        <v>205</v>
      </c>
      <c r="K124" s="62" t="s">
        <v>7</v>
      </c>
      <c r="L124" s="62"/>
      <c r="M124" s="62" t="s">
        <v>249</v>
      </c>
      <c r="N124" s="3" t="str">
        <f t="shared" si="1"/>
        <v>1</v>
      </c>
      <c r="O124" s="3" t="str">
        <f>INDEX(Кат!$H:$H,MATCH($A124,Кат!$A:$A,0))</f>
        <v>Севием</v>
      </c>
    </row>
    <row r="125" spans="1:15" ht="30" x14ac:dyDescent="0.25">
      <c r="A125" s="61">
        <v>223936</v>
      </c>
      <c r="B125" s="61">
        <v>5025</v>
      </c>
      <c r="C125" s="62" t="s">
        <v>30</v>
      </c>
      <c r="D125" s="62" t="s">
        <v>249</v>
      </c>
      <c r="E125" s="62"/>
      <c r="F125" s="62"/>
      <c r="G125" s="62" t="s">
        <v>3</v>
      </c>
      <c r="H125" s="63">
        <v>0</v>
      </c>
      <c r="I125" s="63">
        <v>6590</v>
      </c>
      <c r="J125" s="62"/>
      <c r="K125" s="62" t="s">
        <v>248</v>
      </c>
      <c r="L125" s="62"/>
      <c r="M125" s="62" t="s">
        <v>249</v>
      </c>
      <c r="N125" s="3" t="str">
        <f t="shared" si="1"/>
        <v>0</v>
      </c>
      <c r="O125" s="3" t="str">
        <f>INDEX(Кат!$H:$H,MATCH($A125,Кат!$A:$A,0))</f>
        <v>Севием</v>
      </c>
    </row>
    <row r="126" spans="1:15" ht="45" x14ac:dyDescent="0.25">
      <c r="A126" s="61">
        <v>224167</v>
      </c>
      <c r="B126" s="61">
        <v>37525</v>
      </c>
      <c r="C126" s="62" t="s">
        <v>258</v>
      </c>
      <c r="D126" s="62" t="s">
        <v>249</v>
      </c>
      <c r="E126" s="62"/>
      <c r="F126" s="62"/>
      <c r="G126" s="62" t="s">
        <v>3</v>
      </c>
      <c r="H126" s="63">
        <v>5000</v>
      </c>
      <c r="I126" s="63">
        <v>6990</v>
      </c>
      <c r="J126" s="62"/>
      <c r="K126" s="62" t="s">
        <v>7</v>
      </c>
      <c r="L126" s="62"/>
      <c r="M126" s="62" t="s">
        <v>249</v>
      </c>
      <c r="N126" s="3" t="str">
        <f t="shared" si="1"/>
        <v>1</v>
      </c>
      <c r="O126" s="3" t="str">
        <f>INDEX(Кат!$H:$H,MATCH($A126,Кат!$A:$A,0))</f>
        <v>Севием</v>
      </c>
    </row>
    <row r="127" spans="1:15" ht="30" x14ac:dyDescent="0.25">
      <c r="A127" s="61">
        <v>224170</v>
      </c>
      <c r="B127" s="61">
        <v>32805</v>
      </c>
      <c r="C127" s="62" t="s">
        <v>259</v>
      </c>
      <c r="D127" s="62" t="s">
        <v>249</v>
      </c>
      <c r="E127" s="62"/>
      <c r="F127" s="62"/>
      <c r="G127" s="62" t="s">
        <v>3</v>
      </c>
      <c r="H127" s="63">
        <v>5000</v>
      </c>
      <c r="I127" s="63">
        <v>8290</v>
      </c>
      <c r="J127" s="62" t="s">
        <v>180</v>
      </c>
      <c r="K127" s="62" t="s">
        <v>7</v>
      </c>
      <c r="L127" s="62"/>
      <c r="M127" s="62"/>
      <c r="N127" s="3" t="str">
        <f t="shared" si="1"/>
        <v>1</v>
      </c>
      <c r="O127" s="3" t="str">
        <f>INDEX(Кат!$H:$H,MATCH($A127,Кат!$A:$A,0))</f>
        <v>Севием</v>
      </c>
    </row>
    <row r="128" spans="1:15" ht="45" x14ac:dyDescent="0.25">
      <c r="A128" s="61">
        <v>224171</v>
      </c>
      <c r="B128" s="61">
        <v>158854</v>
      </c>
      <c r="C128" s="62" t="s">
        <v>158</v>
      </c>
      <c r="D128" s="62" t="s">
        <v>249</v>
      </c>
      <c r="E128" s="62"/>
      <c r="F128" s="62"/>
      <c r="G128" s="62" t="s">
        <v>3</v>
      </c>
      <c r="H128" s="63">
        <v>12000</v>
      </c>
      <c r="I128" s="63">
        <v>15890</v>
      </c>
      <c r="J128" s="62" t="s">
        <v>291</v>
      </c>
      <c r="K128" s="62" t="s">
        <v>7</v>
      </c>
      <c r="L128" s="62"/>
      <c r="M128" s="62"/>
      <c r="N128" s="3" t="str">
        <f t="shared" si="1"/>
        <v>1</v>
      </c>
      <c r="O128" s="3" t="str">
        <f>INDEX(Кат!$H:$H,MATCH($A128,Кат!$A:$A,0))</f>
        <v>Севием</v>
      </c>
    </row>
    <row r="129" spans="1:15" ht="45" x14ac:dyDescent="0.25">
      <c r="A129" s="61">
        <v>224172</v>
      </c>
      <c r="B129" s="61">
        <v>158884</v>
      </c>
      <c r="C129" s="62" t="s">
        <v>159</v>
      </c>
      <c r="D129" s="62" t="s">
        <v>249</v>
      </c>
      <c r="E129" s="62"/>
      <c r="F129" s="62"/>
      <c r="G129" s="62" t="s">
        <v>3</v>
      </c>
      <c r="H129" s="63">
        <v>12000</v>
      </c>
      <c r="I129" s="63">
        <v>15490</v>
      </c>
      <c r="J129" s="62" t="s">
        <v>292</v>
      </c>
      <c r="K129" s="62" t="s">
        <v>7</v>
      </c>
      <c r="L129" s="62"/>
      <c r="M129" s="62"/>
      <c r="N129" s="3" t="str">
        <f t="shared" si="1"/>
        <v>1</v>
      </c>
      <c r="O129" s="3" t="str">
        <f>INDEX(Кат!$H:$H,MATCH($A129,Кат!$A:$A,0))</f>
        <v>Севием</v>
      </c>
    </row>
    <row r="130" spans="1:15" ht="45" x14ac:dyDescent="0.25">
      <c r="A130" s="61">
        <v>224184</v>
      </c>
      <c r="B130" s="61">
        <v>29298</v>
      </c>
      <c r="C130" s="62" t="s">
        <v>116</v>
      </c>
      <c r="D130" s="62" t="s">
        <v>249</v>
      </c>
      <c r="E130" s="62"/>
      <c r="F130" s="62"/>
      <c r="G130" s="62" t="s">
        <v>3</v>
      </c>
      <c r="H130" s="63">
        <v>135</v>
      </c>
      <c r="I130" s="63">
        <v>279</v>
      </c>
      <c r="J130" s="62" t="s">
        <v>176</v>
      </c>
      <c r="K130" s="62" t="s">
        <v>7</v>
      </c>
      <c r="L130" s="62" t="s">
        <v>7</v>
      </c>
      <c r="M130" s="62"/>
      <c r="N130" s="3" t="str">
        <f t="shared" si="1"/>
        <v>1ск1</v>
      </c>
      <c r="O130" s="3" t="str">
        <f>INDEX(Кат!$H:$H,MATCH($A130,Кат!$A:$A,0))</f>
        <v>Севием</v>
      </c>
    </row>
    <row r="131" spans="1:15" ht="30" x14ac:dyDescent="0.25">
      <c r="A131" s="61">
        <v>224195</v>
      </c>
      <c r="B131" s="61">
        <v>23916</v>
      </c>
      <c r="C131" s="62" t="s">
        <v>29</v>
      </c>
      <c r="D131" s="62" t="s">
        <v>249</v>
      </c>
      <c r="E131" s="62" t="s">
        <v>112</v>
      </c>
      <c r="F131" s="62"/>
      <c r="G131" s="62" t="s">
        <v>3</v>
      </c>
      <c r="H131" s="63">
        <v>280</v>
      </c>
      <c r="I131" s="63">
        <v>949</v>
      </c>
      <c r="J131" s="62" t="s">
        <v>208</v>
      </c>
      <c r="K131" s="62" t="s">
        <v>7</v>
      </c>
      <c r="L131" s="62"/>
      <c r="M131" s="62"/>
      <c r="N131" s="3" t="str">
        <f t="shared" ref="N131:N140" si="2">_xlfn.CONCAT(K131,IF(L131&lt;&gt;"",_xlfn.CONCAT("ск",L131),""))</f>
        <v>1</v>
      </c>
      <c r="O131" s="3" t="str">
        <f>INDEX(Кат!$H:$H,MATCH($A131,Кат!$A:$A,0))</f>
        <v>Севием</v>
      </c>
    </row>
    <row r="132" spans="1:15" ht="30" x14ac:dyDescent="0.25">
      <c r="A132" s="61">
        <v>224199</v>
      </c>
      <c r="B132" s="61">
        <v>3833</v>
      </c>
      <c r="C132" s="62" t="s">
        <v>299</v>
      </c>
      <c r="D132" s="62" t="s">
        <v>249</v>
      </c>
      <c r="E132" s="62"/>
      <c r="F132" s="62"/>
      <c r="G132" s="62" t="s">
        <v>3</v>
      </c>
      <c r="H132" s="63">
        <v>550</v>
      </c>
      <c r="I132" s="63">
        <v>1090</v>
      </c>
      <c r="J132" s="62" t="s">
        <v>280</v>
      </c>
      <c r="K132" s="62" t="s">
        <v>7</v>
      </c>
      <c r="L132" s="62"/>
      <c r="M132" s="62"/>
      <c r="N132" s="3" t="str">
        <f t="shared" si="2"/>
        <v>1</v>
      </c>
      <c r="O132" s="3" t="str">
        <f>INDEX(Кат!$H:$H,MATCH($A132,Кат!$A:$A,0))</f>
        <v>Севием</v>
      </c>
    </row>
    <row r="133" spans="1:15" ht="30" x14ac:dyDescent="0.25">
      <c r="A133" s="61">
        <v>224222</v>
      </c>
      <c r="B133" s="61">
        <v>23917</v>
      </c>
      <c r="C133" s="62" t="s">
        <v>28</v>
      </c>
      <c r="D133" s="62" t="s">
        <v>249</v>
      </c>
      <c r="E133" s="62" t="s">
        <v>113</v>
      </c>
      <c r="F133" s="62"/>
      <c r="G133" s="62" t="s">
        <v>3</v>
      </c>
      <c r="H133" s="63">
        <v>280</v>
      </c>
      <c r="I133" s="63">
        <v>949</v>
      </c>
      <c r="J133" s="62" t="s">
        <v>177</v>
      </c>
      <c r="K133" s="62" t="s">
        <v>7</v>
      </c>
      <c r="L133" s="62"/>
      <c r="M133" s="62"/>
      <c r="N133" s="3" t="str">
        <f t="shared" si="2"/>
        <v>1</v>
      </c>
      <c r="O133" s="3" t="str">
        <f>INDEX(Кат!$H:$H,MATCH($A133,Кат!$A:$A,0))</f>
        <v>Севием</v>
      </c>
    </row>
    <row r="134" spans="1:15" ht="30" x14ac:dyDescent="0.25">
      <c r="A134" s="61">
        <v>224226</v>
      </c>
      <c r="B134" s="61">
        <v>3834</v>
      </c>
      <c r="C134" s="62" t="s">
        <v>300</v>
      </c>
      <c r="D134" s="62" t="s">
        <v>249</v>
      </c>
      <c r="E134" s="62"/>
      <c r="F134" s="62"/>
      <c r="G134" s="62" t="s">
        <v>3</v>
      </c>
      <c r="H134" s="63">
        <v>550</v>
      </c>
      <c r="I134" s="63">
        <v>1090</v>
      </c>
      <c r="J134" s="62" t="s">
        <v>281</v>
      </c>
      <c r="K134" s="62" t="s">
        <v>7</v>
      </c>
      <c r="L134" s="62"/>
      <c r="M134" s="62"/>
      <c r="N134" s="3" t="str">
        <f t="shared" si="2"/>
        <v>1</v>
      </c>
      <c r="O134" s="3" t="str">
        <f>INDEX(Кат!$H:$H,MATCH($A134,Кат!$A:$A,0))</f>
        <v>Севием</v>
      </c>
    </row>
    <row r="135" spans="1:15" ht="60" x14ac:dyDescent="0.25">
      <c r="A135" s="61">
        <v>224253</v>
      </c>
      <c r="B135" s="61">
        <v>23636</v>
      </c>
      <c r="C135" s="62" t="s">
        <v>27</v>
      </c>
      <c r="D135" s="62" t="s">
        <v>249</v>
      </c>
      <c r="E135" s="62"/>
      <c r="F135" s="62"/>
      <c r="G135" s="62" t="s">
        <v>3</v>
      </c>
      <c r="H135" s="63">
        <v>350</v>
      </c>
      <c r="I135" s="63">
        <v>729</v>
      </c>
      <c r="J135" s="62" t="s">
        <v>270</v>
      </c>
      <c r="K135" s="62" t="s">
        <v>7</v>
      </c>
      <c r="L135" s="62"/>
      <c r="M135" s="62"/>
      <c r="N135" s="3" t="str">
        <f t="shared" si="2"/>
        <v>1</v>
      </c>
      <c r="O135" s="3" t="str">
        <f>INDEX(Кат!$H:$H,MATCH($A135,Кат!$A:$A,0))</f>
        <v>Севием</v>
      </c>
    </row>
    <row r="136" spans="1:15" ht="60" x14ac:dyDescent="0.25">
      <c r="A136" s="61">
        <v>224254</v>
      </c>
      <c r="B136" s="61">
        <v>23635</v>
      </c>
      <c r="C136" s="62" t="s">
        <v>26</v>
      </c>
      <c r="D136" s="62" t="s">
        <v>249</v>
      </c>
      <c r="E136" s="62" t="s">
        <v>148</v>
      </c>
      <c r="F136" s="62" t="s">
        <v>148</v>
      </c>
      <c r="G136" s="62" t="s">
        <v>3</v>
      </c>
      <c r="H136" s="63">
        <v>400</v>
      </c>
      <c r="I136" s="63">
        <v>729</v>
      </c>
      <c r="J136" s="62" t="s">
        <v>271</v>
      </c>
      <c r="K136" s="62" t="s">
        <v>7</v>
      </c>
      <c r="L136" s="62"/>
      <c r="M136" s="62"/>
      <c r="N136" s="3" t="str">
        <f t="shared" si="2"/>
        <v>1</v>
      </c>
      <c r="O136" s="3" t="str">
        <f>INDEX(Кат!$H:$H,MATCH($A136,Кат!$A:$A,0))</f>
        <v>Севием</v>
      </c>
    </row>
    <row r="137" spans="1:15" ht="60" x14ac:dyDescent="0.25">
      <c r="A137" s="61">
        <v>224255</v>
      </c>
      <c r="B137" s="61">
        <v>28204</v>
      </c>
      <c r="C137" s="62" t="s">
        <v>25</v>
      </c>
      <c r="D137" s="62" t="s">
        <v>249</v>
      </c>
      <c r="E137" s="62"/>
      <c r="F137" s="62"/>
      <c r="G137" s="62" t="s">
        <v>3</v>
      </c>
      <c r="H137" s="63">
        <v>450</v>
      </c>
      <c r="I137" s="63">
        <v>1190</v>
      </c>
      <c r="J137" s="62" t="s">
        <v>276</v>
      </c>
      <c r="K137" s="62" t="s">
        <v>7</v>
      </c>
      <c r="L137" s="62"/>
      <c r="M137" s="62"/>
      <c r="N137" s="3" t="str">
        <f t="shared" si="2"/>
        <v>1</v>
      </c>
      <c r="O137" s="3" t="str">
        <f>INDEX(Кат!$H:$H,MATCH($A137,Кат!$A:$A,0))</f>
        <v>Севием</v>
      </c>
    </row>
    <row r="138" spans="1:15" ht="60" x14ac:dyDescent="0.25">
      <c r="A138" s="61">
        <v>224257</v>
      </c>
      <c r="B138" s="61">
        <v>29126</v>
      </c>
      <c r="C138" s="62" t="s">
        <v>24</v>
      </c>
      <c r="D138" s="62" t="s">
        <v>249</v>
      </c>
      <c r="E138" s="62"/>
      <c r="F138" s="62"/>
      <c r="G138" s="62" t="s">
        <v>3</v>
      </c>
      <c r="H138" s="63">
        <v>430</v>
      </c>
      <c r="I138" s="63">
        <v>989</v>
      </c>
      <c r="J138" s="62" t="s">
        <v>277</v>
      </c>
      <c r="K138" s="62" t="s">
        <v>7</v>
      </c>
      <c r="L138" s="62"/>
      <c r="M138" s="62"/>
      <c r="N138" s="3" t="str">
        <f t="shared" si="2"/>
        <v>1</v>
      </c>
      <c r="O138" s="3" t="str">
        <f>INDEX(Кат!$H:$H,MATCH($A138,Кат!$A:$A,0))</f>
        <v>Севием</v>
      </c>
    </row>
    <row r="139" spans="1:15" ht="45" x14ac:dyDescent="0.25">
      <c r="A139" s="61">
        <v>225818</v>
      </c>
      <c r="B139" s="61">
        <v>69191</v>
      </c>
      <c r="C139" s="62" t="s">
        <v>137</v>
      </c>
      <c r="D139" s="62" t="s">
        <v>249</v>
      </c>
      <c r="E139" s="62"/>
      <c r="F139" s="62"/>
      <c r="G139" s="62" t="s">
        <v>3</v>
      </c>
      <c r="H139" s="63">
        <v>70</v>
      </c>
      <c r="I139" s="63">
        <v>309</v>
      </c>
      <c r="J139" s="62" t="s">
        <v>206</v>
      </c>
      <c r="K139" s="62" t="s">
        <v>7</v>
      </c>
      <c r="L139" s="62" t="s">
        <v>88</v>
      </c>
      <c r="M139" s="62"/>
      <c r="N139" s="3" t="str">
        <f t="shared" si="2"/>
        <v>1ск4</v>
      </c>
      <c r="O139" s="3" t="str">
        <f>INDEX(Кат!$H:$H,MATCH($A139,Кат!$A:$A,0))</f>
        <v>Севием</v>
      </c>
    </row>
    <row r="140" spans="1:15" ht="45" x14ac:dyDescent="0.25">
      <c r="A140" s="61">
        <v>226468</v>
      </c>
      <c r="B140" s="61">
        <v>4826</v>
      </c>
      <c r="C140" s="62" t="s">
        <v>23</v>
      </c>
      <c r="D140" s="62" t="s">
        <v>249</v>
      </c>
      <c r="E140" s="62"/>
      <c r="F140" s="62"/>
      <c r="G140" s="62" t="s">
        <v>3</v>
      </c>
      <c r="H140" s="63">
        <v>10400</v>
      </c>
      <c r="I140" s="63">
        <v>14090</v>
      </c>
      <c r="J140" s="62" t="s">
        <v>181</v>
      </c>
      <c r="K140" s="62" t="s">
        <v>248</v>
      </c>
      <c r="L140" s="62"/>
      <c r="M140" s="62"/>
      <c r="N140" s="3" t="str">
        <f t="shared" si="2"/>
        <v>0</v>
      </c>
      <c r="O140" s="3" t="str">
        <f>INDEX(Кат!$H:$H,MATCH($A140,Кат!$A:$A,0))</f>
        <v>Севием</v>
      </c>
    </row>
  </sheetData>
  <autoFilter ref="A1:O140" xr:uid="{9EC01486-319A-476E-8296-BD67640EE1F1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C4E5-0865-45B0-8499-10173C9919CC}">
  <sheetPr codeName="Лист6">
    <outlinePr summaryBelow="0"/>
  </sheetPr>
  <dimension ref="A1:P7"/>
  <sheetViews>
    <sheetView showRuler="0" zoomScaleNormal="100" workbookViewId="0">
      <pane ySplit="1" topLeftCell="A2" activePane="bottomLeft" state="frozen"/>
      <selection pane="bottomLeft" activeCell="B2" sqref="B2:B7"/>
    </sheetView>
  </sheetViews>
  <sheetFormatPr defaultRowHeight="15" x14ac:dyDescent="0.25"/>
  <cols>
    <col min="1" max="1" width="22.28515625" style="8" customWidth="1"/>
    <col min="2" max="3" width="7.7109375" style="8" customWidth="1"/>
    <col min="4" max="4" width="22.28515625" style="8" customWidth="1"/>
    <col min="5" max="5" width="11.140625" style="8" customWidth="1"/>
    <col min="6" max="8" width="22.28515625" style="8" customWidth="1"/>
    <col min="9" max="10" width="8.85546875" style="8" customWidth="1"/>
    <col min="11" max="14" width="7.7109375" style="8" customWidth="1"/>
    <col min="15" max="16384" width="9.140625" style="8"/>
  </cols>
  <sheetData>
    <row r="1" spans="1:16" s="9" customFormat="1" ht="30" x14ac:dyDescent="0.25">
      <c r="A1" s="64" t="s">
        <v>260</v>
      </c>
      <c r="B1" s="64" t="s">
        <v>0</v>
      </c>
      <c r="C1" s="64" t="s">
        <v>261</v>
      </c>
      <c r="D1" s="64" t="s">
        <v>242</v>
      </c>
      <c r="E1" s="64" t="s">
        <v>243</v>
      </c>
      <c r="F1" s="64" t="s">
        <v>244</v>
      </c>
      <c r="G1" s="64" t="s">
        <v>1</v>
      </c>
      <c r="H1" s="64" t="s">
        <v>2</v>
      </c>
      <c r="I1" s="64" t="s">
        <v>86</v>
      </c>
      <c r="J1" s="64" t="s">
        <v>87</v>
      </c>
      <c r="K1" s="64" t="s">
        <v>235</v>
      </c>
      <c r="L1" s="64" t="s">
        <v>246</v>
      </c>
      <c r="M1" s="64" t="s">
        <v>262</v>
      </c>
      <c r="N1" s="64" t="s">
        <v>81</v>
      </c>
      <c r="O1" s="3"/>
      <c r="P1" s="3"/>
    </row>
    <row r="2" spans="1:16" ht="60" x14ac:dyDescent="0.25">
      <c r="A2" s="66" t="s">
        <v>145</v>
      </c>
      <c r="B2" s="65">
        <v>402912</v>
      </c>
      <c r="C2" s="65">
        <v>402912</v>
      </c>
      <c r="D2" s="66" t="s">
        <v>317</v>
      </c>
      <c r="E2" s="66" t="s">
        <v>249</v>
      </c>
      <c r="F2" s="66"/>
      <c r="G2" s="66"/>
      <c r="H2" s="66" t="s">
        <v>3</v>
      </c>
      <c r="I2" s="67">
        <v>5300</v>
      </c>
      <c r="J2" s="67">
        <v>7490</v>
      </c>
      <c r="K2" s="66"/>
      <c r="L2" s="65">
        <v>1</v>
      </c>
      <c r="M2" s="65"/>
      <c r="N2" s="66"/>
      <c r="O2" s="3" t="str">
        <f>_xlfn.CONCAT(L2,IF(M2&lt;&gt;"",_xlfn.CONCAT("ск",M2),""))</f>
        <v>1</v>
      </c>
      <c r="P2" s="3" t="str">
        <f>INDEX(Торг!$I:$I,MATCH($B2,Торг!$B:$B,0))</f>
        <v>Севием</v>
      </c>
    </row>
    <row r="3" spans="1:16" ht="60" x14ac:dyDescent="0.25">
      <c r="A3" s="66" t="s">
        <v>145</v>
      </c>
      <c r="B3" s="65">
        <v>223910</v>
      </c>
      <c r="C3" s="65">
        <v>45020</v>
      </c>
      <c r="D3" s="66" t="s">
        <v>318</v>
      </c>
      <c r="E3" s="66" t="s">
        <v>249</v>
      </c>
      <c r="F3" s="66"/>
      <c r="G3" s="66"/>
      <c r="H3" s="66" t="s">
        <v>3</v>
      </c>
      <c r="I3" s="67">
        <v>5300</v>
      </c>
      <c r="J3" s="67">
        <v>7490</v>
      </c>
      <c r="K3" s="66"/>
      <c r="L3" s="65">
        <v>1</v>
      </c>
      <c r="M3" s="65">
        <v>1</v>
      </c>
      <c r="N3" s="66"/>
      <c r="O3" s="3" t="str">
        <f>_xlfn.CONCAT(L3,IF(M3&lt;&gt;"",_xlfn.CONCAT("ск",M3),""))</f>
        <v>1ск1</v>
      </c>
      <c r="P3" s="3" t="str">
        <f>INDEX(Торг!$I:$I,MATCH($B3,Торг!$B:$B,0))</f>
        <v>Севием</v>
      </c>
    </row>
    <row r="4" spans="1:16" ht="75" x14ac:dyDescent="0.25">
      <c r="A4" s="66" t="s">
        <v>145</v>
      </c>
      <c r="B4" s="65">
        <v>402913</v>
      </c>
      <c r="C4" s="65">
        <v>402913</v>
      </c>
      <c r="D4" s="66" t="s">
        <v>319</v>
      </c>
      <c r="E4" s="66" t="s">
        <v>249</v>
      </c>
      <c r="F4" s="66"/>
      <c r="G4" s="66"/>
      <c r="H4" s="66" t="s">
        <v>3</v>
      </c>
      <c r="I4" s="67">
        <v>5300</v>
      </c>
      <c r="J4" s="67">
        <v>7490</v>
      </c>
      <c r="K4" s="66"/>
      <c r="L4" s="65">
        <v>1</v>
      </c>
      <c r="M4" s="65"/>
      <c r="N4" s="66"/>
      <c r="O4" s="3" t="str">
        <f t="shared" ref="O4:O7" si="0">_xlfn.CONCAT(L4,IF(M4&lt;&gt;"",_xlfn.CONCAT("ск",M4),""))</f>
        <v>1</v>
      </c>
      <c r="P4" s="3" t="str">
        <f>INDEX(Торг!$I:$I,MATCH($B4,Торг!$B:$B,0))</f>
        <v>Севием</v>
      </c>
    </row>
    <row r="5" spans="1:16" ht="60" x14ac:dyDescent="0.25">
      <c r="A5" s="66" t="s">
        <v>145</v>
      </c>
      <c r="B5" s="65">
        <v>402914</v>
      </c>
      <c r="C5" s="65">
        <v>402914</v>
      </c>
      <c r="D5" s="66" t="s">
        <v>320</v>
      </c>
      <c r="E5" s="66" t="s">
        <v>249</v>
      </c>
      <c r="F5" s="66"/>
      <c r="G5" s="66"/>
      <c r="H5" s="66" t="s">
        <v>3</v>
      </c>
      <c r="I5" s="67">
        <v>5300</v>
      </c>
      <c r="J5" s="67">
        <v>7490</v>
      </c>
      <c r="K5" s="66"/>
      <c r="L5" s="65">
        <v>1</v>
      </c>
      <c r="M5" s="65"/>
      <c r="N5" s="66"/>
      <c r="O5" s="3" t="str">
        <f t="shared" si="0"/>
        <v>1</v>
      </c>
      <c r="P5" s="3" t="str">
        <f>INDEX(Торг!$I:$I,MATCH($B5,Торг!$B:$B,0))</f>
        <v>Севием</v>
      </c>
    </row>
    <row r="6" spans="1:16" ht="60" x14ac:dyDescent="0.25">
      <c r="A6" s="66" t="s">
        <v>145</v>
      </c>
      <c r="B6" s="65">
        <v>223911</v>
      </c>
      <c r="C6" s="65">
        <v>45021</v>
      </c>
      <c r="D6" s="66" t="s">
        <v>321</v>
      </c>
      <c r="E6" s="66" t="s">
        <v>249</v>
      </c>
      <c r="F6" s="66"/>
      <c r="G6" s="66"/>
      <c r="H6" s="66" t="s">
        <v>3</v>
      </c>
      <c r="I6" s="67">
        <v>5300</v>
      </c>
      <c r="J6" s="67">
        <v>7490</v>
      </c>
      <c r="K6" s="66"/>
      <c r="L6" s="65">
        <v>1</v>
      </c>
      <c r="M6" s="65"/>
      <c r="N6" s="66"/>
      <c r="O6" s="3" t="str">
        <f t="shared" si="0"/>
        <v>1</v>
      </c>
      <c r="P6" s="3" t="str">
        <f>INDEX(Торг!$I:$I,MATCH($B6,Торг!$B:$B,0))</f>
        <v>Севием</v>
      </c>
    </row>
    <row r="7" spans="1:16" ht="75" x14ac:dyDescent="0.25">
      <c r="A7" s="66" t="s">
        <v>145</v>
      </c>
      <c r="B7" s="65">
        <v>402915</v>
      </c>
      <c r="C7" s="65">
        <v>402915</v>
      </c>
      <c r="D7" s="66" t="s">
        <v>322</v>
      </c>
      <c r="E7" s="66" t="s">
        <v>249</v>
      </c>
      <c r="F7" s="66"/>
      <c r="G7" s="66"/>
      <c r="H7" s="66" t="s">
        <v>3</v>
      </c>
      <c r="I7" s="67">
        <v>5300</v>
      </c>
      <c r="J7" s="67">
        <v>7490</v>
      </c>
      <c r="K7" s="66"/>
      <c r="L7" s="65">
        <v>1</v>
      </c>
      <c r="M7" s="65"/>
      <c r="N7" s="66"/>
      <c r="O7" s="3" t="str">
        <f t="shared" si="0"/>
        <v>1</v>
      </c>
      <c r="P7" s="3" t="str">
        <f>INDEX(Торг!$I:$I,MATCH($B7,Торг!$B:$B,0))</f>
        <v>Севием</v>
      </c>
    </row>
  </sheetData>
  <sheetProtection formatCells="0" formatColumns="0" formatRows="0" insertColumns="0" insertRows="0" insertHyperlinks="0" deleteColumns="0" deleteRows="0" sort="0" autoFilter="0" pivotTables="0"/>
  <autoFilter ref="A1:P7" xr:uid="{2852D0DF-3BD3-43CF-A342-F8497257B0E6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D4B04-FF74-4FDE-8737-6775869468F3}">
  <sheetPr codeName="Лист7">
    <tabColor rgb="FF92D050"/>
  </sheetPr>
  <dimension ref="A1:C146"/>
  <sheetViews>
    <sheetView topLeftCell="A124" workbookViewId="0">
      <selection activeCell="A3" sqref="A3:C146"/>
    </sheetView>
  </sheetViews>
  <sheetFormatPr defaultRowHeight="15" x14ac:dyDescent="0.25"/>
  <cols>
    <col min="1" max="1" width="7" style="24" bestFit="1" customWidth="1"/>
    <col min="2" max="2" width="9.7109375" style="48" bestFit="1" customWidth="1"/>
    <col min="3" max="3" width="16.85546875" style="24" customWidth="1"/>
  </cols>
  <sheetData>
    <row r="1" spans="1:3" x14ac:dyDescent="0.25">
      <c r="B1" s="32"/>
    </row>
    <row r="2" spans="1:3" x14ac:dyDescent="0.25">
      <c r="A2" s="7" t="s">
        <v>0</v>
      </c>
      <c r="B2" s="38" t="s">
        <v>174</v>
      </c>
    </row>
    <row r="3" spans="1:3" x14ac:dyDescent="0.25">
      <c r="A3" s="39">
        <v>223936</v>
      </c>
      <c r="B3" s="42"/>
    </row>
    <row r="4" spans="1:3" x14ac:dyDescent="0.25">
      <c r="A4" s="39">
        <v>223864</v>
      </c>
      <c r="B4" s="42"/>
    </row>
    <row r="5" spans="1:3" x14ac:dyDescent="0.25">
      <c r="A5" s="39">
        <v>223863</v>
      </c>
      <c r="B5" s="42"/>
    </row>
    <row r="6" spans="1:3" x14ac:dyDescent="0.25">
      <c r="A6" s="39">
        <v>201803</v>
      </c>
      <c r="B6" s="42"/>
    </row>
    <row r="7" spans="1:3" ht="15.75" thickBot="1" x14ac:dyDescent="0.3">
      <c r="A7" s="39">
        <v>145575</v>
      </c>
      <c r="B7" s="43">
        <v>3890</v>
      </c>
      <c r="C7" s="24" t="s">
        <v>175</v>
      </c>
    </row>
    <row r="8" spans="1:3" ht="15.75" thickTop="1" x14ac:dyDescent="0.25">
      <c r="A8" s="39">
        <v>256559</v>
      </c>
      <c r="B8" s="42">
        <v>1190</v>
      </c>
      <c r="C8" s="24" t="s">
        <v>306</v>
      </c>
    </row>
    <row r="9" spans="1:3" ht="15.75" thickBot="1" x14ac:dyDescent="0.3">
      <c r="A9" s="39">
        <v>217463</v>
      </c>
      <c r="B9" s="44">
        <v>189</v>
      </c>
      <c r="C9" s="24" t="s">
        <v>182</v>
      </c>
    </row>
    <row r="10" spans="1:3" ht="15.75" thickTop="1" x14ac:dyDescent="0.25">
      <c r="A10" s="39">
        <v>217465</v>
      </c>
      <c r="B10" s="42">
        <v>129</v>
      </c>
      <c r="C10" s="24" t="s">
        <v>269</v>
      </c>
    </row>
    <row r="11" spans="1:3" x14ac:dyDescent="0.25">
      <c r="A11" s="39">
        <v>247407</v>
      </c>
      <c r="B11" s="42">
        <v>290</v>
      </c>
      <c r="C11" s="24" t="s">
        <v>268</v>
      </c>
    </row>
    <row r="12" spans="1:3" ht="15.75" thickBot="1" x14ac:dyDescent="0.3">
      <c r="A12" s="39">
        <v>225818</v>
      </c>
      <c r="B12" s="44">
        <v>290</v>
      </c>
      <c r="C12" s="24" t="s">
        <v>206</v>
      </c>
    </row>
    <row r="13" spans="1:3" ht="16.5" thickTop="1" thickBot="1" x14ac:dyDescent="0.3">
      <c r="A13" s="39">
        <v>250385</v>
      </c>
      <c r="B13" s="44">
        <v>290</v>
      </c>
      <c r="C13" s="24" t="s">
        <v>207</v>
      </c>
    </row>
    <row r="14" spans="1:3" ht="16.5" thickTop="1" thickBot="1" x14ac:dyDescent="0.3">
      <c r="A14" s="39">
        <v>224184</v>
      </c>
      <c r="B14" s="43">
        <v>269</v>
      </c>
      <c r="C14" s="24" t="s">
        <v>176</v>
      </c>
    </row>
    <row r="15" spans="1:3" ht="16.5" thickTop="1" thickBot="1" x14ac:dyDescent="0.3">
      <c r="A15" s="39">
        <v>217455</v>
      </c>
      <c r="B15" s="44">
        <v>269</v>
      </c>
      <c r="C15" s="24" t="s">
        <v>183</v>
      </c>
    </row>
    <row r="16" spans="1:3" ht="16.5" thickTop="1" thickBot="1" x14ac:dyDescent="0.3">
      <c r="A16" s="39">
        <v>217460</v>
      </c>
      <c r="B16" s="44">
        <v>290</v>
      </c>
      <c r="C16" s="24" t="s">
        <v>184</v>
      </c>
    </row>
    <row r="17" spans="1:3" ht="15.75" thickTop="1" x14ac:dyDescent="0.25">
      <c r="A17" s="39">
        <v>256560</v>
      </c>
      <c r="B17" s="42">
        <v>229</v>
      </c>
      <c r="C17" s="24" t="s">
        <v>185</v>
      </c>
    </row>
    <row r="18" spans="1:3" x14ac:dyDescent="0.25">
      <c r="A18" s="39">
        <v>223042</v>
      </c>
      <c r="B18" s="45" t="s">
        <v>272</v>
      </c>
    </row>
    <row r="19" spans="1:3" x14ac:dyDescent="0.25">
      <c r="A19" s="39">
        <v>213273</v>
      </c>
      <c r="B19" s="45" t="s">
        <v>273</v>
      </c>
    </row>
    <row r="20" spans="1:3" ht="15.75" thickBot="1" x14ac:dyDescent="0.3">
      <c r="A20" s="39">
        <v>217464</v>
      </c>
      <c r="B20" s="44">
        <v>229</v>
      </c>
      <c r="C20" s="24" t="s">
        <v>185</v>
      </c>
    </row>
    <row r="21" spans="1:3" ht="30.75" thickTop="1" x14ac:dyDescent="0.25">
      <c r="A21" s="39">
        <v>194072</v>
      </c>
      <c r="B21" s="45" t="s">
        <v>275</v>
      </c>
      <c r="C21" s="24" t="s">
        <v>274</v>
      </c>
    </row>
    <row r="22" spans="1:3" x14ac:dyDescent="0.25">
      <c r="A22" s="39">
        <v>223124</v>
      </c>
      <c r="B22" s="42"/>
    </row>
    <row r="23" spans="1:3" ht="15.75" thickBot="1" x14ac:dyDescent="0.3">
      <c r="A23" s="39">
        <v>224195</v>
      </c>
      <c r="B23" s="44">
        <v>890</v>
      </c>
      <c r="C23" s="24" t="s">
        <v>208</v>
      </c>
    </row>
    <row r="24" spans="1:3" ht="16.5" thickTop="1" thickBot="1" x14ac:dyDescent="0.3">
      <c r="A24" s="39">
        <v>224222</v>
      </c>
      <c r="B24" s="43">
        <v>890</v>
      </c>
      <c r="C24" s="24" t="s">
        <v>177</v>
      </c>
    </row>
    <row r="25" spans="1:3" ht="16.5" thickTop="1" thickBot="1" x14ac:dyDescent="0.3">
      <c r="A25" s="39">
        <v>194923</v>
      </c>
      <c r="B25" s="44">
        <v>595</v>
      </c>
      <c r="C25" s="24" t="s">
        <v>186</v>
      </c>
    </row>
    <row r="26" spans="1:3" ht="16.5" thickTop="1" thickBot="1" x14ac:dyDescent="0.3">
      <c r="A26" s="39">
        <v>194925</v>
      </c>
      <c r="B26" s="44">
        <v>595</v>
      </c>
      <c r="C26" s="24" t="s">
        <v>186</v>
      </c>
    </row>
    <row r="27" spans="1:3" ht="16.5" thickTop="1" thickBot="1" x14ac:dyDescent="0.3">
      <c r="A27" s="39">
        <v>155775</v>
      </c>
      <c r="B27" s="44">
        <v>590</v>
      </c>
      <c r="C27" s="24" t="s">
        <v>209</v>
      </c>
    </row>
    <row r="28" spans="1:3" ht="15.75" thickTop="1" x14ac:dyDescent="0.25">
      <c r="A28" s="39">
        <v>217446</v>
      </c>
      <c r="B28" s="45" t="s">
        <v>272</v>
      </c>
    </row>
    <row r="29" spans="1:3" ht="15.75" thickBot="1" x14ac:dyDescent="0.3">
      <c r="A29" s="39">
        <v>223054</v>
      </c>
      <c r="B29" s="44">
        <v>890</v>
      </c>
      <c r="C29" s="24" t="s">
        <v>187</v>
      </c>
    </row>
    <row r="30" spans="1:3" ht="16.5" thickTop="1" thickBot="1" x14ac:dyDescent="0.3">
      <c r="A30" s="39">
        <v>223053</v>
      </c>
      <c r="B30" s="44">
        <v>890</v>
      </c>
      <c r="C30" s="24" t="s">
        <v>188</v>
      </c>
    </row>
    <row r="31" spans="1:3" ht="15.75" thickTop="1" x14ac:dyDescent="0.25">
      <c r="A31" s="39">
        <v>223057</v>
      </c>
      <c r="B31" s="45" t="s">
        <v>311</v>
      </c>
      <c r="C31" s="24" t="s">
        <v>187</v>
      </c>
    </row>
    <row r="32" spans="1:3" ht="15.75" thickBot="1" x14ac:dyDescent="0.3">
      <c r="A32" s="39">
        <v>223058</v>
      </c>
      <c r="B32" s="44">
        <v>890</v>
      </c>
      <c r="C32" s="24" t="s">
        <v>189</v>
      </c>
    </row>
    <row r="33" spans="1:3" ht="15.75" thickTop="1" x14ac:dyDescent="0.25">
      <c r="A33" s="39">
        <v>223055</v>
      </c>
      <c r="B33" s="45" t="s">
        <v>311</v>
      </c>
      <c r="C33" s="24" t="s">
        <v>187</v>
      </c>
    </row>
    <row r="34" spans="1:3" x14ac:dyDescent="0.25">
      <c r="A34" s="39">
        <v>223056</v>
      </c>
      <c r="B34" s="45" t="s">
        <v>273</v>
      </c>
    </row>
    <row r="35" spans="1:3" x14ac:dyDescent="0.25">
      <c r="A35" s="39">
        <v>224253</v>
      </c>
      <c r="B35" s="42">
        <v>690</v>
      </c>
      <c r="C35" s="24" t="s">
        <v>270</v>
      </c>
    </row>
    <row r="36" spans="1:3" x14ac:dyDescent="0.25">
      <c r="A36" s="39">
        <v>213884</v>
      </c>
      <c r="B36" s="45" t="s">
        <v>272</v>
      </c>
    </row>
    <row r="37" spans="1:3" ht="15.75" thickBot="1" x14ac:dyDescent="0.3">
      <c r="A37" s="39">
        <v>217473</v>
      </c>
      <c r="B37" s="44">
        <v>695</v>
      </c>
      <c r="C37" s="24" t="s">
        <v>190</v>
      </c>
    </row>
    <row r="38" spans="1:3" ht="16.5" thickTop="1" thickBot="1" x14ac:dyDescent="0.3">
      <c r="A38" s="39">
        <v>217475</v>
      </c>
      <c r="B38" s="44">
        <v>695</v>
      </c>
      <c r="C38" s="24" t="s">
        <v>190</v>
      </c>
    </row>
    <row r="39" spans="1:3" ht="15.75" thickTop="1" x14ac:dyDescent="0.25">
      <c r="A39" s="39">
        <v>224254</v>
      </c>
      <c r="B39" s="42">
        <v>690</v>
      </c>
      <c r="C39" s="24" t="s">
        <v>271</v>
      </c>
    </row>
    <row r="40" spans="1:3" x14ac:dyDescent="0.25">
      <c r="A40" s="39">
        <v>224255</v>
      </c>
      <c r="B40" s="45">
        <v>1190</v>
      </c>
      <c r="C40" s="24" t="s">
        <v>276</v>
      </c>
    </row>
    <row r="41" spans="1:3" x14ac:dyDescent="0.25">
      <c r="A41" s="39">
        <v>224257</v>
      </c>
      <c r="B41" s="45">
        <v>990</v>
      </c>
      <c r="C41" s="24" t="s">
        <v>277</v>
      </c>
    </row>
    <row r="42" spans="1:3" x14ac:dyDescent="0.25">
      <c r="A42" s="39">
        <v>143696</v>
      </c>
      <c r="B42" s="45" t="s">
        <v>272</v>
      </c>
    </row>
    <row r="43" spans="1:3" x14ac:dyDescent="0.25">
      <c r="A43" s="39">
        <v>143692</v>
      </c>
      <c r="B43" s="45" t="s">
        <v>272</v>
      </c>
    </row>
    <row r="44" spans="1:3" x14ac:dyDescent="0.25">
      <c r="A44" s="39">
        <v>223060</v>
      </c>
      <c r="B44" s="45" t="s">
        <v>279</v>
      </c>
      <c r="C44" s="24" t="s">
        <v>278</v>
      </c>
    </row>
    <row r="45" spans="1:3" x14ac:dyDescent="0.25">
      <c r="A45" s="39">
        <v>153108</v>
      </c>
      <c r="B45" s="45" t="s">
        <v>272</v>
      </c>
    </row>
    <row r="46" spans="1:3" x14ac:dyDescent="0.25">
      <c r="A46" s="39">
        <v>223041</v>
      </c>
      <c r="B46" s="46">
        <v>980</v>
      </c>
      <c r="C46" s="24" t="s">
        <v>210</v>
      </c>
    </row>
    <row r="47" spans="1:3" x14ac:dyDescent="0.25">
      <c r="A47" s="39">
        <v>223038</v>
      </c>
      <c r="B47" s="45" t="s">
        <v>272</v>
      </c>
    </row>
    <row r="48" spans="1:3" x14ac:dyDescent="0.25">
      <c r="A48" s="39">
        <v>194089</v>
      </c>
      <c r="B48" s="45" t="s">
        <v>273</v>
      </c>
    </row>
    <row r="49" spans="1:3" x14ac:dyDescent="0.25">
      <c r="A49" s="39">
        <v>223039</v>
      </c>
      <c r="B49" s="45" t="s">
        <v>272</v>
      </c>
    </row>
    <row r="50" spans="1:3" x14ac:dyDescent="0.25">
      <c r="A50" s="39">
        <v>223040</v>
      </c>
      <c r="B50" s="45" t="s">
        <v>272</v>
      </c>
    </row>
    <row r="51" spans="1:3" x14ac:dyDescent="0.25">
      <c r="A51" s="39">
        <v>217444</v>
      </c>
      <c r="B51" s="45" t="s">
        <v>272</v>
      </c>
    </row>
    <row r="52" spans="1:3" x14ac:dyDescent="0.25">
      <c r="A52" s="39">
        <v>224199</v>
      </c>
      <c r="B52" s="45">
        <v>1090</v>
      </c>
      <c r="C52" s="24" t="s">
        <v>280</v>
      </c>
    </row>
    <row r="53" spans="1:3" x14ac:dyDescent="0.25">
      <c r="A53" s="39">
        <v>224226</v>
      </c>
      <c r="B53" s="45">
        <v>1090</v>
      </c>
      <c r="C53" s="24" t="s">
        <v>281</v>
      </c>
    </row>
    <row r="54" spans="1:3" x14ac:dyDescent="0.25">
      <c r="A54" s="39">
        <v>155778</v>
      </c>
      <c r="B54" s="45" t="s">
        <v>273</v>
      </c>
    </row>
    <row r="55" spans="1:3" x14ac:dyDescent="0.25">
      <c r="A55" s="39">
        <v>194070</v>
      </c>
      <c r="B55" s="45">
        <v>990</v>
      </c>
      <c r="C55" s="24" t="s">
        <v>285</v>
      </c>
    </row>
    <row r="56" spans="1:3" ht="15.75" thickBot="1" x14ac:dyDescent="0.3">
      <c r="A56" s="39">
        <v>143693</v>
      </c>
      <c r="B56" s="44">
        <v>1490</v>
      </c>
      <c r="C56" s="24" t="s">
        <v>211</v>
      </c>
    </row>
    <row r="57" spans="1:3" ht="15.75" thickTop="1" x14ac:dyDescent="0.25">
      <c r="A57" s="39">
        <v>143695</v>
      </c>
      <c r="B57" s="45" t="s">
        <v>273</v>
      </c>
    </row>
    <row r="58" spans="1:3" x14ac:dyDescent="0.25">
      <c r="A58" s="39">
        <v>218486</v>
      </c>
      <c r="B58" s="45" t="s">
        <v>272</v>
      </c>
    </row>
    <row r="59" spans="1:3" ht="15.75" thickBot="1" x14ac:dyDescent="0.3">
      <c r="A59" s="39">
        <v>143751</v>
      </c>
      <c r="B59" s="44">
        <v>1390</v>
      </c>
      <c r="C59" s="24" t="s">
        <v>191</v>
      </c>
    </row>
    <row r="60" spans="1:3" ht="30.75" thickTop="1" x14ac:dyDescent="0.25">
      <c r="A60" s="39">
        <v>143755</v>
      </c>
      <c r="B60" s="45" t="s">
        <v>286</v>
      </c>
      <c r="C60" s="24" t="s">
        <v>191</v>
      </c>
    </row>
    <row r="61" spans="1:3" ht="15.75" thickBot="1" x14ac:dyDescent="0.3">
      <c r="A61" s="39">
        <v>143753</v>
      </c>
      <c r="B61" s="44">
        <v>1249</v>
      </c>
      <c r="C61" s="24" t="s">
        <v>192</v>
      </c>
    </row>
    <row r="62" spans="1:3" ht="30.75" thickTop="1" x14ac:dyDescent="0.25">
      <c r="A62" s="39">
        <v>143757</v>
      </c>
      <c r="B62" s="45" t="s">
        <v>282</v>
      </c>
      <c r="C62" s="24" t="s">
        <v>192</v>
      </c>
    </row>
    <row r="63" spans="1:3" ht="26.25" thickBot="1" x14ac:dyDescent="0.3">
      <c r="A63" s="39">
        <v>143754</v>
      </c>
      <c r="B63" s="47" t="s">
        <v>307</v>
      </c>
      <c r="C63" s="24" t="s">
        <v>193</v>
      </c>
    </row>
    <row r="64" spans="1:3" ht="30.75" thickTop="1" x14ac:dyDescent="0.25">
      <c r="A64" s="39">
        <v>143752</v>
      </c>
      <c r="B64" s="45" t="s">
        <v>283</v>
      </c>
      <c r="C64" s="24" t="s">
        <v>194</v>
      </c>
    </row>
    <row r="65" spans="1:3" ht="15.75" thickBot="1" x14ac:dyDescent="0.3">
      <c r="A65" s="39">
        <v>143756</v>
      </c>
      <c r="B65" s="43">
        <v>1290</v>
      </c>
      <c r="C65" s="24" t="s">
        <v>194</v>
      </c>
    </row>
    <row r="66" spans="1:3" ht="15.75" thickTop="1" x14ac:dyDescent="0.25">
      <c r="A66" s="39">
        <v>155783</v>
      </c>
      <c r="B66" s="45" t="s">
        <v>272</v>
      </c>
    </row>
    <row r="67" spans="1:3" x14ac:dyDescent="0.25">
      <c r="A67" s="39">
        <v>194094</v>
      </c>
      <c r="B67" s="45" t="s">
        <v>272</v>
      </c>
    </row>
    <row r="68" spans="1:3" x14ac:dyDescent="0.25">
      <c r="A68" s="39">
        <v>143750</v>
      </c>
      <c r="B68" s="42">
        <v>1290</v>
      </c>
      <c r="C68" s="24" t="s">
        <v>193</v>
      </c>
    </row>
    <row r="69" spans="1:3" ht="15.75" thickBot="1" x14ac:dyDescent="0.3">
      <c r="A69" s="39">
        <v>201805</v>
      </c>
      <c r="B69" s="44">
        <v>1190</v>
      </c>
      <c r="C69" s="24" t="s">
        <v>195</v>
      </c>
    </row>
    <row r="70" spans="1:3" ht="16.5" thickTop="1" thickBot="1" x14ac:dyDescent="0.3">
      <c r="A70" s="39">
        <v>145329</v>
      </c>
      <c r="B70" s="44">
        <v>1190</v>
      </c>
      <c r="C70" s="24" t="s">
        <v>196</v>
      </c>
    </row>
    <row r="71" spans="1:3" ht="16.5" thickTop="1" thickBot="1" x14ac:dyDescent="0.3">
      <c r="A71" s="39">
        <v>143694</v>
      </c>
      <c r="B71" s="44">
        <v>1490</v>
      </c>
      <c r="C71" s="24" t="s">
        <v>197</v>
      </c>
    </row>
    <row r="72" spans="1:3" ht="15.75" thickTop="1" x14ac:dyDescent="0.25">
      <c r="A72" s="39">
        <v>170718</v>
      </c>
      <c r="B72" s="45" t="s">
        <v>272</v>
      </c>
    </row>
    <row r="73" spans="1:3" x14ac:dyDescent="0.25">
      <c r="A73" s="39">
        <v>170719</v>
      </c>
      <c r="B73" s="45" t="s">
        <v>272</v>
      </c>
    </row>
    <row r="74" spans="1:3" ht="15.75" thickBot="1" x14ac:dyDescent="0.3">
      <c r="A74" s="39">
        <v>217450</v>
      </c>
      <c r="B74" s="44">
        <v>1790</v>
      </c>
      <c r="C74" s="24" t="s">
        <v>198</v>
      </c>
    </row>
    <row r="75" spans="1:3" ht="16.5" thickTop="1" thickBot="1" x14ac:dyDescent="0.3">
      <c r="A75" s="39">
        <v>217451</v>
      </c>
      <c r="B75" s="44">
        <v>1790</v>
      </c>
      <c r="C75" s="24" t="s">
        <v>199</v>
      </c>
    </row>
    <row r="76" spans="1:3" ht="15.75" thickTop="1" x14ac:dyDescent="0.25">
      <c r="A76" s="39">
        <v>201774</v>
      </c>
      <c r="B76" s="45">
        <v>2790</v>
      </c>
      <c r="C76" s="24" t="s">
        <v>203</v>
      </c>
    </row>
    <row r="77" spans="1:3" x14ac:dyDescent="0.25">
      <c r="A77" s="39">
        <v>213660</v>
      </c>
      <c r="B77" s="45" t="s">
        <v>272</v>
      </c>
    </row>
    <row r="78" spans="1:3" ht="15.75" thickBot="1" x14ac:dyDescent="0.3">
      <c r="A78" s="39">
        <v>247464</v>
      </c>
      <c r="B78" s="44">
        <v>2390</v>
      </c>
      <c r="C78" s="24" t="s">
        <v>200</v>
      </c>
    </row>
    <row r="79" spans="1:3" ht="16.5" thickTop="1" thickBot="1" x14ac:dyDescent="0.3">
      <c r="A79" s="39">
        <v>247461</v>
      </c>
      <c r="B79" s="44">
        <v>2390</v>
      </c>
      <c r="C79" s="24" t="s">
        <v>201</v>
      </c>
    </row>
    <row r="80" spans="1:3" ht="15.75" thickTop="1" x14ac:dyDescent="0.25">
      <c r="A80" s="39">
        <v>158512</v>
      </c>
      <c r="B80" s="45">
        <v>2490</v>
      </c>
      <c r="C80" s="24" t="s">
        <v>302</v>
      </c>
    </row>
    <row r="81" spans="1:3" x14ac:dyDescent="0.25">
      <c r="A81" s="39">
        <v>162826</v>
      </c>
      <c r="B81" s="45" t="s">
        <v>272</v>
      </c>
    </row>
    <row r="82" spans="1:3" x14ac:dyDescent="0.25">
      <c r="A82" s="39">
        <v>143738</v>
      </c>
      <c r="B82" s="45">
        <v>2590</v>
      </c>
      <c r="C82" s="24" t="s">
        <v>301</v>
      </c>
    </row>
    <row r="83" spans="1:3" x14ac:dyDescent="0.25">
      <c r="A83" s="39">
        <v>136973</v>
      </c>
      <c r="B83" s="45" t="s">
        <v>272</v>
      </c>
    </row>
    <row r="84" spans="1:3" x14ac:dyDescent="0.25">
      <c r="A84" s="39">
        <v>136982</v>
      </c>
      <c r="B84" s="45" t="s">
        <v>272</v>
      </c>
    </row>
    <row r="85" spans="1:3" x14ac:dyDescent="0.25">
      <c r="A85" s="39">
        <v>136970</v>
      </c>
      <c r="B85" s="45" t="s">
        <v>272</v>
      </c>
    </row>
    <row r="86" spans="1:3" x14ac:dyDescent="0.25">
      <c r="A86" s="39">
        <v>136979</v>
      </c>
      <c r="B86" s="45" t="s">
        <v>272</v>
      </c>
    </row>
    <row r="87" spans="1:3" ht="15.75" thickBot="1" x14ac:dyDescent="0.3">
      <c r="A87" s="39">
        <v>158511</v>
      </c>
      <c r="B87" s="44">
        <v>1790</v>
      </c>
      <c r="C87" s="24" t="s">
        <v>202</v>
      </c>
    </row>
    <row r="88" spans="1:3" ht="16.5" thickTop="1" thickBot="1" x14ac:dyDescent="0.3">
      <c r="A88" s="39">
        <v>143743</v>
      </c>
      <c r="B88" s="44" t="s">
        <v>273</v>
      </c>
    </row>
    <row r="89" spans="1:3" ht="15.75" thickTop="1" x14ac:dyDescent="0.25">
      <c r="A89" s="39">
        <v>145430</v>
      </c>
      <c r="B89" s="45" t="s">
        <v>273</v>
      </c>
    </row>
    <row r="90" spans="1:3" x14ac:dyDescent="0.25">
      <c r="A90" s="39">
        <v>145563</v>
      </c>
      <c r="B90" s="45" t="s">
        <v>272</v>
      </c>
    </row>
    <row r="91" spans="1:3" x14ac:dyDescent="0.25">
      <c r="A91" s="39">
        <v>247460</v>
      </c>
      <c r="B91" s="42">
        <v>2890</v>
      </c>
      <c r="C91" s="24" t="s">
        <v>304</v>
      </c>
    </row>
    <row r="92" spans="1:3" x14ac:dyDescent="0.25">
      <c r="A92" s="39">
        <v>247463</v>
      </c>
      <c r="B92" s="42">
        <v>2890</v>
      </c>
      <c r="C92" s="24" t="s">
        <v>305</v>
      </c>
    </row>
    <row r="93" spans="1:3" x14ac:dyDescent="0.25">
      <c r="A93" s="39">
        <v>136975</v>
      </c>
      <c r="B93" s="45" t="s">
        <v>273</v>
      </c>
    </row>
    <row r="94" spans="1:3" x14ac:dyDescent="0.25">
      <c r="A94" s="39">
        <v>136978</v>
      </c>
      <c r="B94" s="45">
        <v>3295</v>
      </c>
      <c r="C94" s="24" t="s">
        <v>284</v>
      </c>
    </row>
    <row r="95" spans="1:3" x14ac:dyDescent="0.25">
      <c r="A95" s="39">
        <v>136984</v>
      </c>
      <c r="B95" s="45" t="s">
        <v>273</v>
      </c>
    </row>
    <row r="96" spans="1:3" x14ac:dyDescent="0.25">
      <c r="A96" s="39">
        <v>136987</v>
      </c>
      <c r="B96" s="45">
        <v>3295</v>
      </c>
      <c r="C96" s="24" t="s">
        <v>284</v>
      </c>
    </row>
    <row r="97" spans="1:3" x14ac:dyDescent="0.25">
      <c r="A97" s="39">
        <v>213676</v>
      </c>
      <c r="B97" s="45" t="s">
        <v>273</v>
      </c>
    </row>
    <row r="98" spans="1:3" x14ac:dyDescent="0.25">
      <c r="A98" s="39">
        <v>145429</v>
      </c>
      <c r="B98" s="42"/>
    </row>
    <row r="99" spans="1:3" x14ac:dyDescent="0.25">
      <c r="A99" s="39">
        <v>223807</v>
      </c>
      <c r="B99" s="42" t="s">
        <v>272</v>
      </c>
    </row>
    <row r="100" spans="1:3" x14ac:dyDescent="0.25">
      <c r="A100" s="39">
        <v>223805</v>
      </c>
      <c r="B100" s="42" t="s">
        <v>272</v>
      </c>
    </row>
    <row r="101" spans="1:3" x14ac:dyDescent="0.25">
      <c r="A101" s="39">
        <v>143740</v>
      </c>
      <c r="B101" s="45" t="s">
        <v>272</v>
      </c>
    </row>
    <row r="102" spans="1:3" x14ac:dyDescent="0.25">
      <c r="A102" s="39">
        <v>213684</v>
      </c>
      <c r="B102" s="42"/>
    </row>
    <row r="103" spans="1:3" x14ac:dyDescent="0.25">
      <c r="A103" s="39">
        <v>136974</v>
      </c>
      <c r="B103" s="45" t="s">
        <v>272</v>
      </c>
    </row>
    <row r="104" spans="1:3" x14ac:dyDescent="0.25">
      <c r="A104" s="39">
        <v>136981</v>
      </c>
      <c r="B104" s="45" t="s">
        <v>272</v>
      </c>
    </row>
    <row r="105" spans="1:3" x14ac:dyDescent="0.25">
      <c r="A105" s="39">
        <v>136972</v>
      </c>
      <c r="B105" s="45" t="s">
        <v>272</v>
      </c>
    </row>
    <row r="106" spans="1:3" x14ac:dyDescent="0.25">
      <c r="A106" s="39">
        <v>136977</v>
      </c>
      <c r="B106" s="45" t="s">
        <v>272</v>
      </c>
    </row>
    <row r="107" spans="1:3" x14ac:dyDescent="0.25">
      <c r="A107" s="39">
        <v>136986</v>
      </c>
      <c r="B107" s="45" t="s">
        <v>272</v>
      </c>
    </row>
    <row r="108" spans="1:3" x14ac:dyDescent="0.25">
      <c r="A108" s="39">
        <v>143745</v>
      </c>
      <c r="B108" s="42"/>
    </row>
    <row r="109" spans="1:3" x14ac:dyDescent="0.25">
      <c r="A109" s="39">
        <v>162939</v>
      </c>
      <c r="B109" s="42"/>
    </row>
    <row r="110" spans="1:3" x14ac:dyDescent="0.25">
      <c r="A110" s="39">
        <v>136968</v>
      </c>
      <c r="B110" s="45" t="s">
        <v>272</v>
      </c>
    </row>
    <row r="111" spans="1:3" ht="15.75" thickBot="1" x14ac:dyDescent="0.3">
      <c r="A111" s="39">
        <v>145494</v>
      </c>
      <c r="B111" s="43">
        <v>3390</v>
      </c>
      <c r="C111" s="24" t="s">
        <v>178</v>
      </c>
    </row>
    <row r="112" spans="1:3" ht="15.75" thickTop="1" x14ac:dyDescent="0.25">
      <c r="A112" s="39">
        <v>213589</v>
      </c>
      <c r="B112" s="45" t="s">
        <v>288</v>
      </c>
      <c r="C112" s="24" t="s">
        <v>287</v>
      </c>
    </row>
    <row r="113" spans="1:3" x14ac:dyDescent="0.25">
      <c r="A113" s="39">
        <v>117038</v>
      </c>
      <c r="B113" s="42"/>
    </row>
    <row r="114" spans="1:3" x14ac:dyDescent="0.25">
      <c r="A114" s="39">
        <v>208974</v>
      </c>
      <c r="B114" s="45" t="s">
        <v>272</v>
      </c>
    </row>
    <row r="115" spans="1:3" x14ac:dyDescent="0.25">
      <c r="A115" s="39">
        <v>143748</v>
      </c>
      <c r="B115" s="45" t="s">
        <v>290</v>
      </c>
      <c r="C115" s="24" t="s">
        <v>289</v>
      </c>
    </row>
    <row r="116" spans="1:3" x14ac:dyDescent="0.25">
      <c r="A116" s="39">
        <v>136976</v>
      </c>
      <c r="B116" s="45" t="s">
        <v>272</v>
      </c>
    </row>
    <row r="117" spans="1:3" x14ac:dyDescent="0.25">
      <c r="A117" s="39">
        <v>136985</v>
      </c>
      <c r="B117" s="45" t="s">
        <v>272</v>
      </c>
    </row>
    <row r="118" spans="1:3" ht="15.75" thickBot="1" x14ac:dyDescent="0.3">
      <c r="A118" s="39">
        <v>187236</v>
      </c>
      <c r="B118" s="43">
        <v>6590</v>
      </c>
      <c r="C118" s="24" t="s">
        <v>179</v>
      </c>
    </row>
    <row r="119" spans="1:3" ht="16.5" thickTop="1" thickBot="1" x14ac:dyDescent="0.3">
      <c r="A119" s="39">
        <v>224170</v>
      </c>
      <c r="B119" s="43">
        <v>7790</v>
      </c>
      <c r="C119" s="24" t="s">
        <v>180</v>
      </c>
    </row>
    <row r="120" spans="1:3" ht="15.75" thickTop="1" x14ac:dyDescent="0.25">
      <c r="A120" s="39">
        <v>224167</v>
      </c>
      <c r="B120" s="45" t="s">
        <v>272</v>
      </c>
    </row>
    <row r="121" spans="1:3" ht="15.75" thickBot="1" x14ac:dyDescent="0.3">
      <c r="A121" s="39">
        <v>223839</v>
      </c>
      <c r="B121" s="44">
        <v>8145</v>
      </c>
      <c r="C121" s="24" t="s">
        <v>204</v>
      </c>
    </row>
    <row r="122" spans="1:3" ht="16.5" thickTop="1" thickBot="1" x14ac:dyDescent="0.3">
      <c r="A122" s="39">
        <v>223862</v>
      </c>
      <c r="B122" s="44">
        <v>8145</v>
      </c>
      <c r="C122" s="24" t="s">
        <v>204</v>
      </c>
    </row>
    <row r="123" spans="1:3" ht="45.75" thickTop="1" x14ac:dyDescent="0.25">
      <c r="A123" s="39">
        <v>213698</v>
      </c>
      <c r="B123" s="45" t="s">
        <v>303</v>
      </c>
    </row>
    <row r="124" spans="1:3" x14ac:dyDescent="0.25">
      <c r="A124" s="39">
        <v>213696</v>
      </c>
      <c r="B124" s="45"/>
    </row>
    <row r="125" spans="1:3" ht="45" x14ac:dyDescent="0.25">
      <c r="A125" s="39">
        <v>213705</v>
      </c>
      <c r="B125" s="45" t="s">
        <v>303</v>
      </c>
    </row>
    <row r="126" spans="1:3" ht="45" x14ac:dyDescent="0.25">
      <c r="A126" s="39">
        <v>213695</v>
      </c>
      <c r="B126" s="45" t="s">
        <v>303</v>
      </c>
    </row>
    <row r="127" spans="1:3" ht="45" x14ac:dyDescent="0.25">
      <c r="A127" s="39">
        <v>213697</v>
      </c>
      <c r="B127" s="45" t="s">
        <v>303</v>
      </c>
    </row>
    <row r="128" spans="1:3" ht="45" x14ac:dyDescent="0.25">
      <c r="A128" s="39">
        <v>213699</v>
      </c>
      <c r="B128" s="45" t="s">
        <v>303</v>
      </c>
    </row>
    <row r="129" spans="1:3" x14ac:dyDescent="0.25">
      <c r="A129" s="39">
        <v>143746</v>
      </c>
      <c r="B129" s="42"/>
    </row>
    <row r="130" spans="1:3" x14ac:dyDescent="0.25">
      <c r="A130" s="39">
        <v>187235</v>
      </c>
      <c r="B130" s="45">
        <v>14990</v>
      </c>
      <c r="C130" s="24" t="s">
        <v>312</v>
      </c>
    </row>
    <row r="131" spans="1:3" x14ac:dyDescent="0.25">
      <c r="A131" s="39">
        <v>187502</v>
      </c>
      <c r="B131" s="45" t="s">
        <v>272</v>
      </c>
    </row>
    <row r="132" spans="1:3" ht="15.75" thickBot="1" x14ac:dyDescent="0.3">
      <c r="A132" s="39">
        <v>226468</v>
      </c>
      <c r="B132" s="43">
        <v>10990</v>
      </c>
      <c r="C132" s="24" t="s">
        <v>181</v>
      </c>
    </row>
    <row r="133" spans="1:3" ht="15.75" thickTop="1" x14ac:dyDescent="0.25">
      <c r="A133" s="39">
        <v>159503</v>
      </c>
      <c r="B133" s="45" t="s">
        <v>272</v>
      </c>
    </row>
    <row r="134" spans="1:3" ht="15.75" thickBot="1" x14ac:dyDescent="0.3">
      <c r="A134" s="39">
        <v>223884</v>
      </c>
      <c r="B134" s="44">
        <v>14990</v>
      </c>
      <c r="C134" s="24" t="s">
        <v>205</v>
      </c>
    </row>
    <row r="135" spans="1:3" ht="15.75" thickTop="1" x14ac:dyDescent="0.25">
      <c r="A135" s="39">
        <v>224171</v>
      </c>
      <c r="B135" s="45">
        <v>14790</v>
      </c>
      <c r="C135" s="24" t="s">
        <v>291</v>
      </c>
    </row>
    <row r="136" spans="1:3" x14ac:dyDescent="0.25">
      <c r="A136" s="39">
        <v>224172</v>
      </c>
      <c r="B136" s="45">
        <v>14790</v>
      </c>
      <c r="C136" s="24" t="s">
        <v>292</v>
      </c>
    </row>
    <row r="137" spans="1:3" x14ac:dyDescent="0.25">
      <c r="A137" s="39">
        <v>222850</v>
      </c>
      <c r="B137" s="45" t="s">
        <v>272</v>
      </c>
    </row>
    <row r="138" spans="1:3" x14ac:dyDescent="0.25">
      <c r="A138" s="39">
        <v>213689</v>
      </c>
      <c r="B138" s="42"/>
    </row>
    <row r="139" spans="1:3" x14ac:dyDescent="0.25">
      <c r="A139" s="39">
        <v>136969</v>
      </c>
      <c r="B139" s="45" t="s">
        <v>272</v>
      </c>
    </row>
    <row r="140" spans="1:3" x14ac:dyDescent="0.25">
      <c r="A140" s="39">
        <v>274419</v>
      </c>
      <c r="B140" s="45" t="s">
        <v>272</v>
      </c>
    </row>
    <row r="141" spans="1:3" x14ac:dyDescent="0.25">
      <c r="A141" s="39">
        <v>217472</v>
      </c>
      <c r="B141" s="45">
        <v>695</v>
      </c>
      <c r="C141" s="24" t="s">
        <v>293</v>
      </c>
    </row>
    <row r="142" spans="1:3" x14ac:dyDescent="0.25">
      <c r="A142" s="39">
        <v>217474</v>
      </c>
      <c r="B142" s="45">
        <v>695</v>
      </c>
      <c r="C142" s="24" t="s">
        <v>293</v>
      </c>
    </row>
    <row r="143" spans="1:3" x14ac:dyDescent="0.25">
      <c r="A143" s="39">
        <v>264883</v>
      </c>
      <c r="B143" s="45" t="s">
        <v>272</v>
      </c>
    </row>
    <row r="144" spans="1:3" x14ac:dyDescent="0.25">
      <c r="A144" s="6" t="s">
        <v>0</v>
      </c>
      <c r="B144" s="12" t="s">
        <v>174</v>
      </c>
      <c r="C144"/>
    </row>
    <row r="145" spans="1:3" x14ac:dyDescent="0.25">
      <c r="A145" s="17">
        <v>223910</v>
      </c>
      <c r="B145" s="13" t="s">
        <v>272</v>
      </c>
      <c r="C145"/>
    </row>
    <row r="146" spans="1:3" x14ac:dyDescent="0.25">
      <c r="A146" s="17">
        <v>223911</v>
      </c>
      <c r="B146" s="13" t="s">
        <v>272</v>
      </c>
      <c r="C146"/>
    </row>
  </sheetData>
  <conditionalFormatting sqref="A145:A146">
    <cfRule type="expression" dxfId="4" priority="1">
      <formula>AND(ROUNDDOWN($P145,0)=0,ROUNDDOWN($Q145,0)=0)</formula>
    </cfRule>
  </conditionalFormatting>
  <conditionalFormatting sqref="A3:A143">
    <cfRule type="expression" dxfId="3" priority="3">
      <formula>AND(ROUNDDOWN($P3,0)=0,ROUNDDOWN($O3,0)=0)</formula>
    </cfRule>
  </conditionalFormatting>
  <conditionalFormatting sqref="C1:C143 C147:C1048576">
    <cfRule type="duplicateValues" dxfId="2" priority="2"/>
  </conditionalFormatting>
  <hyperlinks>
    <hyperlink ref="B7" r:id="rId1" display="https://motorring.ru/product/28998-svetodiodnye-zadnie-fonari-tehavtosvet-12v-dlya-vis-pikap" xr:uid="{5147665B-AAC7-4F2B-BBA8-243169C94263}"/>
    <hyperlink ref="B14" r:id="rId2" display="https://motorring.ru/product/21731-diodnyy-fonary-osvescheniya-nomernogo-znaka-lada-kalina" xr:uid="{5B16D5CA-882E-416B-BA19-0CC38C7012A1}"/>
    <hyperlink ref="B24" r:id="rId3" display="https://motorring.ru/product/2778-zadniy-fonary-pravyy-vaz-2106-lada-niva-2121" xr:uid="{0ED77485-ADD2-441E-9557-E44024E58B63}"/>
    <hyperlink ref="B111" r:id="rId4" display="https://motorring.ru/product/34249-zadnie-svetodiodnye-fonari-tonirovannye-stile-range-rover-niva" xr:uid="{18EA2F0E-B07B-46BB-BE58-194C7EE34A4A}"/>
    <hyperlink ref="B118" r:id="rId5" display="https://motorring.ru/product/32757-perednie-fary-stile-granty-fl-dlya-lada-granta" xr:uid="{FE614B0D-1C81-4769-BB3B-ABD25B353A87}"/>
    <hyperlink ref="B119" r:id="rId6" display="https://motorring.ru/product/32937-komplekt-osnovnyh-nighnih-zadnih-diodnyh-fonarey-largus" xr:uid="{8BB45063-2B10-4F95-8BAE-36F33D5E0C6E}"/>
    <hyperlink ref="B132" r:id="rId7" display="https://motorring.ru/product/5256-tyuning-fary-kirghach-chernym-korpusom-lada-priora" xr:uid="{D72126D7-AF76-4CA5-B04A-B18E6D0BDBB6}"/>
    <hyperlink ref="B9" r:id="rId8" display="https://motorring.ru/product/2798-steklo-protivotumannoy-fary-kirghach-beloe-dlya-vaz-2113-15" xr:uid="{66349CF7-0FCA-4188-83CB-BE5EF05D4B94}"/>
    <hyperlink ref="B15" r:id="rId9" display="https://motorring.ru/product/21140-steklo-levoy-fary-vaz-2108-21099" xr:uid="{DB5B52BC-709B-48B9-B207-107E0B76816E}"/>
    <hyperlink ref="B16" r:id="rId10" display="https://motorring.ru/product/21142-steklo-pravoy-fary-vaz-2108-21099" xr:uid="{80C19653-D745-4F6B-9696-24C726ED95D0}"/>
    <hyperlink ref="B20" r:id="rId11" display="https://motorring.ru/product/21163-steklo-protivotumannoy-fary-vaz-2108-21099" xr:uid="{EDE77184-F2B1-411E-9D9B-DD127BFEC5EC}"/>
    <hyperlink ref="B25" r:id="rId12" display="https://motorring.ru/product/2543-podfarniki-novogo-obrazca-belyy-povorotnik-lada-niva" xr:uid="{07207A51-5F8B-4704-B2E4-3E62A89F0538}"/>
    <hyperlink ref="B26" r:id="rId13" display="https://motorring.ru/product/2543-podfarniki-novogo-obrazca-belyy-povorotnik-lada-niva" xr:uid="{65665CF2-DB3D-4036-B8B5-36983BF1FE3D}"/>
    <hyperlink ref="B29" r:id="rId14" display="https://motorring.ru/product/20401-universalynaya-rezinovaya-guba-samuray-karbon-peredniy" xr:uid="{C49C953E-28EE-4B76-8922-25544DC400AA}"/>
    <hyperlink ref="B30" r:id="rId15" display="https://motorring.ru/product/34426-universalynaya-rezinovaya-guba-samurai-krasniy-kant" xr:uid="{B896E6C9-696B-455C-83DC-E6BC3908F152}"/>
    <hyperlink ref="B32" r:id="rId16" display="https://motorring.ru/product/34427-universalynaya-rezinovaya-guba-samurai-siniy-kant" xr:uid="{A0FF2BF2-7333-4EF2-BDAF-F7FE9DF448C5}"/>
    <hyperlink ref="B37" r:id="rId17" display="https://motorring.ru/product/39065-komplekt-gladkih-stekol-perednih-far-dlya-vaz-2110-2112" xr:uid="{BB9B6CA0-7E45-42F9-B7A9-9DEAED5CEF57}"/>
    <hyperlink ref="B38" r:id="rId18" display="https://motorring.ru/product/39065-komplekt-gladkih-stekol-perednih-far-dlya-vaz-2110-2112" xr:uid="{2EE441E0-C6FC-4149-9142-AF82450E7DCB}"/>
    <hyperlink ref="B59" r:id="rId19" display="https://motorring.ru/product/20174-zaglushki-stile-dvoynogo-vyhlopa-leksus-stayl-diodami-lada" xr:uid="{426AC64E-CD6C-4658-BBB1-B392C16D1CFF}"/>
    <hyperlink ref="B61" r:id="rId20" display="https://motorring.ru/product/28445-diodnye-katafoty-stile-dvoynogo-vyhlopa-leksus-cherniye" xr:uid="{871322EC-5EB3-4B14-BD5E-97E6470E7608}"/>
    <hyperlink ref="B63" r:id="rId21" display="https://motorring.ru/product/28443-diodnye-katafoty-stile-dvoynogo-vyhlopa-leksus-3skobki" xr:uid="{AF271119-8C26-40E0-807E-E6D07B71EA3D}"/>
    <hyperlink ref="B65" r:id="rId22" display="https://motorring.ru/product/28444-diodnye-katafoty-stile-dvoynogo-vyhlopa-leksus-5skob" xr:uid="{ACA0EE66-6686-4C16-B602-1870206C5EF8}"/>
    <hyperlink ref="B69" r:id="rId23" display="https://motorring.ru/product/14907-protivotumannye-fary-restaylingovyy-bamper-lada-priora" xr:uid="{0EFE2BC7-DC4B-44E4-9BED-95E5DBCC3A09}"/>
    <hyperlink ref="B70" r:id="rId24" display="https://motorring.ru/product/20175-zaglushki-stile-dvoynogo-vyhlopa-leksus-stayl-diodami" xr:uid="{274811F6-EB2A-4F43-8A38-9F7A62407ECD}"/>
    <hyperlink ref="B71" r:id="rId25" display="https://motorring.ru/product/35375-povtoriteli-zerkal-plazma-obrazca-2019-goda-lada-vesta" xr:uid="{A4DD753F-B04A-4F99-B6C5-C5BB6983042A}"/>
    <hyperlink ref="B74" r:id="rId26" display="https://motorring.ru/product/21125-steklo-levoy-fary-lada-granta" xr:uid="{6AAD1289-C7EF-4676-B0A2-C7F4287D218E}"/>
    <hyperlink ref="B75" r:id="rId27" display="https://motorring.ru/product/21126-steklo-pravoe-fary-lada-granta" xr:uid="{B943C82B-8781-4B34-A8AB-DA777AECCE4B}"/>
    <hyperlink ref="B78" r:id="rId28" display="https://motorring.ru/product/36553-korpus-pravoy-blok-fary-dlya-lada-granta-fl" xr:uid="{4F4057A3-2787-4094-BB4F-5F5707212BD6}"/>
    <hyperlink ref="B79" r:id="rId29" display="https://motorring.ru/product/36552-korpus-levoy-blok-fary-dlya-lada-granta-fl" xr:uid="{BED13EB3-7A52-4042-B7D2-3E362A5AF4AF}"/>
    <hyperlink ref="B87" r:id="rId30" display="https://motorring.ru/product/21110-diodnye-ptf-lada-priora" xr:uid="{6CA26593-CD85-42BB-8ECF-D53698EF9765}"/>
    <hyperlink ref="B121" r:id="rId31" display="https://motorring.ru/product/41017-analogovie-chernye-fary-linzoy-shevrole-niva" xr:uid="{CB86B40E-1D9C-434A-B9C5-8B93B74506D8}"/>
    <hyperlink ref="B122" r:id="rId32" display="https://motorring.ru/product/41017-analogovie-chernye-fary-linzoy-shevrole-niva" xr:uid="{99166BA9-D2AD-43F8-91DA-2EAF41AA790C}"/>
    <hyperlink ref="B134" r:id="rId33" display="https://motorring.ru/product/40488-komplekt-far-stile-bmv-angelyskimi-glazkami-mtf-priora" xr:uid="{1B14BBA8-DCF2-4E56-96AF-0AA77000A7B9}"/>
    <hyperlink ref="B12" r:id="rId34" display="https://motorring.ru/product/28223-shilydik-ladyya-chrom-stile-vesta-dlya-lada-priora" xr:uid="{B4BC21DC-8A10-46C1-A706-4EEFC589799E}"/>
    <hyperlink ref="B13" r:id="rId35" display="https://motorring.ru/product/13282-shilydik-laquo-ladyya-raquo-starogo-obrazca-chernyy-matovyy" xr:uid="{B0E19AD7-A1B7-49D1-AEE0-E331CA7C09F6}"/>
    <hyperlink ref="B23" r:id="rId36" display="https://motorring.ru/product/2777-zadniy-fonary-levyy-vaz-2106-lada-niva-2121" xr:uid="{226B97B0-6F6B-405F-B2F6-BFE21610339A}"/>
    <hyperlink ref="B27" r:id="rId37" display="https://motorring.ru/product/5532-katafoty-diodnye-zadniy-bamper-lada-priora-sedan-hetchbek" xr:uid="{B4D7804B-EFEC-4FA4-A320-D8E4EE92CC10}"/>
    <hyperlink ref="B46" r:id="rId38" display="https://motorring.ru/product/2791-povorotnik-al-belyy-levyy-dlya-vaz-2110-2112" xr:uid="{1CDBFDBE-91E5-40AB-B217-1BD41E03CFC0}"/>
    <hyperlink ref="B56" r:id="rId39" display="https://motorring.ru/product/35129-dinamicheskie-povtoriteli-povorota-shirokie-strelki-vesta" xr:uid="{F9B3339E-1135-4198-97A8-696C9902DA3C}"/>
  </hyperlinks>
  <pageMargins left="0.7" right="0.7" top="0.75" bottom="0.75" header="0.3" footer="0.3"/>
  <pageSetup paperSize="9" orientation="portrait" r:id="rId40"/>
  <drawing r:id="rId41"/>
  <legacyDrawing r:id="rId42"/>
  <controls>
    <mc:AlternateContent xmlns:mc="http://schemas.openxmlformats.org/markup-compatibility/2006">
      <mc:Choice Requires="x14">
        <control shapeId="2051" r:id="rId43" name="CommandButton1">
          <controlPr defaultSize="0" autoLine="0" autoPict="0" r:id="rId44">
            <anchor moveWithCells="1">
              <from>
                <xdr:col>5</xdr:col>
                <xdr:colOff>542925</xdr:colOff>
                <xdr:row>3</xdr:row>
                <xdr:rowOff>142875</xdr:rowOff>
              </from>
              <to>
                <xdr:col>8</xdr:col>
                <xdr:colOff>409575</xdr:colOff>
                <xdr:row>7</xdr:row>
                <xdr:rowOff>152400</xdr:rowOff>
              </to>
            </anchor>
          </controlPr>
        </control>
      </mc:Choice>
      <mc:Fallback>
        <control shapeId="2051" r:id="rId4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7736-662C-4398-A8C1-76766D4DE27E}">
  <sheetPr codeName="Лист2">
    <tabColor rgb="FF92D050"/>
  </sheetPr>
  <dimension ref="A1:T148"/>
  <sheetViews>
    <sheetView workbookViewId="0"/>
  </sheetViews>
  <sheetFormatPr defaultRowHeight="15" x14ac:dyDescent="0.25"/>
  <cols>
    <col min="1" max="2" width="11.140625" bestFit="1" customWidth="1"/>
    <col min="3" max="3" width="23" bestFit="1" customWidth="1"/>
    <col min="4" max="4" width="81.140625" bestFit="1" customWidth="1"/>
    <col min="5" max="5" width="28.28515625" bestFit="1" customWidth="1"/>
    <col min="6" max="6" width="35.5703125" bestFit="1" customWidth="1"/>
    <col min="7" max="9" width="11.140625" bestFit="1" customWidth="1"/>
    <col min="10" max="19" width="12.140625" bestFit="1" customWidth="1"/>
    <col min="20" max="20" width="12.140625" customWidth="1"/>
  </cols>
  <sheetData>
    <row r="1" spans="1:20" x14ac:dyDescent="0.25">
      <c r="A1" t="s">
        <v>212</v>
      </c>
      <c r="B1" t="s">
        <v>213</v>
      </c>
      <c r="C1" t="s">
        <v>214</v>
      </c>
      <c r="D1" t="s">
        <v>215</v>
      </c>
      <c r="E1" t="s">
        <v>216</v>
      </c>
      <c r="F1" t="s">
        <v>217</v>
      </c>
      <c r="G1" t="s">
        <v>218</v>
      </c>
      <c r="H1" t="s">
        <v>219</v>
      </c>
      <c r="I1" t="s">
        <v>220</v>
      </c>
      <c r="J1" t="s">
        <v>221</v>
      </c>
      <c r="K1" t="s">
        <v>222</v>
      </c>
      <c r="L1" t="s">
        <v>223</v>
      </c>
      <c r="M1" t="s">
        <v>224</v>
      </c>
      <c r="N1" t="s">
        <v>225</v>
      </c>
      <c r="O1" t="s">
        <v>226</v>
      </c>
      <c r="P1" t="s">
        <v>227</v>
      </c>
      <c r="Q1" t="s">
        <v>228</v>
      </c>
      <c r="R1" t="s">
        <v>229</v>
      </c>
      <c r="S1" t="s">
        <v>230</v>
      </c>
      <c r="T1" t="s">
        <v>267</v>
      </c>
    </row>
    <row r="2" spans="1:20" x14ac:dyDescent="0.25">
      <c r="E2" t="s">
        <v>231</v>
      </c>
      <c r="F2" t="s">
        <v>231</v>
      </c>
    </row>
    <row r="3" spans="1:20" x14ac:dyDescent="0.25">
      <c r="A3" t="s">
        <v>308</v>
      </c>
      <c r="B3" t="s">
        <v>309</v>
      </c>
      <c r="C3" t="s">
        <v>310</v>
      </c>
      <c r="D3" t="s">
        <v>232</v>
      </c>
      <c r="E3" t="s">
        <v>233</v>
      </c>
      <c r="F3" t="s">
        <v>234</v>
      </c>
    </row>
    <row r="4" spans="1:20" x14ac:dyDescent="0.25">
      <c r="B4" t="s">
        <v>0</v>
      </c>
      <c r="D4" t="s">
        <v>235</v>
      </c>
      <c r="E4" t="s">
        <v>236</v>
      </c>
      <c r="F4" t="s">
        <v>236</v>
      </c>
    </row>
    <row r="5" spans="1:20" x14ac:dyDescent="0.25">
      <c r="A5" t="s">
        <v>3</v>
      </c>
      <c r="B5">
        <v>223936</v>
      </c>
      <c r="G5" t="s">
        <v>124</v>
      </c>
    </row>
    <row r="6" spans="1:20" x14ac:dyDescent="0.25">
      <c r="A6" t="s">
        <v>3</v>
      </c>
      <c r="B6">
        <v>223864</v>
      </c>
      <c r="G6" t="s">
        <v>124</v>
      </c>
    </row>
    <row r="7" spans="1:20" x14ac:dyDescent="0.25">
      <c r="A7" t="s">
        <v>3</v>
      </c>
      <c r="B7">
        <v>223863</v>
      </c>
      <c r="G7" t="s">
        <v>124</v>
      </c>
    </row>
    <row r="8" spans="1:20" x14ac:dyDescent="0.25">
      <c r="A8" t="s">
        <v>3</v>
      </c>
      <c r="B8">
        <v>201803</v>
      </c>
      <c r="G8" t="s">
        <v>124</v>
      </c>
    </row>
    <row r="9" spans="1:20" x14ac:dyDescent="0.25">
      <c r="A9" t="s">
        <v>3</v>
      </c>
      <c r="B9">
        <v>145575</v>
      </c>
      <c r="C9">
        <v>3890</v>
      </c>
      <c r="D9" t="s">
        <v>175</v>
      </c>
      <c r="G9">
        <v>3890</v>
      </c>
    </row>
    <row r="10" spans="1:20" x14ac:dyDescent="0.25">
      <c r="A10" t="s">
        <v>3</v>
      </c>
      <c r="B10">
        <v>256559</v>
      </c>
      <c r="C10">
        <v>1190</v>
      </c>
      <c r="D10" t="s">
        <v>306</v>
      </c>
      <c r="G10">
        <v>1190</v>
      </c>
    </row>
    <row r="11" spans="1:20" x14ac:dyDescent="0.25">
      <c r="A11" t="s">
        <v>3</v>
      </c>
      <c r="B11">
        <v>217463</v>
      </c>
      <c r="C11">
        <v>189</v>
      </c>
      <c r="D11" t="s">
        <v>182</v>
      </c>
      <c r="G11">
        <v>189</v>
      </c>
    </row>
    <row r="12" spans="1:20" x14ac:dyDescent="0.25">
      <c r="A12" t="s">
        <v>3</v>
      </c>
      <c r="B12">
        <v>217465</v>
      </c>
      <c r="C12">
        <v>129</v>
      </c>
      <c r="D12" t="s">
        <v>269</v>
      </c>
      <c r="G12">
        <v>129</v>
      </c>
    </row>
    <row r="13" spans="1:20" x14ac:dyDescent="0.25">
      <c r="A13" t="s">
        <v>3</v>
      </c>
      <c r="B13">
        <v>247407</v>
      </c>
      <c r="C13">
        <v>290</v>
      </c>
      <c r="D13" t="s">
        <v>268</v>
      </c>
      <c r="G13">
        <v>290</v>
      </c>
    </row>
    <row r="14" spans="1:20" x14ac:dyDescent="0.25">
      <c r="A14" t="s">
        <v>3</v>
      </c>
      <c r="B14">
        <v>225818</v>
      </c>
      <c r="C14">
        <v>290</v>
      </c>
      <c r="D14" t="s">
        <v>206</v>
      </c>
      <c r="G14">
        <v>229</v>
      </c>
    </row>
    <row r="15" spans="1:20" x14ac:dyDescent="0.25">
      <c r="A15" t="s">
        <v>3</v>
      </c>
      <c r="B15">
        <v>250385</v>
      </c>
      <c r="C15">
        <v>290</v>
      </c>
      <c r="D15" t="s">
        <v>207</v>
      </c>
      <c r="G15">
        <v>290</v>
      </c>
    </row>
    <row r="16" spans="1:20" x14ac:dyDescent="0.25">
      <c r="A16" t="s">
        <v>3</v>
      </c>
      <c r="B16">
        <v>224184</v>
      </c>
      <c r="C16">
        <v>269</v>
      </c>
      <c r="D16" t="s">
        <v>176</v>
      </c>
      <c r="G16">
        <v>269</v>
      </c>
    </row>
    <row r="17" spans="1:7" x14ac:dyDescent="0.25">
      <c r="A17" t="s">
        <v>3</v>
      </c>
      <c r="B17">
        <v>217455</v>
      </c>
      <c r="C17">
        <v>269</v>
      </c>
      <c r="D17" t="s">
        <v>183</v>
      </c>
      <c r="G17">
        <v>269</v>
      </c>
    </row>
    <row r="18" spans="1:7" x14ac:dyDescent="0.25">
      <c r="A18" t="s">
        <v>3</v>
      </c>
      <c r="B18">
        <v>217460</v>
      </c>
      <c r="C18">
        <v>290</v>
      </c>
      <c r="D18" t="s">
        <v>184</v>
      </c>
      <c r="G18">
        <v>290</v>
      </c>
    </row>
    <row r="19" spans="1:7" x14ac:dyDescent="0.25">
      <c r="A19" t="s">
        <v>3</v>
      </c>
      <c r="B19">
        <v>256560</v>
      </c>
      <c r="C19">
        <v>229</v>
      </c>
      <c r="D19" t="s">
        <v>185</v>
      </c>
      <c r="G19">
        <v>229</v>
      </c>
    </row>
    <row r="20" spans="1:7" x14ac:dyDescent="0.25">
      <c r="A20" t="s">
        <v>3</v>
      </c>
      <c r="B20">
        <v>223042</v>
      </c>
      <c r="C20" t="s">
        <v>272</v>
      </c>
      <c r="G20" t="s">
        <v>124</v>
      </c>
    </row>
    <row r="21" spans="1:7" x14ac:dyDescent="0.25">
      <c r="A21" t="s">
        <v>3</v>
      </c>
      <c r="B21">
        <v>213273</v>
      </c>
      <c r="C21" t="s">
        <v>273</v>
      </c>
      <c r="G21" t="s">
        <v>124</v>
      </c>
    </row>
    <row r="22" spans="1:7" x14ac:dyDescent="0.25">
      <c r="A22" t="s">
        <v>3</v>
      </c>
      <c r="B22">
        <v>217464</v>
      </c>
      <c r="C22">
        <v>229</v>
      </c>
      <c r="D22" t="s">
        <v>185</v>
      </c>
      <c r="G22">
        <v>229</v>
      </c>
    </row>
    <row r="23" spans="1:7" x14ac:dyDescent="0.25">
      <c r="A23" t="s">
        <v>3</v>
      </c>
      <c r="B23">
        <v>194072</v>
      </c>
      <c r="C23" t="s">
        <v>275</v>
      </c>
      <c r="D23" t="s">
        <v>274</v>
      </c>
      <c r="G23">
        <v>529</v>
      </c>
    </row>
    <row r="24" spans="1:7" x14ac:dyDescent="0.25">
      <c r="A24" t="s">
        <v>3</v>
      </c>
      <c r="B24">
        <v>223124</v>
      </c>
      <c r="G24" t="s">
        <v>124</v>
      </c>
    </row>
    <row r="25" spans="1:7" x14ac:dyDescent="0.25">
      <c r="A25" t="s">
        <v>3</v>
      </c>
      <c r="B25">
        <v>224195</v>
      </c>
      <c r="C25">
        <v>890</v>
      </c>
      <c r="D25" t="s">
        <v>208</v>
      </c>
      <c r="G25">
        <v>890</v>
      </c>
    </row>
    <row r="26" spans="1:7" x14ac:dyDescent="0.25">
      <c r="A26" t="s">
        <v>3</v>
      </c>
      <c r="B26">
        <v>224222</v>
      </c>
      <c r="C26">
        <v>890</v>
      </c>
      <c r="D26" t="s">
        <v>177</v>
      </c>
      <c r="G26">
        <v>890</v>
      </c>
    </row>
    <row r="27" spans="1:7" x14ac:dyDescent="0.25">
      <c r="A27" t="s">
        <v>3</v>
      </c>
      <c r="B27">
        <v>194923</v>
      </c>
      <c r="C27">
        <v>595</v>
      </c>
      <c r="D27" t="s">
        <v>186</v>
      </c>
      <c r="G27">
        <v>1190</v>
      </c>
    </row>
    <row r="28" spans="1:7" x14ac:dyDescent="0.25">
      <c r="A28" t="s">
        <v>3</v>
      </c>
      <c r="B28">
        <v>194925</v>
      </c>
      <c r="C28">
        <v>595</v>
      </c>
      <c r="D28" t="s">
        <v>186</v>
      </c>
      <c r="G28">
        <v>1190</v>
      </c>
    </row>
    <row r="29" spans="1:7" x14ac:dyDescent="0.25">
      <c r="A29" t="s">
        <v>3</v>
      </c>
      <c r="B29">
        <v>155775</v>
      </c>
      <c r="C29">
        <v>590</v>
      </c>
      <c r="D29" t="s">
        <v>209</v>
      </c>
      <c r="G29">
        <v>629</v>
      </c>
    </row>
    <row r="30" spans="1:7" x14ac:dyDescent="0.25">
      <c r="A30" t="s">
        <v>3</v>
      </c>
      <c r="B30">
        <v>217446</v>
      </c>
      <c r="C30" t="s">
        <v>272</v>
      </c>
      <c r="G30" t="s">
        <v>124</v>
      </c>
    </row>
    <row r="31" spans="1:7" x14ac:dyDescent="0.25">
      <c r="A31" t="s">
        <v>3</v>
      </c>
      <c r="B31">
        <v>223054</v>
      </c>
      <c r="C31">
        <v>890</v>
      </c>
      <c r="D31" t="s">
        <v>187</v>
      </c>
      <c r="G31">
        <v>890</v>
      </c>
    </row>
    <row r="32" spans="1:7" x14ac:dyDescent="0.25">
      <c r="A32" t="s">
        <v>3</v>
      </c>
      <c r="B32">
        <v>223053</v>
      </c>
      <c r="C32">
        <v>890</v>
      </c>
      <c r="D32" t="s">
        <v>188</v>
      </c>
      <c r="G32">
        <v>890</v>
      </c>
    </row>
    <row r="33" spans="1:7" x14ac:dyDescent="0.25">
      <c r="A33" t="s">
        <v>3</v>
      </c>
      <c r="B33">
        <v>223057</v>
      </c>
      <c r="C33" t="s">
        <v>311</v>
      </c>
      <c r="D33" t="s">
        <v>187</v>
      </c>
      <c r="G33">
        <v>890</v>
      </c>
    </row>
    <row r="34" spans="1:7" x14ac:dyDescent="0.25">
      <c r="A34" t="s">
        <v>3</v>
      </c>
      <c r="B34">
        <v>223058</v>
      </c>
      <c r="C34">
        <v>890</v>
      </c>
      <c r="D34" t="s">
        <v>189</v>
      </c>
      <c r="G34">
        <v>890</v>
      </c>
    </row>
    <row r="35" spans="1:7" x14ac:dyDescent="0.25">
      <c r="A35" t="s">
        <v>3</v>
      </c>
      <c r="B35">
        <v>223055</v>
      </c>
      <c r="C35" t="s">
        <v>311</v>
      </c>
      <c r="D35" t="s">
        <v>187</v>
      </c>
      <c r="G35">
        <v>890</v>
      </c>
    </row>
    <row r="36" spans="1:7" x14ac:dyDescent="0.25">
      <c r="A36" t="s">
        <v>3</v>
      </c>
      <c r="B36">
        <v>223056</v>
      </c>
      <c r="C36" t="s">
        <v>273</v>
      </c>
      <c r="G36" t="s">
        <v>124</v>
      </c>
    </row>
    <row r="37" spans="1:7" x14ac:dyDescent="0.25">
      <c r="A37" t="s">
        <v>3</v>
      </c>
      <c r="B37">
        <v>224253</v>
      </c>
      <c r="C37">
        <v>690</v>
      </c>
      <c r="D37" t="s">
        <v>270</v>
      </c>
      <c r="G37">
        <v>690</v>
      </c>
    </row>
    <row r="38" spans="1:7" x14ac:dyDescent="0.25">
      <c r="A38" t="s">
        <v>3</v>
      </c>
      <c r="B38">
        <v>213884</v>
      </c>
      <c r="C38" t="s">
        <v>272</v>
      </c>
      <c r="G38" t="s">
        <v>124</v>
      </c>
    </row>
    <row r="39" spans="1:7" x14ac:dyDescent="0.25">
      <c r="A39" t="s">
        <v>3</v>
      </c>
      <c r="B39">
        <v>217473</v>
      </c>
      <c r="C39">
        <v>695</v>
      </c>
      <c r="D39" t="s">
        <v>190</v>
      </c>
      <c r="G39">
        <v>1390</v>
      </c>
    </row>
    <row r="40" spans="1:7" x14ac:dyDescent="0.25">
      <c r="A40" t="s">
        <v>3</v>
      </c>
      <c r="B40">
        <v>217475</v>
      </c>
      <c r="C40">
        <v>695</v>
      </c>
      <c r="D40" t="s">
        <v>190</v>
      </c>
      <c r="G40">
        <v>1390</v>
      </c>
    </row>
    <row r="41" spans="1:7" x14ac:dyDescent="0.25">
      <c r="A41" t="s">
        <v>3</v>
      </c>
      <c r="B41">
        <v>224254</v>
      </c>
      <c r="C41">
        <v>690</v>
      </c>
      <c r="D41" t="s">
        <v>271</v>
      </c>
      <c r="G41">
        <v>690</v>
      </c>
    </row>
    <row r="42" spans="1:7" x14ac:dyDescent="0.25">
      <c r="A42" t="s">
        <v>3</v>
      </c>
      <c r="B42">
        <v>224255</v>
      </c>
      <c r="C42">
        <v>1190</v>
      </c>
      <c r="D42" t="s">
        <v>276</v>
      </c>
      <c r="G42">
        <v>1190</v>
      </c>
    </row>
    <row r="43" spans="1:7" x14ac:dyDescent="0.25">
      <c r="A43" t="s">
        <v>3</v>
      </c>
      <c r="B43">
        <v>224257</v>
      </c>
      <c r="C43">
        <v>990</v>
      </c>
      <c r="D43" t="s">
        <v>277</v>
      </c>
      <c r="G43">
        <v>990</v>
      </c>
    </row>
    <row r="44" spans="1:7" x14ac:dyDescent="0.25">
      <c r="A44" t="s">
        <v>3</v>
      </c>
      <c r="B44">
        <v>143696</v>
      </c>
      <c r="C44" t="s">
        <v>272</v>
      </c>
      <c r="G44" t="s">
        <v>124</v>
      </c>
    </row>
    <row r="45" spans="1:7" x14ac:dyDescent="0.25">
      <c r="A45" t="s">
        <v>3</v>
      </c>
      <c r="B45">
        <v>143692</v>
      </c>
      <c r="C45" t="s">
        <v>272</v>
      </c>
      <c r="G45" t="s">
        <v>124</v>
      </c>
    </row>
    <row r="46" spans="1:7" x14ac:dyDescent="0.25">
      <c r="A46" t="s">
        <v>3</v>
      </c>
      <c r="B46">
        <v>223060</v>
      </c>
      <c r="C46" t="s">
        <v>279</v>
      </c>
      <c r="D46" t="s">
        <v>278</v>
      </c>
      <c r="G46">
        <v>649</v>
      </c>
    </row>
    <row r="47" spans="1:7" x14ac:dyDescent="0.25">
      <c r="A47" t="s">
        <v>3</v>
      </c>
      <c r="B47">
        <v>153108</v>
      </c>
      <c r="C47" t="s">
        <v>272</v>
      </c>
      <c r="G47" t="s">
        <v>124</v>
      </c>
    </row>
    <row r="48" spans="1:7" x14ac:dyDescent="0.25">
      <c r="A48" t="s">
        <v>3</v>
      </c>
      <c r="B48">
        <v>223041</v>
      </c>
      <c r="C48">
        <v>980</v>
      </c>
      <c r="D48" t="s">
        <v>210</v>
      </c>
      <c r="G48">
        <v>490</v>
      </c>
    </row>
    <row r="49" spans="1:7" x14ac:dyDescent="0.25">
      <c r="A49" t="s">
        <v>3</v>
      </c>
      <c r="B49">
        <v>223038</v>
      </c>
      <c r="C49" t="s">
        <v>272</v>
      </c>
      <c r="G49" t="s">
        <v>124</v>
      </c>
    </row>
    <row r="50" spans="1:7" x14ac:dyDescent="0.25">
      <c r="A50" t="s">
        <v>3</v>
      </c>
      <c r="B50">
        <v>194089</v>
      </c>
      <c r="C50" t="s">
        <v>273</v>
      </c>
      <c r="G50" t="s">
        <v>124</v>
      </c>
    </row>
    <row r="51" spans="1:7" x14ac:dyDescent="0.25">
      <c r="A51" t="s">
        <v>3</v>
      </c>
      <c r="B51">
        <v>223039</v>
      </c>
      <c r="C51" t="s">
        <v>272</v>
      </c>
      <c r="G51" t="s">
        <v>124</v>
      </c>
    </row>
    <row r="52" spans="1:7" x14ac:dyDescent="0.25">
      <c r="A52" t="s">
        <v>3</v>
      </c>
      <c r="B52">
        <v>223040</v>
      </c>
      <c r="C52" t="s">
        <v>272</v>
      </c>
      <c r="G52" t="s">
        <v>124</v>
      </c>
    </row>
    <row r="53" spans="1:7" x14ac:dyDescent="0.25">
      <c r="A53" t="s">
        <v>3</v>
      </c>
      <c r="B53">
        <v>217444</v>
      </c>
      <c r="C53" t="s">
        <v>272</v>
      </c>
      <c r="G53" t="s">
        <v>124</v>
      </c>
    </row>
    <row r="54" spans="1:7" x14ac:dyDescent="0.25">
      <c r="A54" t="s">
        <v>3</v>
      </c>
      <c r="B54">
        <v>224199</v>
      </c>
      <c r="C54">
        <v>1090</v>
      </c>
      <c r="D54" t="s">
        <v>280</v>
      </c>
      <c r="G54">
        <v>1090</v>
      </c>
    </row>
    <row r="55" spans="1:7" x14ac:dyDescent="0.25">
      <c r="A55" t="s">
        <v>3</v>
      </c>
      <c r="B55">
        <v>224226</v>
      </c>
      <c r="C55">
        <v>1090</v>
      </c>
      <c r="D55" t="s">
        <v>281</v>
      </c>
      <c r="G55">
        <v>1090</v>
      </c>
    </row>
    <row r="56" spans="1:7" x14ac:dyDescent="0.25">
      <c r="A56" t="s">
        <v>3</v>
      </c>
      <c r="B56">
        <v>155778</v>
      </c>
      <c r="C56" t="s">
        <v>273</v>
      </c>
      <c r="G56" t="s">
        <v>124</v>
      </c>
    </row>
    <row r="57" spans="1:7" x14ac:dyDescent="0.25">
      <c r="A57" t="s">
        <v>3</v>
      </c>
      <c r="B57">
        <v>194070</v>
      </c>
      <c r="C57">
        <v>990</v>
      </c>
      <c r="D57" t="s">
        <v>285</v>
      </c>
      <c r="G57">
        <v>990</v>
      </c>
    </row>
    <row r="58" spans="1:7" x14ac:dyDescent="0.25">
      <c r="A58" t="s">
        <v>3</v>
      </c>
      <c r="B58">
        <v>143693</v>
      </c>
      <c r="C58">
        <v>1490</v>
      </c>
      <c r="D58" t="s">
        <v>211</v>
      </c>
      <c r="G58">
        <v>1490</v>
      </c>
    </row>
    <row r="59" spans="1:7" x14ac:dyDescent="0.25">
      <c r="A59" t="s">
        <v>3</v>
      </c>
      <c r="B59">
        <v>143695</v>
      </c>
      <c r="C59" t="s">
        <v>273</v>
      </c>
      <c r="G59" t="s">
        <v>124</v>
      </c>
    </row>
    <row r="60" spans="1:7" x14ac:dyDescent="0.25">
      <c r="A60" t="s">
        <v>3</v>
      </c>
      <c r="B60">
        <v>218486</v>
      </c>
      <c r="C60" t="s">
        <v>272</v>
      </c>
      <c r="G60" t="s">
        <v>124</v>
      </c>
    </row>
    <row r="61" spans="1:7" x14ac:dyDescent="0.25">
      <c r="A61" t="s">
        <v>3</v>
      </c>
      <c r="B61">
        <v>143751</v>
      </c>
      <c r="C61">
        <v>1390</v>
      </c>
      <c r="D61" t="s">
        <v>191</v>
      </c>
      <c r="G61">
        <v>1390</v>
      </c>
    </row>
    <row r="62" spans="1:7" x14ac:dyDescent="0.25">
      <c r="A62" t="s">
        <v>3</v>
      </c>
      <c r="B62">
        <v>143755</v>
      </c>
      <c r="C62" t="s">
        <v>286</v>
      </c>
      <c r="D62" t="s">
        <v>191</v>
      </c>
      <c r="G62">
        <v>1390</v>
      </c>
    </row>
    <row r="63" spans="1:7" x14ac:dyDescent="0.25">
      <c r="A63" t="s">
        <v>3</v>
      </c>
      <c r="B63">
        <v>143753</v>
      </c>
      <c r="C63">
        <v>1249</v>
      </c>
      <c r="D63" t="s">
        <v>192</v>
      </c>
      <c r="G63">
        <v>1249</v>
      </c>
    </row>
    <row r="64" spans="1:7" x14ac:dyDescent="0.25">
      <c r="A64" t="s">
        <v>3</v>
      </c>
      <c r="B64">
        <v>143757</v>
      </c>
      <c r="C64" t="s">
        <v>282</v>
      </c>
      <c r="D64" t="s">
        <v>192</v>
      </c>
      <c r="G64">
        <v>1249</v>
      </c>
    </row>
    <row r="65" spans="1:7" x14ac:dyDescent="0.25">
      <c r="A65" t="s">
        <v>3</v>
      </c>
      <c r="B65">
        <v>143754</v>
      </c>
      <c r="C65" t="s">
        <v>307</v>
      </c>
      <c r="D65" t="s">
        <v>193</v>
      </c>
      <c r="G65">
        <v>1290</v>
      </c>
    </row>
    <row r="66" spans="1:7" x14ac:dyDescent="0.25">
      <c r="A66" t="s">
        <v>3</v>
      </c>
      <c r="B66">
        <v>143752</v>
      </c>
      <c r="C66" t="s">
        <v>283</v>
      </c>
      <c r="D66" t="s">
        <v>194</v>
      </c>
      <c r="G66">
        <v>1290</v>
      </c>
    </row>
    <row r="67" spans="1:7" x14ac:dyDescent="0.25">
      <c r="A67" t="s">
        <v>3</v>
      </c>
      <c r="B67">
        <v>143756</v>
      </c>
      <c r="C67">
        <v>1290</v>
      </c>
      <c r="D67" t="s">
        <v>194</v>
      </c>
      <c r="G67">
        <v>1290</v>
      </c>
    </row>
    <row r="68" spans="1:7" x14ac:dyDescent="0.25">
      <c r="A68" t="s">
        <v>3</v>
      </c>
      <c r="B68">
        <v>155783</v>
      </c>
      <c r="C68" t="s">
        <v>272</v>
      </c>
      <c r="G68" t="s">
        <v>124</v>
      </c>
    </row>
    <row r="69" spans="1:7" x14ac:dyDescent="0.25">
      <c r="A69" t="s">
        <v>3</v>
      </c>
      <c r="B69">
        <v>194094</v>
      </c>
      <c r="C69" t="s">
        <v>272</v>
      </c>
      <c r="G69" t="s">
        <v>124</v>
      </c>
    </row>
    <row r="70" spans="1:7" x14ac:dyDescent="0.25">
      <c r="A70" t="s">
        <v>3</v>
      </c>
      <c r="B70">
        <v>143750</v>
      </c>
      <c r="C70">
        <v>1290</v>
      </c>
      <c r="D70" t="s">
        <v>193</v>
      </c>
      <c r="G70">
        <v>1290</v>
      </c>
    </row>
    <row r="71" spans="1:7" x14ac:dyDescent="0.25">
      <c r="A71" t="s">
        <v>3</v>
      </c>
      <c r="B71">
        <v>201805</v>
      </c>
      <c r="C71">
        <v>1190</v>
      </c>
      <c r="D71" t="s">
        <v>195</v>
      </c>
      <c r="G71">
        <v>1190</v>
      </c>
    </row>
    <row r="72" spans="1:7" x14ac:dyDescent="0.25">
      <c r="A72" t="s">
        <v>3</v>
      </c>
      <c r="B72">
        <v>145329</v>
      </c>
      <c r="C72">
        <v>1190</v>
      </c>
      <c r="D72" t="s">
        <v>196</v>
      </c>
      <c r="G72">
        <v>1190</v>
      </c>
    </row>
    <row r="73" spans="1:7" x14ac:dyDescent="0.25">
      <c r="A73" t="s">
        <v>3</v>
      </c>
      <c r="B73">
        <v>143694</v>
      </c>
      <c r="C73">
        <v>1490</v>
      </c>
      <c r="D73" t="s">
        <v>197</v>
      </c>
      <c r="G73">
        <v>1490</v>
      </c>
    </row>
    <row r="74" spans="1:7" x14ac:dyDescent="0.25">
      <c r="A74" t="s">
        <v>3</v>
      </c>
      <c r="B74">
        <v>170718</v>
      </c>
      <c r="C74" t="s">
        <v>272</v>
      </c>
      <c r="G74" t="s">
        <v>124</v>
      </c>
    </row>
    <row r="75" spans="1:7" x14ac:dyDescent="0.25">
      <c r="A75" t="s">
        <v>3</v>
      </c>
      <c r="B75">
        <v>170719</v>
      </c>
      <c r="C75" t="s">
        <v>272</v>
      </c>
      <c r="G75" t="s">
        <v>124</v>
      </c>
    </row>
    <row r="76" spans="1:7" x14ac:dyDescent="0.25">
      <c r="A76" t="s">
        <v>3</v>
      </c>
      <c r="B76">
        <v>217450</v>
      </c>
      <c r="C76">
        <v>1790</v>
      </c>
      <c r="D76" t="s">
        <v>198</v>
      </c>
      <c r="G76">
        <v>1790</v>
      </c>
    </row>
    <row r="77" spans="1:7" x14ac:dyDescent="0.25">
      <c r="A77" t="s">
        <v>3</v>
      </c>
      <c r="B77">
        <v>217451</v>
      </c>
      <c r="C77">
        <v>1790</v>
      </c>
      <c r="D77" t="s">
        <v>199</v>
      </c>
      <c r="G77">
        <v>1790</v>
      </c>
    </row>
    <row r="78" spans="1:7" x14ac:dyDescent="0.25">
      <c r="A78" t="s">
        <v>3</v>
      </c>
      <c r="B78">
        <v>201774</v>
      </c>
      <c r="C78">
        <v>2790</v>
      </c>
      <c r="D78" t="s">
        <v>203</v>
      </c>
      <c r="G78">
        <v>2790</v>
      </c>
    </row>
    <row r="79" spans="1:7" x14ac:dyDescent="0.25">
      <c r="A79" t="s">
        <v>3</v>
      </c>
      <c r="B79">
        <v>213660</v>
      </c>
      <c r="C79" t="s">
        <v>272</v>
      </c>
      <c r="G79" t="s">
        <v>124</v>
      </c>
    </row>
    <row r="80" spans="1:7" x14ac:dyDescent="0.25">
      <c r="A80" t="s">
        <v>3</v>
      </c>
      <c r="B80">
        <v>247464</v>
      </c>
      <c r="C80">
        <v>2390</v>
      </c>
      <c r="D80" t="s">
        <v>200</v>
      </c>
      <c r="G80">
        <v>2390</v>
      </c>
    </row>
    <row r="81" spans="1:7" x14ac:dyDescent="0.25">
      <c r="A81" t="s">
        <v>3</v>
      </c>
      <c r="B81">
        <v>247461</v>
      </c>
      <c r="C81">
        <v>2390</v>
      </c>
      <c r="D81" t="s">
        <v>201</v>
      </c>
      <c r="G81">
        <v>2390</v>
      </c>
    </row>
    <row r="82" spans="1:7" x14ac:dyDescent="0.25">
      <c r="A82" t="s">
        <v>3</v>
      </c>
      <c r="B82">
        <v>158512</v>
      </c>
      <c r="C82">
        <v>2490</v>
      </c>
      <c r="D82" t="s">
        <v>302</v>
      </c>
      <c r="G82">
        <v>2490</v>
      </c>
    </row>
    <row r="83" spans="1:7" x14ac:dyDescent="0.25">
      <c r="A83" t="s">
        <v>3</v>
      </c>
      <c r="B83">
        <v>162826</v>
      </c>
      <c r="C83" t="s">
        <v>272</v>
      </c>
      <c r="G83" t="s">
        <v>124</v>
      </c>
    </row>
    <row r="84" spans="1:7" x14ac:dyDescent="0.25">
      <c r="A84" t="s">
        <v>3</v>
      </c>
      <c r="B84">
        <v>143738</v>
      </c>
      <c r="C84">
        <v>2590</v>
      </c>
      <c r="D84" t="s">
        <v>301</v>
      </c>
      <c r="G84">
        <v>2590</v>
      </c>
    </row>
    <row r="85" spans="1:7" x14ac:dyDescent="0.25">
      <c r="A85" t="s">
        <v>3</v>
      </c>
      <c r="B85">
        <v>136973</v>
      </c>
      <c r="C85" t="s">
        <v>272</v>
      </c>
      <c r="G85" t="s">
        <v>124</v>
      </c>
    </row>
    <row r="86" spans="1:7" x14ac:dyDescent="0.25">
      <c r="A86" t="s">
        <v>3</v>
      </c>
      <c r="B86">
        <v>136982</v>
      </c>
      <c r="C86" t="s">
        <v>272</v>
      </c>
      <c r="G86" t="s">
        <v>124</v>
      </c>
    </row>
    <row r="87" spans="1:7" x14ac:dyDescent="0.25">
      <c r="A87" t="s">
        <v>3</v>
      </c>
      <c r="B87">
        <v>136970</v>
      </c>
      <c r="C87" t="s">
        <v>272</v>
      </c>
      <c r="G87" t="s">
        <v>124</v>
      </c>
    </row>
    <row r="88" spans="1:7" x14ac:dyDescent="0.25">
      <c r="A88" t="s">
        <v>3</v>
      </c>
      <c r="B88">
        <v>136979</v>
      </c>
      <c r="C88" t="s">
        <v>272</v>
      </c>
      <c r="G88" t="s">
        <v>124</v>
      </c>
    </row>
    <row r="89" spans="1:7" x14ac:dyDescent="0.25">
      <c r="A89" t="s">
        <v>3</v>
      </c>
      <c r="B89">
        <v>158511</v>
      </c>
      <c r="C89">
        <v>1790</v>
      </c>
      <c r="D89" t="s">
        <v>202</v>
      </c>
      <c r="G89">
        <v>1790</v>
      </c>
    </row>
    <row r="90" spans="1:7" x14ac:dyDescent="0.25">
      <c r="A90" t="s">
        <v>3</v>
      </c>
      <c r="B90">
        <v>143743</v>
      </c>
      <c r="C90" t="s">
        <v>273</v>
      </c>
      <c r="G90" t="s">
        <v>124</v>
      </c>
    </row>
    <row r="91" spans="1:7" x14ac:dyDescent="0.25">
      <c r="A91" t="s">
        <v>3</v>
      </c>
      <c r="B91">
        <v>145430</v>
      </c>
      <c r="C91" t="s">
        <v>273</v>
      </c>
      <c r="G91" t="s">
        <v>124</v>
      </c>
    </row>
    <row r="92" spans="1:7" x14ac:dyDescent="0.25">
      <c r="A92" t="s">
        <v>3</v>
      </c>
      <c r="B92">
        <v>145563</v>
      </c>
      <c r="C92" t="s">
        <v>272</v>
      </c>
      <c r="G92" t="s">
        <v>124</v>
      </c>
    </row>
    <row r="93" spans="1:7" x14ac:dyDescent="0.25">
      <c r="A93" t="s">
        <v>3</v>
      </c>
      <c r="B93">
        <v>247460</v>
      </c>
      <c r="C93">
        <v>2890</v>
      </c>
      <c r="D93" t="s">
        <v>304</v>
      </c>
      <c r="G93">
        <v>2890</v>
      </c>
    </row>
    <row r="94" spans="1:7" x14ac:dyDescent="0.25">
      <c r="A94" t="s">
        <v>3</v>
      </c>
      <c r="B94">
        <v>247463</v>
      </c>
      <c r="C94">
        <v>2890</v>
      </c>
      <c r="D94" t="s">
        <v>305</v>
      </c>
      <c r="G94">
        <v>2890</v>
      </c>
    </row>
    <row r="95" spans="1:7" x14ac:dyDescent="0.25">
      <c r="A95" t="s">
        <v>3</v>
      </c>
      <c r="B95">
        <v>136975</v>
      </c>
      <c r="C95" t="s">
        <v>273</v>
      </c>
      <c r="G95" t="s">
        <v>124</v>
      </c>
    </row>
    <row r="96" spans="1:7" x14ac:dyDescent="0.25">
      <c r="A96" t="s">
        <v>3</v>
      </c>
      <c r="B96">
        <v>136978</v>
      </c>
      <c r="C96">
        <v>3295</v>
      </c>
      <c r="D96" t="s">
        <v>284</v>
      </c>
      <c r="G96">
        <v>6590</v>
      </c>
    </row>
    <row r="97" spans="1:7" x14ac:dyDescent="0.25">
      <c r="A97" t="s">
        <v>3</v>
      </c>
      <c r="B97">
        <v>136984</v>
      </c>
      <c r="C97" t="s">
        <v>273</v>
      </c>
      <c r="G97" t="s">
        <v>124</v>
      </c>
    </row>
    <row r="98" spans="1:7" x14ac:dyDescent="0.25">
      <c r="A98" t="s">
        <v>3</v>
      </c>
      <c r="B98">
        <v>136987</v>
      </c>
      <c r="C98">
        <v>3295</v>
      </c>
      <c r="D98" t="s">
        <v>284</v>
      </c>
      <c r="G98">
        <v>6590</v>
      </c>
    </row>
    <row r="99" spans="1:7" x14ac:dyDescent="0.25">
      <c r="A99" t="s">
        <v>3</v>
      </c>
      <c r="B99">
        <v>213676</v>
      </c>
      <c r="C99" t="s">
        <v>273</v>
      </c>
      <c r="G99" t="s">
        <v>124</v>
      </c>
    </row>
    <row r="100" spans="1:7" x14ac:dyDescent="0.25">
      <c r="A100" t="s">
        <v>3</v>
      </c>
      <c r="B100">
        <v>145429</v>
      </c>
      <c r="G100" t="s">
        <v>124</v>
      </c>
    </row>
    <row r="101" spans="1:7" x14ac:dyDescent="0.25">
      <c r="A101" t="s">
        <v>3</v>
      </c>
      <c r="B101">
        <v>223807</v>
      </c>
      <c r="C101" t="s">
        <v>272</v>
      </c>
      <c r="G101" t="s">
        <v>124</v>
      </c>
    </row>
    <row r="102" spans="1:7" x14ac:dyDescent="0.25">
      <c r="A102" t="s">
        <v>3</v>
      </c>
      <c r="B102">
        <v>223805</v>
      </c>
      <c r="C102" t="s">
        <v>272</v>
      </c>
      <c r="G102" t="s">
        <v>124</v>
      </c>
    </row>
    <row r="103" spans="1:7" x14ac:dyDescent="0.25">
      <c r="A103" t="s">
        <v>3</v>
      </c>
      <c r="B103">
        <v>143740</v>
      </c>
      <c r="C103" t="s">
        <v>272</v>
      </c>
      <c r="G103" t="s">
        <v>124</v>
      </c>
    </row>
    <row r="104" spans="1:7" x14ac:dyDescent="0.25">
      <c r="A104" t="s">
        <v>3</v>
      </c>
      <c r="B104">
        <v>213684</v>
      </c>
      <c r="G104" t="s">
        <v>124</v>
      </c>
    </row>
    <row r="105" spans="1:7" x14ac:dyDescent="0.25">
      <c r="A105" t="s">
        <v>3</v>
      </c>
      <c r="B105">
        <v>136974</v>
      </c>
      <c r="C105" t="s">
        <v>272</v>
      </c>
      <c r="G105" t="s">
        <v>124</v>
      </c>
    </row>
    <row r="106" spans="1:7" x14ac:dyDescent="0.25">
      <c r="A106" t="s">
        <v>3</v>
      </c>
      <c r="B106">
        <v>136981</v>
      </c>
      <c r="C106" t="s">
        <v>272</v>
      </c>
      <c r="G106" t="s">
        <v>124</v>
      </c>
    </row>
    <row r="107" spans="1:7" x14ac:dyDescent="0.25">
      <c r="A107" t="s">
        <v>3</v>
      </c>
      <c r="B107">
        <v>136972</v>
      </c>
      <c r="C107" t="s">
        <v>272</v>
      </c>
      <c r="G107" t="s">
        <v>124</v>
      </c>
    </row>
    <row r="108" spans="1:7" x14ac:dyDescent="0.25">
      <c r="A108" t="s">
        <v>3</v>
      </c>
      <c r="B108">
        <v>136977</v>
      </c>
      <c r="C108" t="s">
        <v>272</v>
      </c>
      <c r="G108" t="s">
        <v>124</v>
      </c>
    </row>
    <row r="109" spans="1:7" x14ac:dyDescent="0.25">
      <c r="A109" t="s">
        <v>3</v>
      </c>
      <c r="B109">
        <v>136986</v>
      </c>
      <c r="C109" t="s">
        <v>272</v>
      </c>
      <c r="G109" t="s">
        <v>124</v>
      </c>
    </row>
    <row r="110" spans="1:7" x14ac:dyDescent="0.25">
      <c r="A110" t="s">
        <v>3</v>
      </c>
      <c r="B110">
        <v>143745</v>
      </c>
      <c r="G110" t="s">
        <v>124</v>
      </c>
    </row>
    <row r="111" spans="1:7" x14ac:dyDescent="0.25">
      <c r="A111" t="s">
        <v>3</v>
      </c>
      <c r="B111">
        <v>162939</v>
      </c>
      <c r="G111" t="s">
        <v>124</v>
      </c>
    </row>
    <row r="112" spans="1:7" x14ac:dyDescent="0.25">
      <c r="A112" t="s">
        <v>3</v>
      </c>
      <c r="B112">
        <v>136968</v>
      </c>
      <c r="C112" t="s">
        <v>272</v>
      </c>
      <c r="G112" t="s">
        <v>124</v>
      </c>
    </row>
    <row r="113" spans="1:7" x14ac:dyDescent="0.25">
      <c r="A113" t="s">
        <v>3</v>
      </c>
      <c r="B113">
        <v>145494</v>
      </c>
      <c r="C113">
        <v>3390</v>
      </c>
      <c r="D113" t="s">
        <v>178</v>
      </c>
      <c r="G113">
        <v>3390</v>
      </c>
    </row>
    <row r="114" spans="1:7" x14ac:dyDescent="0.25">
      <c r="A114" t="s">
        <v>3</v>
      </c>
      <c r="B114">
        <v>213589</v>
      </c>
      <c r="C114" t="s">
        <v>288</v>
      </c>
      <c r="D114" t="s">
        <v>287</v>
      </c>
      <c r="G114">
        <v>4190</v>
      </c>
    </row>
    <row r="115" spans="1:7" x14ac:dyDescent="0.25">
      <c r="A115" t="s">
        <v>3</v>
      </c>
      <c r="B115">
        <v>117038</v>
      </c>
      <c r="G115" t="s">
        <v>124</v>
      </c>
    </row>
    <row r="116" spans="1:7" x14ac:dyDescent="0.25">
      <c r="A116" t="s">
        <v>3</v>
      </c>
      <c r="B116">
        <v>208974</v>
      </c>
      <c r="C116" t="s">
        <v>272</v>
      </c>
      <c r="G116" t="s">
        <v>124</v>
      </c>
    </row>
    <row r="117" spans="1:7" x14ac:dyDescent="0.25">
      <c r="A117" t="s">
        <v>3</v>
      </c>
      <c r="B117">
        <v>143748</v>
      </c>
      <c r="C117" t="s">
        <v>290</v>
      </c>
      <c r="D117" t="s">
        <v>289</v>
      </c>
      <c r="G117">
        <v>6890</v>
      </c>
    </row>
    <row r="118" spans="1:7" x14ac:dyDescent="0.25">
      <c r="A118" t="s">
        <v>3</v>
      </c>
      <c r="B118">
        <v>136976</v>
      </c>
      <c r="C118" t="s">
        <v>272</v>
      </c>
      <c r="G118" t="s">
        <v>124</v>
      </c>
    </row>
    <row r="119" spans="1:7" x14ac:dyDescent="0.25">
      <c r="A119" t="s">
        <v>3</v>
      </c>
      <c r="B119">
        <v>136985</v>
      </c>
      <c r="C119" t="s">
        <v>272</v>
      </c>
      <c r="G119" t="s">
        <v>124</v>
      </c>
    </row>
    <row r="120" spans="1:7" x14ac:dyDescent="0.25">
      <c r="A120" t="s">
        <v>3</v>
      </c>
      <c r="B120">
        <v>187236</v>
      </c>
      <c r="C120">
        <v>6590</v>
      </c>
      <c r="D120" t="s">
        <v>179</v>
      </c>
      <c r="G120">
        <v>6590</v>
      </c>
    </row>
    <row r="121" spans="1:7" x14ac:dyDescent="0.25">
      <c r="A121" t="s">
        <v>3</v>
      </c>
      <c r="B121">
        <v>224170</v>
      </c>
      <c r="C121">
        <v>7790</v>
      </c>
      <c r="D121" t="s">
        <v>180</v>
      </c>
      <c r="G121">
        <v>7790</v>
      </c>
    </row>
    <row r="122" spans="1:7" x14ac:dyDescent="0.25">
      <c r="A122" t="s">
        <v>3</v>
      </c>
      <c r="B122">
        <v>224167</v>
      </c>
      <c r="C122" t="s">
        <v>272</v>
      </c>
      <c r="G122" t="s">
        <v>124</v>
      </c>
    </row>
    <row r="123" spans="1:7" x14ac:dyDescent="0.25">
      <c r="A123" t="s">
        <v>3</v>
      </c>
      <c r="B123">
        <v>223839</v>
      </c>
      <c r="C123">
        <v>8145</v>
      </c>
      <c r="D123" t="s">
        <v>204</v>
      </c>
      <c r="G123">
        <v>16290</v>
      </c>
    </row>
    <row r="124" spans="1:7" x14ac:dyDescent="0.25">
      <c r="A124" t="s">
        <v>3</v>
      </c>
      <c r="B124">
        <v>223862</v>
      </c>
      <c r="C124">
        <v>8145</v>
      </c>
      <c r="D124" t="s">
        <v>204</v>
      </c>
      <c r="G124">
        <v>16290</v>
      </c>
    </row>
    <row r="125" spans="1:7" x14ac:dyDescent="0.25">
      <c r="A125" t="s">
        <v>3</v>
      </c>
      <c r="B125">
        <v>213698</v>
      </c>
      <c r="C125" t="s">
        <v>303</v>
      </c>
      <c r="G125" t="s">
        <v>124</v>
      </c>
    </row>
    <row r="126" spans="1:7" x14ac:dyDescent="0.25">
      <c r="A126" t="s">
        <v>3</v>
      </c>
      <c r="B126">
        <v>213696</v>
      </c>
      <c r="G126" t="s">
        <v>124</v>
      </c>
    </row>
    <row r="127" spans="1:7" x14ac:dyDescent="0.25">
      <c r="A127" t="s">
        <v>3</v>
      </c>
      <c r="B127">
        <v>213705</v>
      </c>
      <c r="C127" t="s">
        <v>303</v>
      </c>
      <c r="G127" t="s">
        <v>124</v>
      </c>
    </row>
    <row r="128" spans="1:7" x14ac:dyDescent="0.25">
      <c r="A128" t="s">
        <v>3</v>
      </c>
      <c r="B128">
        <v>213695</v>
      </c>
      <c r="C128" t="s">
        <v>303</v>
      </c>
      <c r="G128" t="s">
        <v>124</v>
      </c>
    </row>
    <row r="129" spans="1:7" x14ac:dyDescent="0.25">
      <c r="A129" t="s">
        <v>3</v>
      </c>
      <c r="B129">
        <v>213697</v>
      </c>
      <c r="C129" t="s">
        <v>303</v>
      </c>
      <c r="G129" t="s">
        <v>124</v>
      </c>
    </row>
    <row r="130" spans="1:7" x14ac:dyDescent="0.25">
      <c r="A130" t="s">
        <v>3</v>
      </c>
      <c r="B130">
        <v>213699</v>
      </c>
      <c r="C130" t="s">
        <v>303</v>
      </c>
      <c r="G130" t="s">
        <v>124</v>
      </c>
    </row>
    <row r="131" spans="1:7" x14ac:dyDescent="0.25">
      <c r="A131" t="s">
        <v>3</v>
      </c>
      <c r="B131">
        <v>143746</v>
      </c>
      <c r="G131" t="s">
        <v>124</v>
      </c>
    </row>
    <row r="132" spans="1:7" x14ac:dyDescent="0.25">
      <c r="A132" t="s">
        <v>3</v>
      </c>
      <c r="B132">
        <v>187235</v>
      </c>
      <c r="C132">
        <v>14990</v>
      </c>
      <c r="D132" t="s">
        <v>312</v>
      </c>
      <c r="G132">
        <v>12490</v>
      </c>
    </row>
    <row r="133" spans="1:7" x14ac:dyDescent="0.25">
      <c r="A133" t="s">
        <v>3</v>
      </c>
      <c r="B133">
        <v>187502</v>
      </c>
      <c r="C133" t="s">
        <v>272</v>
      </c>
      <c r="G133" t="s">
        <v>124</v>
      </c>
    </row>
    <row r="134" spans="1:7" x14ac:dyDescent="0.25">
      <c r="A134" t="s">
        <v>3</v>
      </c>
      <c r="B134">
        <v>226468</v>
      </c>
      <c r="C134">
        <v>10990</v>
      </c>
      <c r="D134" t="s">
        <v>181</v>
      </c>
      <c r="G134">
        <v>10990</v>
      </c>
    </row>
    <row r="135" spans="1:7" x14ac:dyDescent="0.25">
      <c r="A135" t="s">
        <v>3</v>
      </c>
      <c r="B135">
        <v>159503</v>
      </c>
      <c r="C135" t="s">
        <v>272</v>
      </c>
      <c r="G135" t="s">
        <v>124</v>
      </c>
    </row>
    <row r="136" spans="1:7" x14ac:dyDescent="0.25">
      <c r="A136" t="s">
        <v>3</v>
      </c>
      <c r="B136">
        <v>223884</v>
      </c>
      <c r="C136">
        <v>14990</v>
      </c>
      <c r="D136" t="s">
        <v>205</v>
      </c>
      <c r="G136">
        <v>14990</v>
      </c>
    </row>
    <row r="137" spans="1:7" x14ac:dyDescent="0.25">
      <c r="A137" t="s">
        <v>3</v>
      </c>
      <c r="B137">
        <v>224171</v>
      </c>
      <c r="C137">
        <v>14790</v>
      </c>
      <c r="D137" t="s">
        <v>291</v>
      </c>
      <c r="G137">
        <v>14790</v>
      </c>
    </row>
    <row r="138" spans="1:7" x14ac:dyDescent="0.25">
      <c r="A138" t="s">
        <v>3</v>
      </c>
      <c r="B138">
        <v>224172</v>
      </c>
      <c r="C138">
        <v>14790</v>
      </c>
      <c r="D138" t="s">
        <v>292</v>
      </c>
      <c r="G138">
        <v>14790</v>
      </c>
    </row>
    <row r="139" spans="1:7" x14ac:dyDescent="0.25">
      <c r="A139" t="s">
        <v>3</v>
      </c>
      <c r="B139">
        <v>222850</v>
      </c>
      <c r="C139" t="s">
        <v>272</v>
      </c>
      <c r="G139" t="s">
        <v>124</v>
      </c>
    </row>
    <row r="140" spans="1:7" x14ac:dyDescent="0.25">
      <c r="A140" t="s">
        <v>3</v>
      </c>
      <c r="B140">
        <v>213689</v>
      </c>
      <c r="G140" t="s">
        <v>124</v>
      </c>
    </row>
    <row r="141" spans="1:7" x14ac:dyDescent="0.25">
      <c r="A141" t="s">
        <v>3</v>
      </c>
      <c r="B141">
        <v>136969</v>
      </c>
      <c r="C141" t="s">
        <v>272</v>
      </c>
      <c r="G141" t="s">
        <v>124</v>
      </c>
    </row>
    <row r="142" spans="1:7" x14ac:dyDescent="0.25">
      <c r="A142" t="s">
        <v>3</v>
      </c>
      <c r="B142">
        <v>274419</v>
      </c>
      <c r="C142" t="s">
        <v>272</v>
      </c>
      <c r="G142" t="s">
        <v>124</v>
      </c>
    </row>
    <row r="143" spans="1:7" x14ac:dyDescent="0.25">
      <c r="A143" t="s">
        <v>3</v>
      </c>
      <c r="B143">
        <v>217472</v>
      </c>
      <c r="C143">
        <v>695</v>
      </c>
      <c r="D143" t="s">
        <v>293</v>
      </c>
      <c r="G143">
        <v>1390</v>
      </c>
    </row>
    <row r="144" spans="1:7" x14ac:dyDescent="0.25">
      <c r="A144" t="s">
        <v>3</v>
      </c>
      <c r="B144">
        <v>217474</v>
      </c>
      <c r="C144">
        <v>695</v>
      </c>
      <c r="D144" t="s">
        <v>293</v>
      </c>
      <c r="G144">
        <v>1390</v>
      </c>
    </row>
    <row r="145" spans="1:7" x14ac:dyDescent="0.25">
      <c r="A145" t="s">
        <v>3</v>
      </c>
      <c r="B145">
        <v>264883</v>
      </c>
      <c r="C145" t="s">
        <v>272</v>
      </c>
      <c r="G145" t="s">
        <v>124</v>
      </c>
    </row>
    <row r="146" spans="1:7" x14ac:dyDescent="0.25">
      <c r="A146" t="s">
        <v>3</v>
      </c>
      <c r="B146" t="s">
        <v>0</v>
      </c>
      <c r="C146" t="s">
        <v>174</v>
      </c>
      <c r="G146" t="s">
        <v>236</v>
      </c>
    </row>
    <row r="147" spans="1:7" x14ac:dyDescent="0.25">
      <c r="A147" t="s">
        <v>3</v>
      </c>
      <c r="B147">
        <v>223910</v>
      </c>
      <c r="C147" t="s">
        <v>272</v>
      </c>
      <c r="G147" t="s">
        <v>124</v>
      </c>
    </row>
    <row r="148" spans="1:7" x14ac:dyDescent="0.25">
      <c r="A148" t="s">
        <v>3</v>
      </c>
      <c r="B148">
        <v>223911</v>
      </c>
      <c r="C148" t="s">
        <v>272</v>
      </c>
      <c r="G148" t="s">
        <v>124</v>
      </c>
    </row>
  </sheetData>
  <phoneticPr fontId="3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22FBDC-905F-4ACB-86D5-70E0B2C2A9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2022-10-25T05:52:11Z</dcterms:created>
  <dcterms:modified xsi:type="dcterms:W3CDTF">2024-07-31T06:50:38Z</dcterms:modified>
</cp:coreProperties>
</file>