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58D4B55E-4884-4BDA-B9CA-1DA3F0E6C282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2" r:id="rId1"/>
    <sheet name="Торг" sheetId="3" r:id="rId2"/>
    <sheet name="Наценка" sheetId="10" r:id="rId3"/>
    <sheet name="Выгр Кат" sheetId="9" r:id="rId4"/>
    <sheet name="Выгр Торг" sheetId="8" r:id="rId5"/>
    <sheet name="Ссылки" sheetId="13" r:id="rId6"/>
    <sheet name="Из ГУГЛа" sheetId="14" r:id="rId7"/>
  </sheets>
  <definedNames>
    <definedName name="_xlnm._FilterDatabase" localSheetId="3" hidden="1">'Выгр Кат'!$A$1:$O$1</definedName>
    <definedName name="_xlnm._FilterDatabase" localSheetId="4" hidden="1">'Выгр Торг'!$A$1:$Q$1</definedName>
    <definedName name="_xlnm._FilterDatabase" localSheetId="0" hidden="1">Кат!$A$2:$AJ$10</definedName>
    <definedName name="_xlnm._FilterDatabase" localSheetId="1" hidden="1">Торг!$A$2:$AK$2</definedName>
    <definedName name="ExternalData_1" localSheetId="6" hidden="1">'Из ГУГЛа'!$A$1:$V$102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2" l="1"/>
  <c r="U6" i="2"/>
  <c r="T6" i="2" s="1"/>
  <c r="U5" i="2"/>
  <c r="T5" i="2" s="1"/>
  <c r="K10" i="2"/>
  <c r="K4" i="2"/>
  <c r="K8" i="2"/>
  <c r="K9" i="2"/>
  <c r="U10" i="2"/>
  <c r="T10" i="2" s="1"/>
  <c r="U4" i="2"/>
  <c r="T4" i="2" s="1"/>
  <c r="U7" i="2"/>
  <c r="U8" i="2"/>
  <c r="U9" i="2"/>
  <c r="T9" i="2" s="1"/>
  <c r="K23" i="2"/>
  <c r="L3" i="3"/>
  <c r="L4" i="3"/>
  <c r="L17" i="3"/>
  <c r="L12" i="3"/>
  <c r="L16" i="3"/>
  <c r="L15" i="3"/>
  <c r="L14" i="3"/>
  <c r="L13" i="3"/>
  <c r="L11" i="3"/>
  <c r="L10" i="3"/>
  <c r="L9" i="3"/>
  <c r="K15" i="2"/>
  <c r="K22" i="2"/>
  <c r="K21" i="2"/>
  <c r="K20" i="2"/>
  <c r="K19" i="2"/>
  <c r="K18" i="2"/>
  <c r="K17" i="2"/>
  <c r="K16" i="2"/>
  <c r="V3" i="3"/>
  <c r="V4" i="3"/>
  <c r="U4" i="3" s="1"/>
  <c r="AD1" i="3"/>
  <c r="AI1" i="3"/>
  <c r="AH1" i="2"/>
  <c r="AF10" i="2"/>
  <c r="AF9" i="2"/>
  <c r="AF8" i="2"/>
  <c r="AF7" i="2"/>
  <c r="AF6" i="2"/>
  <c r="AF5" i="2"/>
  <c r="AF4" i="2"/>
  <c r="AF3" i="2"/>
  <c r="AG4" i="3"/>
  <c r="AG3" i="3"/>
  <c r="AB4" i="3"/>
  <c r="AB3" i="3"/>
  <c r="AC1" i="2"/>
  <c r="AA5" i="2"/>
  <c r="AA4" i="2"/>
  <c r="AA3" i="2"/>
  <c r="AA6" i="2"/>
  <c r="AA7" i="2"/>
  <c r="AA10" i="2"/>
  <c r="AA9" i="2"/>
  <c r="AA8" i="2"/>
  <c r="C4" i="3"/>
  <c r="D4" i="3"/>
  <c r="E4" i="3"/>
  <c r="G4" i="3"/>
  <c r="O4" i="3"/>
  <c r="N4" i="3"/>
  <c r="P4" i="3" s="1"/>
  <c r="O3" i="3"/>
  <c r="N3" i="3"/>
  <c r="G3" i="3"/>
  <c r="E3" i="3"/>
  <c r="C3" i="3"/>
  <c r="I1" i="3"/>
  <c r="K4" i="3"/>
  <c r="W4" i="3"/>
  <c r="W3" i="3"/>
  <c r="K3" i="3"/>
  <c r="D3" i="3"/>
  <c r="A4" i="3"/>
  <c r="A3" i="3"/>
  <c r="H1" i="2"/>
  <c r="B9" i="2"/>
  <c r="C9" i="2"/>
  <c r="D9" i="2"/>
  <c r="F9" i="2"/>
  <c r="B10" i="2"/>
  <c r="C10" i="2"/>
  <c r="D10" i="2"/>
  <c r="F10" i="2"/>
  <c r="B7" i="2"/>
  <c r="C7" i="2"/>
  <c r="D7" i="2"/>
  <c r="F7" i="2"/>
  <c r="B6" i="2"/>
  <c r="C6" i="2"/>
  <c r="D6" i="2"/>
  <c r="F6" i="2"/>
  <c r="B3" i="2"/>
  <c r="C3" i="2"/>
  <c r="D3" i="2"/>
  <c r="F3" i="2"/>
  <c r="B4" i="2"/>
  <c r="C4" i="2"/>
  <c r="D4" i="2"/>
  <c r="F4" i="2"/>
  <c r="B5" i="2"/>
  <c r="C5" i="2"/>
  <c r="D5" i="2"/>
  <c r="F5" i="2"/>
  <c r="N5" i="2"/>
  <c r="M5" i="2"/>
  <c r="O5" i="2" s="1"/>
  <c r="N4" i="2"/>
  <c r="M4" i="2"/>
  <c r="O4" i="2" s="1"/>
  <c r="N3" i="2"/>
  <c r="M3" i="2"/>
  <c r="O3" i="2" s="1"/>
  <c r="N6" i="2"/>
  <c r="M6" i="2"/>
  <c r="O6" i="2" s="1"/>
  <c r="N7" i="2"/>
  <c r="M7" i="2"/>
  <c r="O7" i="2" s="1"/>
  <c r="N10" i="2"/>
  <c r="M10" i="2"/>
  <c r="O10" i="2" s="1"/>
  <c r="N9" i="2"/>
  <c r="M9" i="2"/>
  <c r="O9" i="2" s="1"/>
  <c r="N8" i="2"/>
  <c r="M8" i="2"/>
  <c r="F8" i="2"/>
  <c r="D8" i="2"/>
  <c r="B8" i="2"/>
  <c r="C8" i="2"/>
  <c r="V9" i="2"/>
  <c r="V10" i="2"/>
  <c r="V7" i="2"/>
  <c r="V6" i="2"/>
  <c r="V3" i="2"/>
  <c r="V4" i="2"/>
  <c r="V5" i="2"/>
  <c r="J9" i="2"/>
  <c r="J10" i="2"/>
  <c r="L10" i="2" s="1"/>
  <c r="J7" i="2"/>
  <c r="J6" i="2"/>
  <c r="K6" i="2" s="1"/>
  <c r="J3" i="2"/>
  <c r="K3" i="2" s="1"/>
  <c r="L3" i="2" s="1"/>
  <c r="J4" i="2"/>
  <c r="J5" i="2"/>
  <c r="K5" i="2" s="1"/>
  <c r="V8" i="2"/>
  <c r="J8" i="2"/>
  <c r="T7" i="2"/>
  <c r="T3" i="2"/>
  <c r="O9" i="9"/>
  <c r="N9" i="9"/>
  <c r="E5" i="2" s="1"/>
  <c r="O8" i="9"/>
  <c r="N8" i="9"/>
  <c r="E4" i="2" s="1"/>
  <c r="O7" i="9"/>
  <c r="N7" i="9"/>
  <c r="E3" i="2" s="1"/>
  <c r="O6" i="9"/>
  <c r="N6" i="9"/>
  <c r="E6" i="2" s="1"/>
  <c r="O5" i="9"/>
  <c r="N5" i="9"/>
  <c r="E7" i="2" s="1"/>
  <c r="O4" i="9"/>
  <c r="N4" i="9"/>
  <c r="E10" i="2" s="1"/>
  <c r="O3" i="9"/>
  <c r="N3" i="9"/>
  <c r="E9" i="2" s="1"/>
  <c r="O2" i="9"/>
  <c r="Q3" i="8"/>
  <c r="P3" i="8"/>
  <c r="F4" i="3" s="1"/>
  <c r="Q2" i="8"/>
  <c r="Y1" i="3"/>
  <c r="X1" i="2"/>
  <c r="L6" i="2" l="1"/>
  <c r="Q6" i="2" s="1"/>
  <c r="R6" i="2" s="1"/>
  <c r="L4" i="2"/>
  <c r="Q4" i="2" s="1"/>
  <c r="L9" i="2"/>
  <c r="P9" i="2" s="1"/>
  <c r="L7" i="2"/>
  <c r="L5" i="2"/>
  <c r="Q5" i="2" s="1"/>
  <c r="M4" i="3"/>
  <c r="R4" i="3" s="1"/>
  <c r="P3" i="2"/>
  <c r="Q3" i="2"/>
  <c r="P7" i="2"/>
  <c r="Q7" i="2"/>
  <c r="R7" i="2" s="1"/>
  <c r="P6" i="2"/>
  <c r="P10" i="2"/>
  <c r="Q10" i="2"/>
  <c r="S10" i="2" s="1"/>
  <c r="T8" i="2"/>
  <c r="U3" i="3"/>
  <c r="P4" i="2" l="1"/>
  <c r="Q9" i="2"/>
  <c r="R9" i="2" s="1"/>
  <c r="P5" i="2"/>
  <c r="Q4" i="3"/>
  <c r="S4" i="3"/>
  <c r="T4" i="3"/>
  <c r="R5" i="2"/>
  <c r="S5" i="2"/>
  <c r="S6" i="2"/>
  <c r="R10" i="2"/>
  <c r="R3" i="2"/>
  <c r="S3" i="2"/>
  <c r="S7" i="2"/>
  <c r="R4" i="2"/>
  <c r="S4" i="2"/>
  <c r="S9" i="2" l="1"/>
  <c r="J4" i="10"/>
  <c r="O8" i="2" l="1"/>
  <c r="P2" i="8" l="1"/>
  <c r="F3" i="3" s="1"/>
  <c r="N2" i="9"/>
  <c r="E8" i="2" s="1"/>
  <c r="L8" i="2" l="1"/>
  <c r="M3" i="3"/>
  <c r="R3" i="3" l="1"/>
  <c r="Q3" i="3"/>
  <c r="Q8" i="2"/>
  <c r="P8" i="2"/>
  <c r="U1" i="3"/>
  <c r="P3" i="3"/>
  <c r="T1" i="2"/>
  <c r="T3" i="3" l="1"/>
  <c r="S3" i="3"/>
  <c r="S1" i="3" s="1"/>
  <c r="S8" i="2"/>
  <c r="R8" i="2"/>
  <c r="R1" i="2" s="1"/>
  <c r="T1" i="3"/>
  <c r="S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57598C-0CDA-45E2-9D8F-F04FD1AB0426}" keepAlive="1" name="Запрос — Рулевые системы" description="Соединение с запросом &quot;Рулевые системы&quot; в книге." type="5" refreshedVersion="7" background="1" saveData="1">
    <dbPr connection="Provider=Microsoft.Mashup.OleDb.1;Data Source=$Workbook$;Location=&quot;Рулевые системы&quot;;Extended Properties=&quot;&quot;" command="SELECT * FROM [Рулевые системы]"/>
  </connection>
</connections>
</file>

<file path=xl/sharedStrings.xml><?xml version="1.0" encoding="utf-8"?>
<sst xmlns="http://schemas.openxmlformats.org/spreadsheetml/2006/main" count="291" uniqueCount="123">
  <si>
    <t>Розница</t>
  </si>
  <si>
    <t>Факт</t>
  </si>
  <si>
    <t>%</t>
  </si>
  <si>
    <t>Рек</t>
  </si>
  <si>
    <t>MR</t>
  </si>
  <si>
    <t>ID</t>
  </si>
  <si>
    <t>Наименование</t>
  </si>
  <si>
    <t>Артикул</t>
  </si>
  <si>
    <t>Поставщик</t>
  </si>
  <si>
    <t>Закуп</t>
  </si>
  <si>
    <t>1</t>
  </si>
  <si>
    <t>Наименование элемента</t>
  </si>
  <si>
    <t>Код</t>
  </si>
  <si>
    <t>Элемент</t>
  </si>
  <si>
    <t>Кат. Номер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</si>
  <si>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</si>
  <si>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</si>
  <si>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</si>
  <si>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</si>
  <si>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</si>
  <si>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Под заказ</t>
  </si>
  <si>
    <t>Элемент каталога</t>
  </si>
  <si>
    <t>Код товара</t>
  </si>
  <si>
    <t>Ссылка</t>
  </si>
  <si>
    <t>Ряд</t>
  </si>
  <si>
    <t>РЦ</t>
  </si>
  <si>
    <t>Цвет</t>
  </si>
  <si>
    <t>Мат</t>
  </si>
  <si>
    <t>Лак</t>
  </si>
  <si>
    <t>Капот</t>
  </si>
  <si>
    <t>Бампер</t>
  </si>
  <si>
    <t>Крылья</t>
  </si>
  <si>
    <t>НБ</t>
  </si>
  <si>
    <t>Пороги</t>
  </si>
  <si>
    <t>Спойлер</t>
  </si>
  <si>
    <t>Воздухозаборник</t>
  </si>
  <si>
    <t>Багаж08/21</t>
  </si>
  <si>
    <t>Багаж</t>
  </si>
  <si>
    <t>Лип</t>
  </si>
  <si>
    <t>Капот цвет</t>
  </si>
  <si>
    <t>Арки</t>
  </si>
  <si>
    <t>зеркала</t>
  </si>
  <si>
    <t>реснички</t>
  </si>
  <si>
    <t>решетка</t>
  </si>
  <si>
    <t>жабо</t>
  </si>
  <si>
    <t>молдинги</t>
  </si>
  <si>
    <t>НЗФ</t>
  </si>
  <si>
    <t>ЗЦ</t>
  </si>
  <si>
    <t>Выбор</t>
  </si>
  <si>
    <t>Google</t>
  </si>
  <si>
    <t>Доп</t>
  </si>
  <si>
    <t>Комплект гидроусилителя руля (с инжекторным двигателем) для ВАЗ 2101-2107</t>
  </si>
  <si>
    <t>Y</t>
  </si>
  <si>
    <t>Рулевые системы</t>
  </si>
  <si>
    <t>Комплект гидроусилителя руля (с карбюраторным двигателем) для ВАЗ 2101-2107</t>
  </si>
  <si>
    <t>Комплект гидроусилителя руля для ВАЗ 2110-2112, Лада Приора</t>
  </si>
  <si>
    <t>2110034000103001</t>
  </si>
  <si>
    <t>Механизм рулевой (рейка) "Рулевые системы" в сборе с тягами для Лада Веста</t>
  </si>
  <si>
    <t>8450006828 / 8450040235</t>
  </si>
  <si>
    <t>4</t>
  </si>
  <si>
    <t>Насос гидроусилителя "АвтоВАЗ" для ВАЗ 2110-2112, Лада (Калина, Приора, Нива 4х4), Шевроле Нива</t>
  </si>
  <si>
    <t>21230340701201 / 8450036631</t>
  </si>
  <si>
    <t>21230340701200</t>
  </si>
  <si>
    <t>Насос гидроусилителя (ГУР) для Лада Приора 2</t>
  </si>
  <si>
    <t>2170-3407012</t>
  </si>
  <si>
    <t>0</t>
  </si>
  <si>
    <t>Насос гидроусилителя руля (ГУР) ВАЗ 21213</t>
  </si>
  <si>
    <t>21213340700900</t>
  </si>
  <si>
    <t>Насос гидроусилителя руля (ГУР) с кронштейном ВАЗ 21214</t>
  </si>
  <si>
    <t>21214340700910</t>
  </si>
  <si>
    <t>Комплект гидроусилителя руля (ГУР) для Лада Нива 4x4, Шевроле Нива</t>
  </si>
  <si>
    <t>Комплект гидроусилителя руля (ГУР) для Лада Нива 4x4, Шевроле Нива (Инжектор)</t>
  </si>
  <si>
    <t>Комплект гидроусилителя руля (ГУР) для Лада Нива 4x4, Шевроле Нива (Карбюратор)</t>
  </si>
  <si>
    <t>https://motorring.ru/product/34441-nasos-gidrousilitelya-rulya-gur-zf-sbore-lada-niva-21213</t>
  </si>
  <si>
    <t>https://motorring.ru/product/12531-maslyanyy-nasos-gidrousilitelya-rulya-gur-germaniya-vaz</t>
  </si>
  <si>
    <t>https://motorring.ru/product/35180-komplekt-gidrousilitelya-rulya-gur-dlya-lada-4h4-niva</t>
  </si>
  <si>
    <t>https://www.ozon.ru/product/komplekt-gidrousilitelya-gur-lada-niva-shevrole-niva-inzhektornyy-1404446563/</t>
  </si>
  <si>
    <t>https://33sport.ru/catalog/rulevoe_upravlenie/gur_vaz/gidrousilitel_rulya_21214_inzhektor_polnyy_komplekt/</t>
  </si>
  <si>
    <t>https://33sport.ru/catalog/rulevoe_upravlenie/gur_vaz/gidrousilitel_rulya_21213_karbyurator_polnyy_komplekt/</t>
  </si>
  <si>
    <t>https://www.ozon.ru/product/komplekt-gidrousilitelya-gur-lada-niva-shevrole-niva-karbyurator-1597978427/</t>
  </si>
  <si>
    <t>https://www.ozon.ru/product/21213-3407009-nasos-gur-niva-21213-v-sbore-295608180/</t>
  </si>
  <si>
    <t>https://www.ozon.ru/product/nasos-gur-21214-v-sbore-279429330/</t>
  </si>
  <si>
    <t>https://motorring.ru/product/6474</t>
  </si>
  <si>
    <t>https://www.ozon.ru/product/komplekt-gidrousilitelya-gur-vaz-2105-2106-2107-klassika-inzhektornyy-1401231181/</t>
  </si>
  <si>
    <t>https://www.ozon.ru/product/komplekt-gidrousilitelya-gur-vaz-2105-2106-2107-klassika-karbyurator-1400386952/</t>
  </si>
  <si>
    <t>https://avtomagazin163.ru/gidrousilitel-rulya-2112-rus-polnyy-k-t-dlya-am-bez-kondicionera-42673/</t>
  </si>
  <si>
    <t>21303-34000009-11 / 8450040235</t>
  </si>
  <si>
    <t>https://www.ozon.ru/product/originalnaya-rulevaya-reyka-vesta-vesta-sw-sw-cross-cross-sport-8450040235-8450006828-1049446587/</t>
  </si>
  <si>
    <t>https://www.avtoall.ru/nasos_gidrousilitelya_vaz_2110_2112_2120_2123_rulevye_sistemy-185556/</t>
  </si>
  <si>
    <t>https://motorring.ru/product/18925-reyka-rulevaya-nakonechnikami-lada-vesta</t>
  </si>
  <si>
    <t>https://www.avtoall.ru/nasos_gidrousilitelya_vaz_21214_2123_rulevye_komponenty-526263/</t>
  </si>
  <si>
    <t>https://motorring.ru/product/5453</t>
  </si>
  <si>
    <t>Ozon</t>
  </si>
  <si>
    <t>8450040235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</si>
  <si>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</si>
  <si>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</si>
  <si>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</si>
  <si>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</si>
  <si>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</si>
  <si>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</si>
  <si>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</si>
  <si>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</si>
  <si>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</si>
  <si>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</si>
  <si>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</si>
  <si>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</si>
  <si>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</si>
  <si>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</si>
  <si>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</si>
  <si>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</si>
  <si>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</si>
  <si>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</si>
  <si>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</si>
  <si>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</si>
  <si>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</si>
  <si>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</si>
  <si>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СВОД</t>
  </si>
  <si>
    <t>Данные</t>
  </si>
  <si>
    <t>Переменные</t>
  </si>
  <si>
    <t>https://docs.google.com/spreadsheets/d/1f8_y-lcqVEuKpceVw_F97NEKzue5YmQtx8GIXUS_2B8/export?format=xlsx</t>
  </si>
  <si>
    <t/>
  </si>
  <si>
    <t>Цена</t>
  </si>
  <si>
    <t>https://www.ozon.ru/product/nasos-gidrousilitelya-rulya-2123-3407012-01-rulevye-sistemy-nasos-gur-dlya-a-m-vaz-2123-chevrolet-1451915972/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</si>
</sst>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1"/>
      <charset val="204"/>
    </font>
    <font>
      <sz val="11"/>
      <name val="Calibri"/>
      <family val="2"/>
      <charset val="204"/>
    </font>
    <font>
      <sz val="8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13">
    <xf numFmtId="0" fontId="0" fillId="0" borderId="0"/>
    <xf numFmtId="0" fontId="3" fillId="0" borderId="4" applyNumberFormat="0" applyAlignment="0" applyProtection="0"/>
    <xf numFmtId="0" fontId="4" fillId="0" borderId="5" applyNumberFormat="0" applyAlignment="0" applyProtection="0"/>
    <xf numFmtId="0" fontId="5" fillId="0" borderId="6" applyNumberFormat="0" applyAlignment="0" applyProtection="0"/>
    <xf numFmtId="0" fontId="3" fillId="3" borderId="7" applyNumberFormat="0" applyProtection="0">
      <alignment horizontal="center" vertical="center"/>
    </xf>
    <xf numFmtId="0" fontId="2" fillId="4" borderId="8" applyNumberFormat="0" applyAlignment="0" applyProtection="0"/>
    <xf numFmtId="0" fontId="6" fillId="5" borderId="0" applyNumberFormat="0" applyBorder="0" applyAlignment="0" applyProtection="0"/>
    <xf numFmtId="0" fontId="12" fillId="6" borderId="9" applyNumberFormat="0" applyBorder="0" applyAlignment="0" applyProtection="0"/>
    <xf numFmtId="0" fontId="12" fillId="2" borderId="10" applyNumberFormat="0" applyBorder="0" applyAlignment="0" applyProtection="0"/>
    <xf numFmtId="0" fontId="12" fillId="7" borderId="11" applyNumberFormat="0" applyBorder="0" applyAlignment="0" applyProtection="0"/>
    <xf numFmtId="0" fontId="12" fillId="14" borderId="3" applyNumberFormat="0" applyBorder="0" applyAlignment="0" applyProtection="0"/>
    <xf numFmtId="9" fontId="7" fillId="0" borderId="0" applyFont="0" applyFill="0" applyBorder="0" applyAlignment="0" applyProtection="0"/>
    <xf numFmtId="0" fontId="7" fillId="0" borderId="0"/>
  </cellStyleXfs>
  <cellXfs count="58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9" fontId="10" fillId="8" borderId="3" xfId="0" applyNumberFormat="1" applyFont="1" applyFill="1" applyBorder="1" applyAlignment="1">
      <alignment horizontal="left" vertical="center"/>
    </xf>
    <xf numFmtId="0" fontId="10" fillId="8" borderId="3" xfId="0" applyFont="1" applyFill="1" applyBorder="1" applyAlignment="1">
      <alignment horizontal="left" vertical="center"/>
    </xf>
    <xf numFmtId="0" fontId="11" fillId="0" borderId="3" xfId="0" applyFont="1" applyBorder="1" applyAlignment="1">
      <alignment horizontal="left" vertical="top" wrapText="1"/>
    </xf>
    <xf numFmtId="0" fontId="11" fillId="12" borderId="3" xfId="0" applyFont="1" applyFill="1" applyBorder="1" applyAlignment="1">
      <alignment horizontal="left" vertical="top" wrapText="1"/>
    </xf>
    <xf numFmtId="9" fontId="11" fillId="8" borderId="3" xfId="11" applyFont="1" applyFill="1" applyBorder="1" applyAlignment="1">
      <alignment horizontal="left" vertical="top" wrapText="1"/>
    </xf>
    <xf numFmtId="0" fontId="11" fillId="2" borderId="3" xfId="0" applyFont="1" applyFill="1" applyBorder="1" applyAlignment="1">
      <alignment horizontal="left" vertical="top" wrapText="1"/>
    </xf>
    <xf numFmtId="0" fontId="0" fillId="15" borderId="3" xfId="0" applyFill="1" applyBorder="1"/>
    <xf numFmtId="0" fontId="11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1" fontId="11" fillId="2" borderId="3" xfId="0" applyNumberFormat="1" applyFont="1" applyFill="1" applyBorder="1" applyAlignment="1">
      <alignment horizontal="left" vertical="top" wrapText="1"/>
    </xf>
    <xf numFmtId="1" fontId="11" fillId="13" borderId="3" xfId="0" applyNumberFormat="1" applyFont="1" applyFill="1" applyBorder="1" applyAlignment="1">
      <alignment horizontal="left" vertical="top" wrapText="1"/>
    </xf>
    <xf numFmtId="1" fontId="11" fillId="8" borderId="3" xfId="11" applyNumberFormat="1" applyFont="1" applyFill="1" applyBorder="1" applyAlignment="1">
      <alignment horizontal="left" vertical="top" wrapText="1"/>
    </xf>
    <xf numFmtId="1" fontId="11" fillId="0" borderId="3" xfId="0" applyNumberFormat="1" applyFont="1" applyBorder="1" applyAlignment="1">
      <alignment horizontal="left" vertical="top" wrapText="1"/>
    </xf>
    <xf numFmtId="1" fontId="1" fillId="2" borderId="3" xfId="0" applyNumberFormat="1" applyFont="1" applyFill="1" applyBorder="1" applyAlignment="1">
      <alignment horizontal="left" wrapText="1"/>
    </xf>
    <xf numFmtId="1" fontId="0" fillId="8" borderId="3" xfId="0" applyNumberFormat="1" applyFill="1" applyBorder="1" applyAlignment="1">
      <alignment horizontal="left"/>
    </xf>
    <xf numFmtId="1" fontId="0" fillId="9" borderId="3" xfId="0" applyNumberFormat="1" applyFill="1" applyBorder="1" applyAlignment="1">
      <alignment horizontal="left"/>
    </xf>
    <xf numFmtId="1" fontId="0" fillId="10" borderId="3" xfId="0" applyNumberFormat="1" applyFill="1" applyBorder="1" applyAlignment="1">
      <alignment horizontal="left"/>
    </xf>
    <xf numFmtId="1" fontId="0" fillId="11" borderId="3" xfId="0" applyNumberFormat="1" applyFill="1" applyBorder="1" applyAlignment="1">
      <alignment horizontal="left"/>
    </xf>
    <xf numFmtId="1" fontId="0" fillId="17" borderId="3" xfId="0" applyNumberFormat="1" applyFill="1" applyBorder="1" applyAlignment="1">
      <alignment horizontal="left"/>
    </xf>
    <xf numFmtId="1" fontId="1" fillId="7" borderId="3" xfId="0" applyNumberFormat="1" applyFont="1" applyFill="1" applyBorder="1" applyAlignment="1">
      <alignment horizontal="left" vertical="center"/>
    </xf>
    <xf numFmtId="1" fontId="1" fillId="16" borderId="3" xfId="0" applyNumberFormat="1" applyFont="1" applyFill="1" applyBorder="1" applyAlignment="1">
      <alignment horizontal="left" vertical="center"/>
    </xf>
    <xf numFmtId="0" fontId="0" fillId="14" borderId="0" xfId="0" applyFill="1"/>
    <xf numFmtId="1" fontId="0" fillId="0" borderId="0" xfId="0" applyNumberFormat="1" applyAlignment="1">
      <alignment horizontal="left"/>
    </xf>
    <xf numFmtId="0" fontId="7" fillId="0" borderId="0" xfId="12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9" fontId="0" fillId="0" borderId="0" xfId="11" applyFont="1" applyAlignment="1">
      <alignment horizontal="left"/>
    </xf>
    <xf numFmtId="9" fontId="0" fillId="2" borderId="3" xfId="0" applyNumberFormat="1" applyFill="1" applyBorder="1" applyAlignment="1">
      <alignment horizontal="left"/>
    </xf>
    <xf numFmtId="2" fontId="0" fillId="2" borderId="0" xfId="0" applyNumberFormat="1" applyFill="1" applyAlignment="1">
      <alignment horizontal="left"/>
    </xf>
    <xf numFmtId="0" fontId="9" fillId="0" borderId="3" xfId="0" applyFont="1" applyBorder="1" applyAlignment="1">
      <alignment horizontal="left" vertical="center" wrapText="1"/>
    </xf>
    <xf numFmtId="2" fontId="9" fillId="0" borderId="3" xfId="0" applyNumberFormat="1" applyFont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/>
    </xf>
    <xf numFmtId="2" fontId="0" fillId="0" borderId="3" xfId="0" applyNumberFormat="1" applyBorder="1" applyAlignment="1">
      <alignment horizontal="left"/>
    </xf>
    <xf numFmtId="1" fontId="0" fillId="0" borderId="3" xfId="0" applyNumberFormat="1" applyBorder="1" applyAlignment="1">
      <alignment horizontal="left"/>
    </xf>
    <xf numFmtId="9" fontId="8" fillId="0" borderId="3" xfId="11" applyFont="1" applyBorder="1" applyAlignment="1">
      <alignment horizontal="left" wrapText="1"/>
    </xf>
    <xf numFmtId="0" fontId="0" fillId="0" borderId="3" xfId="0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9" fontId="0" fillId="0" borderId="0" xfId="0" applyNumberFormat="1" applyAlignment="1">
      <alignment horizontal="left"/>
    </xf>
    <xf numFmtId="0" fontId="0" fillId="0" borderId="3" xfId="0" applyBorder="1" applyAlignment="1" applyProtection="1">
      <alignment horizontal="left" vertical="top" wrapText="1"/>
    </xf>
    <xf numFmtId="1" fontId="0" fillId="2" borderId="3" xfId="0" applyNumberFormat="1" applyFill="1" applyBorder="1" applyAlignment="1">
      <alignment horizontal="left"/>
    </xf>
    <xf numFmtId="0" fontId="0" fillId="18" borderId="3" xfId="0" applyFill="1" applyBorder="1" applyAlignment="1">
      <alignment horizontal="left" vertical="center"/>
    </xf>
    <xf numFmtId="0" fontId="0" fillId="19" borderId="3" xfId="0" applyFill="1" applyBorder="1" applyAlignment="1">
      <alignment horizontal="left" vertical="center"/>
    </xf>
    <xf numFmtId="0" fontId="7" fillId="0" borderId="0" xfId="12" applyFill="1"/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1" fontId="13" fillId="8" borderId="3" xfId="0" applyNumberFormat="1" applyFont="1" applyFill="1" applyBorder="1" applyAlignment="1">
      <alignment horizontal="left" vertical="center"/>
    </xf>
    <xf numFmtId="1" fontId="10" fillId="8" borderId="3" xfId="0" applyNumberFormat="1" applyFont="1" applyFill="1" applyBorder="1" applyAlignment="1">
      <alignment horizontal="left" vertical="center"/>
    </xf>
  </cellXfs>
  <cellStyles count="13">
    <cellStyle name="Акцент1" xfId="1" builtinId="29" customBuiltin="1"/>
    <cellStyle name="Акцент2" xfId="2" builtinId="33" customBuiltin="1"/>
    <cellStyle name="Акцент3" xfId="3" builtinId="37" customBuiltin="1"/>
    <cellStyle name="Акцент4" xfId="4" builtinId="41" customBuiltin="1"/>
    <cellStyle name="Акцент5" xfId="5" builtinId="45" customBuiltin="1"/>
    <cellStyle name="Акцент6" xfId="6" builtinId="49" customBuiltin="1"/>
    <cellStyle name="Заголовок 1" xfId="7" builtinId="16" customBuiltin="1"/>
    <cellStyle name="Заголовок 2" xfId="8" builtinId="17" customBuiltin="1"/>
    <cellStyle name="Заголовок 3" xfId="9" builtinId="18" customBuiltin="1"/>
    <cellStyle name="Заголовок 4" xfId="10" builtinId="19" customBuiltin="1"/>
    <cellStyle name="Обычный" xfId="0" builtinId="0"/>
    <cellStyle name="Обычный 6" xfId="12" xr:uid="{DAAD6731-A1BF-489A-859B-17944932908D}"/>
    <cellStyle name="Процентный" xfId="11" builtinId="5"/>
  </cellStyles>
  <dxfs count="16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6</xdr:row>
          <xdr:rowOff>180975</xdr:rowOff>
        </xdr:from>
        <xdr:to>
          <xdr:col>11</xdr:col>
          <xdr:colOff>590550</xdr:colOff>
          <xdr:row>10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EBB088C-26D6-4AA7-BAA7-89CF02CA8359}" autoFormatId="16" applyNumberFormats="0" applyBorderFormats="0" applyFontFormats="0" applyPatternFormats="0" applyAlignmentFormats="0" applyWidthHeightFormats="0">
  <queryTableRefresh nextId="23">
    <queryTableFields count="2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E91E0A-4092-401A-9E75-7F914DA833F6}" name="Рулевые_системы" displayName="Рулевые_системы" ref="A1:V102" tableType="queryTable" totalsRowShown="0" headerRowCellStyle="Обычный 6" dataCellStyle="Обычный 6">
  <autoFilter ref="A1:V102" xr:uid="{88E91E0A-4092-401A-9E75-7F914DA833F6}"/>
  <tableColumns count="22">
    <tableColumn id="1" xr3:uid="{34445FAB-CC19-4B0E-8EFF-325F30537404}" uniqueName="1" name="Column1" queryTableFieldId="1" dataCellStyle="Обычный 6"/>
    <tableColumn id="2" xr3:uid="{F3476963-2A2B-4B7D-9F2E-656BB4F46BD7}" uniqueName="2" name="Column2" queryTableFieldId="2" dataCellStyle="Обычный 6"/>
    <tableColumn id="3" xr3:uid="{1A3EC0E4-ED1F-4225-AE25-B122FD53B50D}" uniqueName="3" name="Column3" queryTableFieldId="3" dataCellStyle="Обычный 6"/>
    <tableColumn id="4" xr3:uid="{ED1EAAD0-BFA2-4629-BB76-AB6A9579733B}" uniqueName="4" name="Column4" queryTableFieldId="4" dataCellStyle="Обычный 6"/>
    <tableColumn id="5" xr3:uid="{7F5A5EC7-C9F0-4F70-806F-6DFE29F0C716}" uniqueName="5" name="Column5" queryTableFieldId="5" dataCellStyle="Обычный 6"/>
    <tableColumn id="6" xr3:uid="{37EB04C4-9600-47BC-B1B3-0B3F5D4B3E76}" uniqueName="6" name="Column6" queryTableFieldId="6" dataCellStyle="Обычный 6"/>
    <tableColumn id="7" xr3:uid="{1F9EC505-34A7-477E-9802-FB90150F3DE8}" uniqueName="7" name="Column7" queryTableFieldId="7" dataCellStyle="Обычный 6"/>
    <tableColumn id="8" xr3:uid="{558A08F0-9143-49DB-BE99-8749B0B92267}" uniqueName="8" name="Column8" queryTableFieldId="8" dataCellStyle="Обычный 6"/>
    <tableColumn id="9" xr3:uid="{FA5B9DA5-0311-4EEF-A9C9-706491C8C3CF}" uniqueName="9" name="Column9" queryTableFieldId="9" dataCellStyle="Обычный 6"/>
    <tableColumn id="10" xr3:uid="{58F17E09-95AB-45E0-AF36-1CAFC0A55D6C}" uniqueName="10" name="Column10" queryTableFieldId="10" dataCellStyle="Обычный 6"/>
    <tableColumn id="11" xr3:uid="{322E9DFA-7446-48E4-B91F-B6A02F1E246E}" uniqueName="11" name="Column11" queryTableFieldId="11" dataCellStyle="Обычный 6"/>
    <tableColumn id="12" xr3:uid="{DE6A5CE4-9E45-4F3B-9058-77D5F08CCD6D}" uniqueName="12" name="Column12" queryTableFieldId="12" dataCellStyle="Обычный 6"/>
    <tableColumn id="13" xr3:uid="{963B9B69-EFEA-48F8-B5CF-9EA439C65B6E}" uniqueName="13" name="Column13" queryTableFieldId="13" dataCellStyle="Обычный 6"/>
    <tableColumn id="14" xr3:uid="{CED01469-DCAF-45A3-956B-ABE706360077}" uniqueName="14" name="Column14" queryTableFieldId="14" dataCellStyle="Обычный 6"/>
    <tableColumn id="15" xr3:uid="{63165E2D-53FC-4477-B3D0-767BF546790A}" uniqueName="15" name="Column15" queryTableFieldId="15" dataCellStyle="Обычный 6"/>
    <tableColumn id="16" xr3:uid="{0D90C8DB-F8D2-4D63-AACE-6658B3D3EFE9}" uniqueName="16" name="Column16" queryTableFieldId="16" dataCellStyle="Обычный 6"/>
    <tableColumn id="17" xr3:uid="{91B4FB4B-FB91-46E0-8C59-854B805EB52D}" uniqueName="17" name="Column17" queryTableFieldId="17" dataCellStyle="Обычный 6"/>
    <tableColumn id="18" xr3:uid="{6CFC7B09-FFD2-4DF4-8BCA-413A21849816}" uniqueName="18" name="Column18" queryTableFieldId="18" dataCellStyle="Обычный 6"/>
    <tableColumn id="19" xr3:uid="{763FE837-643B-416C-B1DD-62C92E013005}" uniqueName="19" name="Column19" queryTableFieldId="19" dataCellStyle="Обычный 6"/>
    <tableColumn id="20" xr3:uid="{2387ADB7-B397-431C-92B5-3D065D31773E}" uniqueName="20" name="Column20" queryTableFieldId="20" dataCellStyle="Обычный 6"/>
    <tableColumn id="21" xr3:uid="{33E7523A-EABE-49AB-9693-715C0C8EC022}" uniqueName="21" name="Column21" queryTableFieldId="21" dataCellStyle="Обычный 6"/>
    <tableColumn id="22" xr3:uid="{92A9BE10-2FCC-436C-913B-1F5C2571CB3E}" uniqueName="22" name="Column22" queryTableFieldId="22" dataCellStyle="Обычный 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14F5-A8BF-49DD-8C7D-B89E033D4112}">
  <sheetPr codeName="Лист2"/>
  <dimension ref="A1:AJ23"/>
  <sheetViews>
    <sheetView tabSelected="1" topLeftCell="C1" workbookViewId="0">
      <pane ySplit="2" topLeftCell="A3" activePane="bottomLeft" state="frozen"/>
      <selection pane="bottomLeft" activeCell="AI7" sqref="AI7"/>
    </sheetView>
  </sheetViews>
  <sheetFormatPr defaultRowHeight="15" x14ac:dyDescent="0.25"/>
  <cols>
    <col min="1" max="2" width="7" style="27" bestFit="1" customWidth="1"/>
    <col min="3" max="3" width="36.42578125" style="28" bestFit="1" customWidth="1"/>
    <col min="4" max="4" width="2" style="27" bestFit="1" customWidth="1"/>
    <col min="5" max="5" width="4.85546875" style="27" bestFit="1" customWidth="1"/>
    <col min="6" max="6" width="27.28515625" style="27" bestFit="1" customWidth="1"/>
    <col min="7" max="7" width="10.85546875" style="27" bestFit="1" customWidth="1"/>
    <col min="8" max="8" width="9" style="27" bestFit="1" customWidth="1"/>
    <col min="9" max="9" width="6" style="25" bestFit="1" customWidth="1"/>
    <col min="10" max="10" width="5.5703125" style="27" bestFit="1" customWidth="1"/>
    <col min="11" max="12" width="6" style="25" bestFit="1" customWidth="1"/>
    <col min="13" max="14" width="6" style="27" bestFit="1" customWidth="1"/>
    <col min="15" max="15" width="2" style="27" bestFit="1" customWidth="1"/>
    <col min="16" max="16" width="5.7109375" style="27" bestFit="1" customWidth="1"/>
    <col min="17" max="17" width="6" style="27" bestFit="1" customWidth="1"/>
    <col min="18" max="18" width="7.28515625" style="27" bestFit="1" customWidth="1"/>
    <col min="19" max="20" width="6.140625" style="27" bestFit="1" customWidth="1"/>
    <col min="21" max="21" width="5.85546875" style="27" bestFit="1" customWidth="1"/>
    <col min="22" max="22" width="8.5703125" style="25" bestFit="1" customWidth="1"/>
    <col min="23" max="23" width="2" style="27" bestFit="1" customWidth="1"/>
    <col min="24" max="24" width="7" style="27" bestFit="1" customWidth="1"/>
    <col min="25" max="26" width="5.85546875" style="27" bestFit="1" customWidth="1"/>
    <col min="27" max="27" width="8" style="25" bestFit="1" customWidth="1"/>
    <col min="28" max="28" width="5" style="27" customWidth="1"/>
    <col min="29" max="29" width="4.7109375" style="27" bestFit="1" customWidth="1"/>
    <col min="30" max="31" width="9.140625" style="27"/>
    <col min="32" max="32" width="8" style="25" bestFit="1" customWidth="1"/>
    <col min="33" max="33" width="5" style="27" customWidth="1"/>
    <col min="34" max="34" width="4.7109375" style="27" bestFit="1" customWidth="1"/>
    <col min="35" max="16384" width="9.140625" style="27"/>
  </cols>
  <sheetData>
    <row r="1" spans="1:36" x14ac:dyDescent="0.25">
      <c r="A1" s="28"/>
      <c r="B1" s="28">
        <v>2</v>
      </c>
      <c r="C1" s="28">
        <v>3</v>
      </c>
      <c r="D1" s="27">
        <v>4</v>
      </c>
      <c r="E1" s="27">
        <v>14</v>
      </c>
      <c r="F1" s="27">
        <v>5</v>
      </c>
      <c r="H1" s="29">
        <f>COUNT(Кат!$Y:$Y,Торг!$Z:$Z)/COUNT(Кат!$A:$A,Торг!$B:$B)</f>
        <v>0.8</v>
      </c>
      <c r="M1" s="27">
        <v>8</v>
      </c>
      <c r="N1" s="27">
        <v>9</v>
      </c>
      <c r="O1" s="25"/>
      <c r="P1" s="25"/>
      <c r="Q1" s="42">
        <v>0.2</v>
      </c>
      <c r="R1" s="30" t="str">
        <f>_xlfn.CONCAT(ROUND(MIN(R3:R24)*100,0),"-",ROUND(MAX(R3:R24)*100,0),"%")</f>
        <v>20-36%</v>
      </c>
      <c r="S1" s="30" t="str">
        <f>_xlfn.CONCAT(ROUND(SUBTOTAL(5,S3:S24)*100,0)," - ",ROUND(SUBTOTAL(4,S3:S24)*100,0),"%")</f>
        <v>-21 - 14%</v>
      </c>
      <c r="T1" s="30" t="str">
        <f>_xlfn.CONCAT(ROUND(SUBTOTAL(5,T3:T24)*100,0)," - ",ROUND(SUBTOTAL(4,T3:T24)*100,0),"%")</f>
        <v>-1 - 58%</v>
      </c>
      <c r="U1" s="31"/>
      <c r="V1" s="25">
        <v>8</v>
      </c>
      <c r="X1" s="40">
        <f>AB1</f>
        <v>0</v>
      </c>
      <c r="AA1" s="25">
        <v>9</v>
      </c>
      <c r="AC1" s="45">
        <f>AL1</f>
        <v>0</v>
      </c>
      <c r="AF1" s="25">
        <v>10</v>
      </c>
      <c r="AH1" s="46">
        <f>AV1</f>
        <v>0</v>
      </c>
    </row>
    <row r="2" spans="1:36" x14ac:dyDescent="0.25">
      <c r="A2" s="5" t="s">
        <v>5</v>
      </c>
      <c r="B2" s="6" t="s">
        <v>12</v>
      </c>
      <c r="C2" s="6" t="s">
        <v>6</v>
      </c>
      <c r="D2" s="6"/>
      <c r="E2" s="6"/>
      <c r="F2" s="6" t="s">
        <v>14</v>
      </c>
      <c r="G2" s="5" t="s">
        <v>7</v>
      </c>
      <c r="H2" s="5"/>
      <c r="I2" s="12" t="s">
        <v>47</v>
      </c>
      <c r="J2" s="5"/>
      <c r="K2" s="15"/>
      <c r="L2" s="12" t="s">
        <v>25</v>
      </c>
      <c r="M2" s="6"/>
      <c r="N2" s="6"/>
      <c r="O2" s="13"/>
      <c r="P2" s="13"/>
      <c r="Q2" s="7">
        <v>0</v>
      </c>
      <c r="R2" s="32" t="s">
        <v>1</v>
      </c>
      <c r="S2" s="32" t="s">
        <v>2</v>
      </c>
      <c r="T2" s="32" t="s">
        <v>3</v>
      </c>
      <c r="U2" s="33" t="s">
        <v>4</v>
      </c>
      <c r="V2" s="56" t="s">
        <v>49</v>
      </c>
      <c r="W2" s="3"/>
      <c r="X2" s="3" t="s">
        <v>50</v>
      </c>
      <c r="Y2" s="33" t="s">
        <v>4</v>
      </c>
      <c r="Z2" s="33" t="s">
        <v>4</v>
      </c>
      <c r="AA2" s="56" t="s">
        <v>49</v>
      </c>
      <c r="AB2" s="3"/>
      <c r="AC2" s="3" t="s">
        <v>50</v>
      </c>
      <c r="AD2" s="33"/>
      <c r="AE2" s="33"/>
      <c r="AF2" s="56" t="s">
        <v>49</v>
      </c>
      <c r="AG2" s="3"/>
      <c r="AH2" s="3" t="s">
        <v>50</v>
      </c>
      <c r="AI2" s="33" t="s">
        <v>92</v>
      </c>
      <c r="AJ2" s="33" t="s">
        <v>92</v>
      </c>
    </row>
    <row r="3" spans="1:36" ht="30" x14ac:dyDescent="0.25">
      <c r="A3" s="35">
        <v>265421</v>
      </c>
      <c r="B3" s="35">
        <f>VLOOKUP($A3,'Выгр Кат'!$A:$R,B$1,0)</f>
        <v>215300</v>
      </c>
      <c r="C3" s="34" t="str">
        <f>VLOOKUP($A3,'Выгр Кат'!$A:$R,C$1,0)</f>
        <v>Насос гидроусилителя (ГУР) для Лада Приора 2</v>
      </c>
      <c r="D3" s="35" t="str">
        <f>VLOOKUP($A3,'Выгр Кат'!$A:$R,D$1,0)</f>
        <v>Y</v>
      </c>
      <c r="E3" s="35" t="str">
        <f>VLOOKUP($A3,'Выгр Кат'!$A:$R,E$1,0)</f>
        <v>0</v>
      </c>
      <c r="F3" s="35" t="str">
        <f>VLOOKUP($A3,'Выгр Кат'!$A:$R,F$1,0)</f>
        <v>2170-3407012</v>
      </c>
      <c r="G3" s="35"/>
      <c r="H3" s="43" t="s">
        <v>53</v>
      </c>
      <c r="I3" s="44">
        <v>0</v>
      </c>
      <c r="J3" s="36" t="e">
        <f>VLOOKUP(I3,Наценка!$A$1:$B$8,2,1)</f>
        <v>#N/A</v>
      </c>
      <c r="K3" s="37" t="e">
        <f>I3*J3</f>
        <v>#N/A</v>
      </c>
      <c r="L3" s="16" t="e">
        <f t="shared" ref="L3:L10" si="0">IF(K3&lt;=1000,(ROUNDUP(K3,-1)-1),(ROUNDUP(K3,-2)-10))</f>
        <v>#N/A</v>
      </c>
      <c r="M3" s="35">
        <f>VLOOKUP($A3,'Выгр Кат'!$A:$R,M$1,0)</f>
        <v>0</v>
      </c>
      <c r="N3" s="35">
        <f>VLOOKUP($A3,'Выгр Кат'!$A:$R,N$1,0)</f>
        <v>0</v>
      </c>
      <c r="O3" s="13">
        <f t="shared" ref="O3:O10" si="1">M3-I3</f>
        <v>0</v>
      </c>
      <c r="P3" s="13" t="e">
        <f t="shared" ref="P3:P10" si="2">N3-L3</f>
        <v>#N/A</v>
      </c>
      <c r="Q3" s="14" t="str">
        <f t="shared" ref="Q3:Q10" si="3">IFERROR(ROUND(L3*(1-$Q$2),),"")</f>
        <v/>
      </c>
      <c r="R3" s="38" t="str">
        <f t="shared" ref="R3:R10" si="4">IFERROR(Q3/I3-1,"")</f>
        <v/>
      </c>
      <c r="S3" s="38" t="str">
        <f t="shared" ref="S3:S10" si="5">IFERROR((U3-Q3)/U3,"")</f>
        <v/>
      </c>
      <c r="T3" s="38" t="str">
        <f t="shared" ref="T3:T10" si="6">IFERROR(IF(U3="","",U3/I3-1),"")</f>
        <v/>
      </c>
      <c r="U3" s="41"/>
      <c r="V3" s="57" t="str">
        <f>IFERROR((VLOOKUP($A3,'Из ГУГЛа'!$B:$Z,V$1,0)+X3)*W3,VLOOKUP($A3,'Из ГУГЛа'!$B:$Z,V$1,0))</f>
        <v/>
      </c>
      <c r="W3" s="4">
        <v>1</v>
      </c>
      <c r="X3" s="4">
        <v>0</v>
      </c>
      <c r="Y3" s="39"/>
      <c r="Z3" s="39"/>
      <c r="AA3" s="57" t="str">
        <f>IFERROR((VLOOKUP($A3,'Из ГУГЛа'!$B:$Z,AA$1,0)+AC3)*AB3,VLOOKUP($A3,'Из ГУГЛа'!$B:$Z,AA$1,0))</f>
        <v/>
      </c>
      <c r="AB3" s="4">
        <v>1</v>
      </c>
      <c r="AC3" s="4">
        <v>0</v>
      </c>
      <c r="AD3" s="39"/>
      <c r="AE3" s="39"/>
      <c r="AF3" s="57" t="str">
        <f>IFERROR((VLOOKUP($A3,'Из ГУГЛа'!$B:$Z,AF$1,0)+AH3)*AG3,VLOOKUP($A3,'Из ГУГЛа'!$B:$Z,AF$1,0))</f>
        <v/>
      </c>
      <c r="AG3" s="4">
        <v>1</v>
      </c>
      <c r="AH3" s="4">
        <v>0</v>
      </c>
      <c r="AI3" s="39"/>
      <c r="AJ3" s="39"/>
    </row>
    <row r="4" spans="1:36" ht="30" x14ac:dyDescent="0.25">
      <c r="A4" s="35">
        <v>171716</v>
      </c>
      <c r="B4" s="35">
        <f>VLOOKUP($A4,'Выгр Кат'!$A:$R,B$1,0)</f>
        <v>19059</v>
      </c>
      <c r="C4" s="34" t="str">
        <f>VLOOKUP($A4,'Выгр Кат'!$A:$R,C$1,0)</f>
        <v>Насос гидроусилителя руля (ГУР) ВАЗ 21213</v>
      </c>
      <c r="D4" s="35" t="str">
        <f>VLOOKUP($A4,'Выгр Кат'!$A:$R,D$1,0)</f>
        <v>Y</v>
      </c>
      <c r="E4" s="35" t="str">
        <f>VLOOKUP($A4,'Выгр Кат'!$A:$R,E$1,0)</f>
        <v>1</v>
      </c>
      <c r="F4" s="35" t="str">
        <f>VLOOKUP($A4,'Выгр Кат'!$A:$R,F$1,0)</f>
        <v>21213340700900</v>
      </c>
      <c r="G4" s="35"/>
      <c r="H4" s="43" t="s">
        <v>53</v>
      </c>
      <c r="I4" s="44">
        <v>6408</v>
      </c>
      <c r="J4" s="36">
        <f>VLOOKUP(I4,Наценка!$A$1:$B$8,2,1)</f>
        <v>1.35</v>
      </c>
      <c r="K4" s="23">
        <f>I4*1.2</f>
        <v>7689.5999999999995</v>
      </c>
      <c r="L4" s="16">
        <f t="shared" si="0"/>
        <v>7690</v>
      </c>
      <c r="M4" s="35">
        <f>VLOOKUP($A4,'Выгр Кат'!$A:$R,M$1,0)</f>
        <v>6408</v>
      </c>
      <c r="N4" s="35">
        <f>VLOOKUP($A4,'Выгр Кат'!$A:$R,N$1,0)</f>
        <v>7690</v>
      </c>
      <c r="O4" s="13">
        <f t="shared" si="1"/>
        <v>0</v>
      </c>
      <c r="P4" s="13">
        <f t="shared" si="2"/>
        <v>0</v>
      </c>
      <c r="Q4" s="14">
        <f t="shared" si="3"/>
        <v>7690</v>
      </c>
      <c r="R4" s="38">
        <f t="shared" si="4"/>
        <v>0.20006242197253443</v>
      </c>
      <c r="S4" s="38">
        <f t="shared" si="5"/>
        <v>-0.10631563803769242</v>
      </c>
      <c r="T4" s="38">
        <f t="shared" si="6"/>
        <v>8.4737827715355873E-2</v>
      </c>
      <c r="U4" s="46">
        <f>AI4</f>
        <v>6951</v>
      </c>
      <c r="V4" s="57">
        <f>IFERROR((VLOOKUP($A4,'Из ГУГЛа'!$B:$Z,V$1,0)+X4)*W4,VLOOKUP($A4,'Из ГУГЛа'!$B:$Z,V$1,0))</f>
        <v>9990</v>
      </c>
      <c r="W4" s="4">
        <v>1</v>
      </c>
      <c r="X4" s="4">
        <v>0</v>
      </c>
      <c r="Y4" s="39">
        <v>9990</v>
      </c>
      <c r="Z4" s="39" t="s">
        <v>73</v>
      </c>
      <c r="AA4" s="57" t="str">
        <f>IFERROR((VLOOKUP($A4,'Из ГУГЛа'!$B:$Z,AA$1,0)+AC4)*AB4,VLOOKUP($A4,'Из ГУГЛа'!$B:$Z,AA$1,0))</f>
        <v/>
      </c>
      <c r="AB4" s="4">
        <v>1</v>
      </c>
      <c r="AC4" s="4">
        <v>0</v>
      </c>
      <c r="AD4" s="39"/>
      <c r="AE4" s="39"/>
      <c r="AF4" s="57" t="str">
        <f>IFERROR((VLOOKUP($A4,'Из ГУГЛа'!$B:$Z,AF$1,0)+AH4)*AG4,VLOOKUP($A4,'Из ГУГЛа'!$B:$Z,AF$1,0))</f>
        <v/>
      </c>
      <c r="AG4" s="4">
        <v>1</v>
      </c>
      <c r="AH4" s="4">
        <v>0</v>
      </c>
      <c r="AI4" s="39">
        <v>6951</v>
      </c>
      <c r="AJ4" s="39" t="s">
        <v>80</v>
      </c>
    </row>
    <row r="5" spans="1:36" ht="30" x14ac:dyDescent="0.25">
      <c r="A5" s="35">
        <v>171715</v>
      </c>
      <c r="B5" s="35">
        <f>VLOOKUP($A5,'Выгр Кат'!$A:$R,B$1,0)</f>
        <v>19056</v>
      </c>
      <c r="C5" s="34" t="str">
        <f>VLOOKUP($A5,'Выгр Кат'!$A:$R,C$1,0)</f>
        <v>Насос гидроусилителя руля (ГУР) с кронштейном ВАЗ 21214</v>
      </c>
      <c r="D5" s="35" t="str">
        <f>VLOOKUP($A5,'Выгр Кат'!$A:$R,D$1,0)</f>
        <v>Y</v>
      </c>
      <c r="E5" s="35" t="str">
        <f>VLOOKUP($A5,'Выгр Кат'!$A:$R,E$1,0)</f>
        <v>1</v>
      </c>
      <c r="F5" s="35" t="str">
        <f>VLOOKUP($A5,'Выгр Кат'!$A:$R,F$1,0)</f>
        <v>21214340700910</v>
      </c>
      <c r="G5" s="35"/>
      <c r="H5" s="43" t="s">
        <v>53</v>
      </c>
      <c r="I5" s="44">
        <v>7081</v>
      </c>
      <c r="J5" s="36">
        <f>VLOOKUP(I5,Наценка!$A$1:$B$8,2,1)</f>
        <v>1.35</v>
      </c>
      <c r="K5" s="37">
        <f t="shared" ref="K5:K6" si="7">I5*J5</f>
        <v>9559.35</v>
      </c>
      <c r="L5" s="16">
        <f t="shared" si="0"/>
        <v>9590</v>
      </c>
      <c r="M5" s="35">
        <f>VLOOKUP($A5,'Выгр Кат'!$A:$R,M$1,0)</f>
        <v>7081</v>
      </c>
      <c r="N5" s="35">
        <f>VLOOKUP($A5,'Выгр Кат'!$A:$R,N$1,0)</f>
        <v>9590</v>
      </c>
      <c r="O5" s="13">
        <f t="shared" si="1"/>
        <v>0</v>
      </c>
      <c r="P5" s="13">
        <f t="shared" si="2"/>
        <v>0</v>
      </c>
      <c r="Q5" s="14">
        <f t="shared" si="3"/>
        <v>9590</v>
      </c>
      <c r="R5" s="38">
        <f t="shared" si="4"/>
        <v>0.35432848467730538</v>
      </c>
      <c r="S5" s="38">
        <f t="shared" si="5"/>
        <v>1.0319917440660475E-2</v>
      </c>
      <c r="T5" s="38">
        <f t="shared" si="6"/>
        <v>0.36845078378760054</v>
      </c>
      <c r="U5" s="40">
        <f>Y5</f>
        <v>9690</v>
      </c>
      <c r="V5" s="57">
        <f>IFERROR((VLOOKUP($A5,'Из ГУГЛа'!$B:$Z,V$1,0)+X5)*W5,VLOOKUP($A5,'Из ГУГЛа'!$B:$Z,V$1,0))</f>
        <v>9690</v>
      </c>
      <c r="W5" s="4">
        <v>1</v>
      </c>
      <c r="X5" s="4">
        <v>0</v>
      </c>
      <c r="Y5" s="39">
        <v>9690</v>
      </c>
      <c r="Z5" s="39" t="s">
        <v>91</v>
      </c>
      <c r="AA5" s="57">
        <f>IFERROR((VLOOKUP($A5,'Из ГУГЛа'!$B:$Z,AA$1,0)+AC5)*AB5,VLOOKUP($A5,'Из ГУГЛа'!$B:$Z,AA$1,0))</f>
        <v>12705</v>
      </c>
      <c r="AB5" s="4">
        <v>1</v>
      </c>
      <c r="AC5" s="4">
        <v>0</v>
      </c>
      <c r="AD5" s="39">
        <v>12705</v>
      </c>
      <c r="AE5" s="39" t="s">
        <v>90</v>
      </c>
      <c r="AF5" s="57" t="str">
        <f>IFERROR((VLOOKUP($A5,'Из ГУГЛа'!$B:$Z,AF$1,0)+AH5)*AG5,VLOOKUP($A5,'Из ГУГЛа'!$B:$Z,AF$1,0))</f>
        <v/>
      </c>
      <c r="AG5" s="4">
        <v>1</v>
      </c>
      <c r="AH5" s="4">
        <v>0</v>
      </c>
      <c r="AI5" s="39">
        <v>6743</v>
      </c>
      <c r="AJ5" s="39" t="s">
        <v>81</v>
      </c>
    </row>
    <row r="6" spans="1:36" ht="45" x14ac:dyDescent="0.25">
      <c r="A6" s="35">
        <v>171713</v>
      </c>
      <c r="B6" s="35">
        <f>VLOOKUP($A6,'Выгр Кат'!$A:$R,B$1,0)</f>
        <v>41823</v>
      </c>
      <c r="C6" s="34" t="str">
        <f>VLOOKUP($A6,'Выгр Кат'!$A:$R,C$1,0)</f>
        <v>Насос гидроусилителя "АвтоВАЗ" для ВАЗ 2110-2112, Лада (Калина, Приора, Нива 4х4), Шевроле Нива</v>
      </c>
      <c r="D6" s="35" t="str">
        <f>VLOOKUP($A6,'Выгр Кат'!$A:$R,D$1,0)</f>
        <v>Y</v>
      </c>
      <c r="E6" s="35" t="str">
        <f>VLOOKUP($A6,'Выгр Кат'!$A:$R,E$1,0)</f>
        <v>1</v>
      </c>
      <c r="F6" s="35" t="str">
        <f>VLOOKUP($A6,'Выгр Кат'!$A:$R,F$1,0)</f>
        <v>21230340701201 / 8450036631</v>
      </c>
      <c r="G6" s="35"/>
      <c r="H6" s="43" t="s">
        <v>53</v>
      </c>
      <c r="I6" s="44">
        <v>7725</v>
      </c>
      <c r="J6" s="36">
        <f>VLOOKUP(I6,Наценка!$A$1:$B$8,2,1)</f>
        <v>1.35</v>
      </c>
      <c r="K6" s="37">
        <f t="shared" si="7"/>
        <v>10428.75</v>
      </c>
      <c r="L6" s="16">
        <f t="shared" si="0"/>
        <v>10490</v>
      </c>
      <c r="M6" s="35">
        <f>VLOOKUP($A6,'Выгр Кат'!$A:$R,M$1,0)</f>
        <v>7725</v>
      </c>
      <c r="N6" s="35">
        <f>VLOOKUP($A6,'Выгр Кат'!$A:$R,N$1,0)</f>
        <v>10490</v>
      </c>
      <c r="O6" s="13">
        <f t="shared" si="1"/>
        <v>0</v>
      </c>
      <c r="P6" s="13">
        <f t="shared" si="2"/>
        <v>0</v>
      </c>
      <c r="Q6" s="14">
        <f t="shared" si="3"/>
        <v>10490</v>
      </c>
      <c r="R6" s="38">
        <f t="shared" si="4"/>
        <v>0.35792880258899684</v>
      </c>
      <c r="S6" s="38">
        <f t="shared" si="5"/>
        <v>0.1391054575297497</v>
      </c>
      <c r="T6" s="38">
        <f t="shared" si="6"/>
        <v>0.57734627831715213</v>
      </c>
      <c r="U6" s="45">
        <f>AD6</f>
        <v>12185</v>
      </c>
      <c r="V6" s="57">
        <f>IFERROR((VLOOKUP($A6,'Из ГУГЛа'!$B:$Z,V$1,0)+X6)*W6,VLOOKUP($A6,'Из ГУГЛа'!$B:$Z,V$1,0))</f>
        <v>13790</v>
      </c>
      <c r="W6" s="4">
        <v>1</v>
      </c>
      <c r="X6" s="4">
        <v>0</v>
      </c>
      <c r="Y6" s="39">
        <v>13790</v>
      </c>
      <c r="Z6" s="39" t="s">
        <v>74</v>
      </c>
      <c r="AA6" s="57">
        <f>IFERROR((VLOOKUP($A6,'Из ГУГЛа'!$B:$Z,AA$1,0)+AC6)*AB6,VLOOKUP($A6,'Из ГУГЛа'!$B:$Z,AA$1,0))</f>
        <v>12185</v>
      </c>
      <c r="AB6" s="4">
        <v>1</v>
      </c>
      <c r="AC6" s="4">
        <v>0</v>
      </c>
      <c r="AD6" s="39">
        <v>12185</v>
      </c>
      <c r="AE6" s="39" t="s">
        <v>88</v>
      </c>
      <c r="AF6" s="57" t="str">
        <f>IFERROR((VLOOKUP($A6,'Из ГУГЛа'!$B:$Z,AF$1,0)+AH6)*AG6,VLOOKUP($A6,'Из ГУГЛа'!$B:$Z,AF$1,0))</f>
        <v/>
      </c>
      <c r="AG6" s="4">
        <v>1</v>
      </c>
      <c r="AH6" s="4">
        <v>0</v>
      </c>
      <c r="AI6" s="39">
        <v>8023</v>
      </c>
      <c r="AJ6" s="39" t="s">
        <v>122</v>
      </c>
    </row>
    <row r="7" spans="1:36" ht="45" x14ac:dyDescent="0.25">
      <c r="A7" s="35">
        <v>267632</v>
      </c>
      <c r="B7" s="35">
        <f>VLOOKUP($A7,'Выгр Кат'!$A:$R,B$1,0)</f>
        <v>216665</v>
      </c>
      <c r="C7" s="34" t="str">
        <f>VLOOKUP($A7,'Выгр Кат'!$A:$R,C$1,0)</f>
        <v>Механизм рулевой (рейка) "Рулевые системы" в сборе с тягами для Лада Веста</v>
      </c>
      <c r="D7" s="35" t="str">
        <f>VLOOKUP($A7,'Выгр Кат'!$A:$R,D$1,0)</f>
        <v>Y</v>
      </c>
      <c r="E7" s="35" t="str">
        <f>VLOOKUP($A7,'Выгр Кат'!$A:$R,E$1,0)</f>
        <v>1ск4</v>
      </c>
      <c r="F7" s="35" t="str">
        <f>VLOOKUP($A7,'Выгр Кат'!$A:$R,F$1,0)</f>
        <v>8450040235</v>
      </c>
      <c r="G7" s="35" t="s">
        <v>86</v>
      </c>
      <c r="H7" s="43" t="s">
        <v>53</v>
      </c>
      <c r="I7" s="44">
        <v>18000</v>
      </c>
      <c r="J7" s="36">
        <f>VLOOKUP(I7,Наценка!$A$1:$B$8,2,1)</f>
        <v>1.3</v>
      </c>
      <c r="K7" s="23">
        <f>I7*1.2</f>
        <v>21600</v>
      </c>
      <c r="L7" s="16">
        <f t="shared" si="0"/>
        <v>21590</v>
      </c>
      <c r="M7" s="35">
        <f>VLOOKUP($A7,'Выгр Кат'!$A:$R,M$1,0)</f>
        <v>18000</v>
      </c>
      <c r="N7" s="35">
        <f>VLOOKUP($A7,'Выгр Кат'!$A:$R,N$1,0)</f>
        <v>21590</v>
      </c>
      <c r="O7" s="13">
        <f t="shared" si="1"/>
        <v>0</v>
      </c>
      <c r="P7" s="13">
        <f t="shared" si="2"/>
        <v>0</v>
      </c>
      <c r="Q7" s="14">
        <f t="shared" si="3"/>
        <v>21590</v>
      </c>
      <c r="R7" s="38">
        <f t="shared" si="4"/>
        <v>0.19944444444444454</v>
      </c>
      <c r="S7" s="38">
        <f t="shared" si="5"/>
        <v>-0.21421742309206457</v>
      </c>
      <c r="T7" s="38">
        <f t="shared" si="6"/>
        <v>-1.2166666666666659E-2</v>
      </c>
      <c r="U7" s="46">
        <f>AI7</f>
        <v>17781</v>
      </c>
      <c r="V7" s="57">
        <f>IFERROR((VLOOKUP($A7,'Из ГУГЛа'!$B:$Z,V$1,0)+X7)*W7,VLOOKUP($A7,'Из ГУГЛа'!$B:$Z,V$1,0))</f>
        <v>34990</v>
      </c>
      <c r="W7" s="4">
        <v>1</v>
      </c>
      <c r="X7" s="4">
        <v>0</v>
      </c>
      <c r="Y7" s="39">
        <v>34990</v>
      </c>
      <c r="Z7" s="39" t="s">
        <v>89</v>
      </c>
      <c r="AA7" s="57" t="str">
        <f>IFERROR((VLOOKUP($A7,'Из ГУГЛа'!$B:$Z,AA$1,0)+AC7)*AB7,VLOOKUP($A7,'Из ГУГЛа'!$B:$Z,AA$1,0))</f>
        <v/>
      </c>
      <c r="AB7" s="4">
        <v>1</v>
      </c>
      <c r="AC7" s="4">
        <v>0</v>
      </c>
      <c r="AD7" s="39"/>
      <c r="AE7" s="39"/>
      <c r="AF7" s="57" t="str">
        <f>IFERROR((VLOOKUP($A7,'Из ГУГЛа'!$B:$Z,AF$1,0)+AH7)*AG7,VLOOKUP($A7,'Из ГУГЛа'!$B:$Z,AF$1,0))</f>
        <v/>
      </c>
      <c r="AG7" s="4">
        <v>1</v>
      </c>
      <c r="AH7" s="4">
        <v>0</v>
      </c>
      <c r="AI7" s="39">
        <v>17781</v>
      </c>
      <c r="AJ7" s="39" t="s">
        <v>87</v>
      </c>
    </row>
    <row r="8" spans="1:36" ht="45" x14ac:dyDescent="0.25">
      <c r="A8" s="35">
        <v>158406</v>
      </c>
      <c r="B8" s="35">
        <f>VLOOKUP($A8,'Выгр Кат'!$A:$R,B$1,0)</f>
        <v>66110</v>
      </c>
      <c r="C8" s="34" t="str">
        <f>VLOOKUP($A8,'Выгр Кат'!$A:$R,C$1,0)</f>
        <v>Комплект гидроусилителя руля (с инжекторным двигателем) для ВАЗ 2101-2107</v>
      </c>
      <c r="D8" s="35" t="str">
        <f>VLOOKUP($A8,'Выгр Кат'!$A:$R,D$1,0)</f>
        <v>Y</v>
      </c>
      <c r="E8" s="35" t="str">
        <f>VLOOKUP($A8,'Выгр Кат'!$A:$R,E$1,0)</f>
        <v>1</v>
      </c>
      <c r="F8" s="35">
        <f>VLOOKUP($A8,'Выгр Кат'!$A:$R,F$1,0)</f>
        <v>0</v>
      </c>
      <c r="G8" s="35"/>
      <c r="H8" s="43" t="s">
        <v>53</v>
      </c>
      <c r="I8" s="44">
        <v>37500</v>
      </c>
      <c r="J8" s="36">
        <f>VLOOKUP(I8,Наценка!$A$1:$B$8,2,1)</f>
        <v>1.3</v>
      </c>
      <c r="K8" s="23">
        <f>I8*1.2</f>
        <v>45000</v>
      </c>
      <c r="L8" s="16">
        <f t="shared" si="0"/>
        <v>44990</v>
      </c>
      <c r="M8" s="35">
        <f>VLOOKUP($A8,'Выгр Кат'!$A:$R,M$1,0)</f>
        <v>37500</v>
      </c>
      <c r="N8" s="35">
        <f>VLOOKUP($A8,'Выгр Кат'!$A:$R,N$1,0)</f>
        <v>44990</v>
      </c>
      <c r="O8" s="13">
        <f t="shared" si="1"/>
        <v>0</v>
      </c>
      <c r="P8" s="13">
        <f t="shared" si="2"/>
        <v>0</v>
      </c>
      <c r="Q8" s="14">
        <f t="shared" si="3"/>
        <v>44990</v>
      </c>
      <c r="R8" s="38">
        <f t="shared" si="4"/>
        <v>0.19973333333333332</v>
      </c>
      <c r="S8" s="38">
        <f t="shared" si="5"/>
        <v>-8.608707348787159E-3</v>
      </c>
      <c r="T8" s="38">
        <f t="shared" si="6"/>
        <v>0.18949333333333329</v>
      </c>
      <c r="U8" s="46">
        <f>AI8</f>
        <v>44606</v>
      </c>
      <c r="V8" s="57">
        <f>IFERROR((VLOOKUP($A8,'Из ГУГЛа'!$B:$Z,V$1,0)+X8)*W8,VLOOKUP($A8,'Из ГУГЛа'!$B:$Z,V$1,0))</f>
        <v>50890</v>
      </c>
      <c r="W8" s="4">
        <v>1</v>
      </c>
      <c r="X8" s="4">
        <v>0</v>
      </c>
      <c r="Y8" s="39">
        <v>50890</v>
      </c>
      <c r="Z8" s="39" t="s">
        <v>82</v>
      </c>
      <c r="AA8" s="57" t="str">
        <f>IFERROR((VLOOKUP($A8,'Из ГУГЛа'!$B:$Z,AA$1,0)+AC8)*AB8,VLOOKUP($A8,'Из ГУГЛа'!$B:$Z,AA$1,0))</f>
        <v/>
      </c>
      <c r="AB8" s="4">
        <v>1</v>
      </c>
      <c r="AC8" s="4">
        <v>0</v>
      </c>
      <c r="AD8" s="39"/>
      <c r="AE8" s="39"/>
      <c r="AF8" s="57" t="str">
        <f>IFERROR((VLOOKUP($A8,'Из ГУГЛа'!$B:$Z,AF$1,0)+AH8)*AG8,VLOOKUP($A8,'Из ГУГЛа'!$B:$Z,AF$1,0))</f>
        <v/>
      </c>
      <c r="AG8" s="4">
        <v>1</v>
      </c>
      <c r="AH8" s="4">
        <v>0</v>
      </c>
      <c r="AI8" s="39">
        <v>44606</v>
      </c>
      <c r="AJ8" s="39" t="s">
        <v>83</v>
      </c>
    </row>
    <row r="9" spans="1:36" ht="45" x14ac:dyDescent="0.25">
      <c r="A9" s="35">
        <v>158407</v>
      </c>
      <c r="B9" s="35">
        <f>VLOOKUP($A9,'Выгр Кат'!$A:$R,B$1,0)</f>
        <v>19057</v>
      </c>
      <c r="C9" s="34" t="str">
        <f>VLOOKUP($A9,'Выгр Кат'!$A:$R,C$1,0)</f>
        <v>Комплект гидроусилителя руля (с карбюраторным двигателем) для ВАЗ 2101-2107</v>
      </c>
      <c r="D9" s="35" t="str">
        <f>VLOOKUP($A9,'Выгр Кат'!$A:$R,D$1,0)</f>
        <v>Y</v>
      </c>
      <c r="E9" s="35" t="str">
        <f>VLOOKUP($A9,'Выгр Кат'!$A:$R,E$1,0)</f>
        <v>1</v>
      </c>
      <c r="F9" s="35">
        <f>VLOOKUP($A9,'Выгр Кат'!$A:$R,F$1,0)</f>
        <v>0</v>
      </c>
      <c r="G9" s="35"/>
      <c r="H9" s="43" t="s">
        <v>53</v>
      </c>
      <c r="I9" s="44">
        <v>37500</v>
      </c>
      <c r="J9" s="36">
        <f>VLOOKUP(I9,Наценка!$A$1:$B$8,2,1)</f>
        <v>1.3</v>
      </c>
      <c r="K9" s="23">
        <f>I9*1.2</f>
        <v>45000</v>
      </c>
      <c r="L9" s="16">
        <f t="shared" si="0"/>
        <v>44990</v>
      </c>
      <c r="M9" s="35">
        <f>VLOOKUP($A9,'Выгр Кат'!$A:$R,M$1,0)</f>
        <v>37500</v>
      </c>
      <c r="N9" s="35">
        <f>VLOOKUP($A9,'Выгр Кат'!$A:$R,N$1,0)</f>
        <v>44990</v>
      </c>
      <c r="O9" s="13">
        <f t="shared" si="1"/>
        <v>0</v>
      </c>
      <c r="P9" s="13">
        <f t="shared" si="2"/>
        <v>0</v>
      </c>
      <c r="Q9" s="14">
        <f t="shared" si="3"/>
        <v>44990</v>
      </c>
      <c r="R9" s="38">
        <f t="shared" si="4"/>
        <v>0.19973333333333332</v>
      </c>
      <c r="S9" s="38">
        <f t="shared" si="5"/>
        <v>-8.608707348787159E-3</v>
      </c>
      <c r="T9" s="38">
        <f t="shared" si="6"/>
        <v>0.18949333333333329</v>
      </c>
      <c r="U9" s="46">
        <f>AI9</f>
        <v>44606</v>
      </c>
      <c r="V9" s="57">
        <f>IFERROR((VLOOKUP($A9,'Из ГУГЛа'!$B:$Z,V$1,0)+X9)*W9,VLOOKUP($A9,'Из ГУГЛа'!$B:$Z,V$1,0))</f>
        <v>50890</v>
      </c>
      <c r="W9" s="4">
        <v>1</v>
      </c>
      <c r="X9" s="4">
        <v>0</v>
      </c>
      <c r="Y9" s="39">
        <v>50890</v>
      </c>
      <c r="Z9" s="39" t="s">
        <v>82</v>
      </c>
      <c r="AA9" s="57" t="str">
        <f>IFERROR((VLOOKUP($A9,'Из ГУГЛа'!$B:$Z,AA$1,0)+AC9)*AB9,VLOOKUP($A9,'Из ГУГЛа'!$B:$Z,AA$1,0))</f>
        <v/>
      </c>
      <c r="AB9" s="4">
        <v>1</v>
      </c>
      <c r="AC9" s="4">
        <v>0</v>
      </c>
      <c r="AD9" s="39"/>
      <c r="AE9" s="39"/>
      <c r="AF9" s="57" t="str">
        <f>IFERROR((VLOOKUP($A9,'Из ГУГЛа'!$B:$Z,AF$1,0)+AH9)*AG9,VLOOKUP($A9,'Из ГУГЛа'!$B:$Z,AF$1,0))</f>
        <v/>
      </c>
      <c r="AG9" s="4">
        <v>1</v>
      </c>
      <c r="AH9" s="4">
        <v>0</v>
      </c>
      <c r="AI9" s="39">
        <v>44606</v>
      </c>
      <c r="AJ9" s="39" t="s">
        <v>84</v>
      </c>
    </row>
    <row r="10" spans="1:36" ht="30" x14ac:dyDescent="0.25">
      <c r="A10" s="35">
        <v>158408</v>
      </c>
      <c r="B10" s="35">
        <f>VLOOKUP($A10,'Выгр Кат'!$A:$R,B$1,0)</f>
        <v>19054</v>
      </c>
      <c r="C10" s="34" t="str">
        <f>VLOOKUP($A10,'Выгр Кат'!$A:$R,C$1,0)</f>
        <v>Комплект гидроусилителя руля для ВАЗ 2110-2112, Лада Приора</v>
      </c>
      <c r="D10" s="35" t="str">
        <f>VLOOKUP($A10,'Выгр Кат'!$A:$R,D$1,0)</f>
        <v>Y</v>
      </c>
      <c r="E10" s="35" t="str">
        <f>VLOOKUP($A10,'Выгр Кат'!$A:$R,E$1,0)</f>
        <v>1</v>
      </c>
      <c r="F10" s="35" t="str">
        <f>VLOOKUP($A10,'Выгр Кат'!$A:$R,F$1,0)</f>
        <v>2110034000103001</v>
      </c>
      <c r="G10" s="35"/>
      <c r="H10" s="43" t="s">
        <v>53</v>
      </c>
      <c r="I10" s="44">
        <v>40000</v>
      </c>
      <c r="J10" s="36">
        <f>VLOOKUP(I10,Наценка!$A$1:$B$8,2,1)</f>
        <v>1.3</v>
      </c>
      <c r="K10" s="23">
        <f>I10*1.2</f>
        <v>48000</v>
      </c>
      <c r="L10" s="16">
        <f t="shared" si="0"/>
        <v>47990</v>
      </c>
      <c r="M10" s="35">
        <f>VLOOKUP($A10,'Выгр Кат'!$A:$R,M$1,0)</f>
        <v>40000</v>
      </c>
      <c r="N10" s="35">
        <f>VLOOKUP($A10,'Выгр Кат'!$A:$R,N$1,0)</f>
        <v>47990</v>
      </c>
      <c r="O10" s="13">
        <f t="shared" si="1"/>
        <v>0</v>
      </c>
      <c r="P10" s="13">
        <f t="shared" si="2"/>
        <v>0</v>
      </c>
      <c r="Q10" s="14">
        <f t="shared" si="3"/>
        <v>47990</v>
      </c>
      <c r="R10" s="38">
        <f t="shared" si="4"/>
        <v>0.19975000000000009</v>
      </c>
      <c r="S10" s="38">
        <f t="shared" si="5"/>
        <v>-0.11604651162790698</v>
      </c>
      <c r="T10" s="38">
        <f t="shared" si="6"/>
        <v>7.4999999999999956E-2</v>
      </c>
      <c r="U10" s="45">
        <f>AD10</f>
        <v>43000</v>
      </c>
      <c r="V10" s="57" t="str">
        <f>IFERROR((VLOOKUP($A10,'Из ГУГЛа'!$B:$Z,V$1,0)+X10)*W10,VLOOKUP($A10,'Из ГУГЛа'!$B:$Z,V$1,0))</f>
        <v/>
      </c>
      <c r="W10" s="4">
        <v>1</v>
      </c>
      <c r="X10" s="4">
        <v>0</v>
      </c>
      <c r="Y10" s="39"/>
      <c r="Z10" s="39"/>
      <c r="AA10" s="57" t="str">
        <f>IFERROR((VLOOKUP($A10,'Из ГУГЛа'!$B:$Z,AA$1,0)+AC10)*AB10,VLOOKUP($A10,'Из ГУГЛа'!$B:$Z,AA$1,0))</f>
        <v/>
      </c>
      <c r="AB10" s="4">
        <v>1</v>
      </c>
      <c r="AC10" s="4">
        <v>0</v>
      </c>
      <c r="AD10" s="39">
        <v>43000</v>
      </c>
      <c r="AE10" s="39" t="s">
        <v>85</v>
      </c>
      <c r="AF10" s="57" t="str">
        <f>IFERROR((VLOOKUP($A10,'Из ГУГЛа'!$B:$Z,AF$1,0)+AH10)*AG10,VLOOKUP($A10,'Из ГУГЛа'!$B:$Z,AF$1,0))</f>
        <v/>
      </c>
      <c r="AG10" s="4">
        <v>1</v>
      </c>
      <c r="AH10" s="4">
        <v>0</v>
      </c>
      <c r="AI10" s="39"/>
      <c r="AJ10" s="39"/>
    </row>
    <row r="15" spans="1:36" x14ac:dyDescent="0.25">
      <c r="K15" s="37">
        <f>I15*J15</f>
        <v>0</v>
      </c>
    </row>
    <row r="16" spans="1:36" x14ac:dyDescent="0.25">
      <c r="K16" s="17">
        <f>U16-10</f>
        <v>-10</v>
      </c>
    </row>
    <row r="17" spans="11:11" x14ac:dyDescent="0.25">
      <c r="K17" s="18">
        <f>U17-30</f>
        <v>-30</v>
      </c>
    </row>
    <row r="18" spans="11:11" x14ac:dyDescent="0.25">
      <c r="K18" s="19">
        <f>U18-100</f>
        <v>-100</v>
      </c>
    </row>
    <row r="19" spans="11:11" x14ac:dyDescent="0.25">
      <c r="K19" s="20">
        <f>U19</f>
        <v>0</v>
      </c>
    </row>
    <row r="20" spans="11:11" x14ac:dyDescent="0.25">
      <c r="K20" s="20">
        <f>U20*1.02</f>
        <v>0</v>
      </c>
    </row>
    <row r="21" spans="11:11" x14ac:dyDescent="0.25">
      <c r="K21" s="21">
        <f>U21*1.05</f>
        <v>0</v>
      </c>
    </row>
    <row r="22" spans="11:11" x14ac:dyDescent="0.25">
      <c r="K22" s="22">
        <f>U22*1.08</f>
        <v>0</v>
      </c>
    </row>
    <row r="23" spans="11:11" x14ac:dyDescent="0.25">
      <c r="K23" s="23">
        <f>I23*1.2</f>
        <v>0</v>
      </c>
    </row>
  </sheetData>
  <autoFilter ref="A2:AJ10" xr:uid="{E48114F5-A8BF-49DD-8C7D-B89E033D4112}"/>
  <conditionalFormatting sqref="S3:S10">
    <cfRule type="cellIs" dxfId="15" priority="9" operator="lessThan">
      <formula>0%</formula>
    </cfRule>
  </conditionalFormatting>
  <conditionalFormatting sqref="T3:T10 R3:R10">
    <cfRule type="cellIs" dxfId="14" priority="8" operator="lessThan">
      <formula>$Q$1</formula>
    </cfRule>
  </conditionalFormatting>
  <conditionalFormatting sqref="C3:C10">
    <cfRule type="expression" dxfId="13" priority="5">
      <formula>OR(D3="N",E3="0")</formula>
    </cfRule>
  </conditionalFormatting>
  <conditionalFormatting sqref="A3:A10">
    <cfRule type="expression" dxfId="12" priority="3">
      <formula>AND(ROUNDDOWN($P3,0)=0,ROUNDDOWN($O3,0)=0)</formula>
    </cfRule>
  </conditionalFormatting>
  <conditionalFormatting sqref="V3:V10">
    <cfRule type="expression" dxfId="11" priority="12">
      <formula>VALUE(V3)&lt;&gt;Y3</formula>
    </cfRule>
  </conditionalFormatting>
  <conditionalFormatting sqref="AA3:AA10">
    <cfRule type="expression" dxfId="10" priority="2">
      <formula>VALUE(AA3)&lt;&gt;AD3</formula>
    </cfRule>
  </conditionalFormatting>
  <conditionalFormatting sqref="AF3:AF10">
    <cfRule type="expression" dxfId="9" priority="1">
      <formula>VALUE(AF3)&lt;&gt;AI3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5357-F945-4D5A-AAB6-C9530077673D}">
  <sheetPr codeName="Лист3"/>
  <dimension ref="A1:AK17"/>
  <sheetViews>
    <sheetView workbookViewId="0">
      <pane ySplit="2" topLeftCell="A3" activePane="bottomLeft" state="frozen"/>
      <selection activeCell="P2" sqref="P2"/>
      <selection pane="bottomLeft" activeCell="W8" sqref="W8"/>
    </sheetView>
  </sheetViews>
  <sheetFormatPr defaultRowHeight="15" outlineLevelCol="1" x14ac:dyDescent="0.25"/>
  <cols>
    <col min="1" max="1" width="39.5703125" style="27" hidden="1" customWidth="1" outlineLevel="1"/>
    <col min="2" max="2" width="7" style="27" bestFit="1" customWidth="1" collapsed="1"/>
    <col min="3" max="3" width="6.85546875" style="27" bestFit="1" customWidth="1"/>
    <col min="4" max="4" width="35.7109375" style="28" bestFit="1" customWidth="1"/>
    <col min="5" max="5" width="2" style="27" bestFit="1" customWidth="1"/>
    <col min="6" max="6" width="3" style="27" bestFit="1" customWidth="1"/>
    <col min="7" max="7" width="13.5703125" style="27" bestFit="1" customWidth="1"/>
    <col min="8" max="8" width="10.85546875" style="27" bestFit="1" customWidth="1"/>
    <col min="9" max="9" width="9.5703125" style="27" customWidth="1"/>
    <col min="10" max="10" width="6" style="27" bestFit="1" customWidth="1"/>
    <col min="11" max="11" width="5.5703125" style="27" bestFit="1" customWidth="1"/>
    <col min="12" max="12" width="6" style="25" bestFit="1" customWidth="1"/>
    <col min="13" max="13" width="5.85546875" style="25" bestFit="1" customWidth="1"/>
    <col min="14" max="15" width="6" style="27" bestFit="1" customWidth="1"/>
    <col min="16" max="16" width="6" style="25" bestFit="1" customWidth="1"/>
    <col min="17" max="17" width="5.5703125" style="25" bestFit="1" customWidth="1"/>
    <col min="18" max="18" width="5.85546875" style="27" bestFit="1" customWidth="1"/>
    <col min="19" max="19" width="7" style="27" bestFit="1" customWidth="1"/>
    <col min="20" max="21" width="6.140625" style="27" bestFit="1" customWidth="1"/>
    <col min="22" max="22" width="8.5703125" style="27" bestFit="1" customWidth="1"/>
    <col min="23" max="23" width="8.5703125" style="25" bestFit="1" customWidth="1"/>
    <col min="24" max="24" width="2" style="27" bestFit="1" customWidth="1"/>
    <col min="25" max="25" width="7" style="27" bestFit="1" customWidth="1"/>
    <col min="26" max="27" width="5.85546875" style="27" bestFit="1" customWidth="1"/>
    <col min="28" max="28" width="8.5703125" style="25" bestFit="1" customWidth="1"/>
    <col min="29" max="29" width="2" style="27" bestFit="1" customWidth="1"/>
    <col min="30" max="30" width="7" style="27" bestFit="1" customWidth="1"/>
    <col min="31" max="32" width="5.85546875" style="27" bestFit="1" customWidth="1"/>
    <col min="33" max="33" width="8" style="25" bestFit="1" customWidth="1"/>
    <col min="34" max="34" width="2" style="27" bestFit="1" customWidth="1"/>
    <col min="35" max="35" width="7" style="27" bestFit="1" customWidth="1"/>
    <col min="36" max="37" width="5.85546875" style="27" bestFit="1" customWidth="1"/>
    <col min="38" max="16384" width="9.140625" style="27"/>
  </cols>
  <sheetData>
    <row r="1" spans="1:37" x14ac:dyDescent="0.25">
      <c r="C1" s="28">
        <v>2</v>
      </c>
      <c r="D1" s="28">
        <v>3</v>
      </c>
      <c r="E1" s="27">
        <v>4</v>
      </c>
      <c r="F1" s="27">
        <v>15</v>
      </c>
      <c r="G1" s="27">
        <v>6</v>
      </c>
      <c r="I1" s="29">
        <f>COUNT(Кат!$Y:$Y,Торг!$Z:$Z)/COUNT(Кат!$A:$A,Торг!$B:$B)</f>
        <v>0.8</v>
      </c>
      <c r="N1" s="27">
        <v>9</v>
      </c>
      <c r="O1" s="27">
        <v>10</v>
      </c>
      <c r="R1" s="42">
        <v>0.2</v>
      </c>
      <c r="S1" s="30" t="str">
        <f>_xlfn.CONCAT(ROUND(MIN(S3:S9000)*100,0),"-",ROUND(MAX(S3:S9000)*100,0),"%")</f>
        <v>20-20%</v>
      </c>
      <c r="T1" s="30" t="str">
        <f>_xlfn.CONCAT(ROUND(SUBTOTAL(5,T3:T9000)*100,0)," - ",ROUND(SUBTOTAL(4,T3:T9000)*100,0),"%")</f>
        <v>0 - 0%</v>
      </c>
      <c r="U1" s="30" t="str">
        <f>_xlfn.CONCAT(ROUND(SUBTOTAL(5,U3:U90000)*100,0)," - ",ROUND(SUBTOTAL(4,U3:U90000)*100,0),"%")</f>
        <v>19 - 20%</v>
      </c>
      <c r="V1" s="31"/>
      <c r="W1" s="25">
        <v>8</v>
      </c>
      <c r="Y1" s="40">
        <f>AC1</f>
        <v>0</v>
      </c>
      <c r="AB1" s="25">
        <v>9</v>
      </c>
      <c r="AD1" s="45">
        <f>AM1</f>
        <v>0</v>
      </c>
      <c r="AG1" s="25">
        <v>10</v>
      </c>
      <c r="AI1" s="46">
        <f>AW1</f>
        <v>0</v>
      </c>
    </row>
    <row r="2" spans="1:37" x14ac:dyDescent="0.25">
      <c r="A2" s="5" t="s">
        <v>13</v>
      </c>
      <c r="B2" s="5" t="s">
        <v>5</v>
      </c>
      <c r="C2" s="6" t="s">
        <v>12</v>
      </c>
      <c r="D2" s="6" t="s">
        <v>6</v>
      </c>
      <c r="E2" s="6"/>
      <c r="F2" s="6"/>
      <c r="G2" s="6" t="s">
        <v>14</v>
      </c>
      <c r="H2" s="5" t="s">
        <v>7</v>
      </c>
      <c r="I2" s="5"/>
      <c r="J2" s="8" t="s">
        <v>47</v>
      </c>
      <c r="K2" s="5"/>
      <c r="L2" s="15"/>
      <c r="M2" s="12" t="s">
        <v>25</v>
      </c>
      <c r="N2" s="6"/>
      <c r="O2" s="6"/>
      <c r="P2" s="13"/>
      <c r="Q2" s="13"/>
      <c r="R2" s="7">
        <v>0</v>
      </c>
      <c r="S2" s="32" t="s">
        <v>1</v>
      </c>
      <c r="T2" s="32" t="s">
        <v>2</v>
      </c>
      <c r="U2" s="32" t="s">
        <v>3</v>
      </c>
      <c r="V2" s="33" t="s">
        <v>48</v>
      </c>
      <c r="W2" s="56" t="s">
        <v>49</v>
      </c>
      <c r="X2" s="3"/>
      <c r="Y2" s="3" t="s">
        <v>50</v>
      </c>
      <c r="Z2" s="33" t="s">
        <v>4</v>
      </c>
      <c r="AA2" s="33" t="s">
        <v>4</v>
      </c>
      <c r="AB2" s="56" t="s">
        <v>49</v>
      </c>
      <c r="AC2" s="3"/>
      <c r="AD2" s="3" t="s">
        <v>50</v>
      </c>
      <c r="AE2" s="33"/>
      <c r="AF2" s="33"/>
      <c r="AG2" s="56" t="s">
        <v>49</v>
      </c>
      <c r="AH2" s="3"/>
      <c r="AI2" s="3" t="s">
        <v>50</v>
      </c>
      <c r="AJ2" s="33" t="s">
        <v>92</v>
      </c>
      <c r="AK2" s="33" t="s">
        <v>92</v>
      </c>
    </row>
    <row r="3" spans="1:37" ht="45" x14ac:dyDescent="0.25">
      <c r="A3" s="34" t="str">
        <f>INDEX('Выгр Торг'!$A:$A,MATCH($B3,'Выгр Торг'!$B:$B,0))</f>
        <v>Комплект гидроусилителя руля (ГУР) для Лада Нива 4x4, Шевроле Нива</v>
      </c>
      <c r="B3" s="35">
        <v>276697</v>
      </c>
      <c r="C3" s="35">
        <f>VLOOKUP($B3,'Выгр Торг'!$B:$Q,C$1,0)</f>
        <v>276697</v>
      </c>
      <c r="D3" s="34" t="str">
        <f>VLOOKUP($B3,'Выгр Торг'!$B:$Q,D$1,0)</f>
        <v>Комплект гидроусилителя руля (ГУР) для Лада Нива 4x4, Шевроле Нива (Инжектор)</v>
      </c>
      <c r="E3" s="35" t="str">
        <f>VLOOKUP($B3,'Выгр Торг'!$B:$Q,E$1,0)</f>
        <v>Y</v>
      </c>
      <c r="F3" s="35" t="str">
        <f>VLOOKUP($B3,'Выгр Торг'!$B:$Q,F$1,0)</f>
        <v>1</v>
      </c>
      <c r="G3" s="35">
        <f>VLOOKUP($B3,'Выгр Торг'!$B:$Q,G$1,0)</f>
        <v>0</v>
      </c>
      <c r="H3" s="35"/>
      <c r="I3" s="43" t="s">
        <v>53</v>
      </c>
      <c r="J3" s="44">
        <v>36000</v>
      </c>
      <c r="K3" s="36">
        <f>VLOOKUP(J3,Наценка!$A$1:$B$8,2,1)</f>
        <v>1.3</v>
      </c>
      <c r="L3" s="23">
        <f>J3*1.2</f>
        <v>43200</v>
      </c>
      <c r="M3" s="16">
        <f>IF(L3&lt;=1000,(ROUNDUP(L3,-1)-1),(ROUNDUP(L3,-2)-10))</f>
        <v>43190</v>
      </c>
      <c r="N3" s="35">
        <f>VLOOKUP($B3,'Выгр Торг'!$B:$Q,N$1,0)</f>
        <v>36000</v>
      </c>
      <c r="O3" s="35">
        <f>VLOOKUP($B3,'Выгр Торг'!$B:$Q,O$1,0)</f>
        <v>43190</v>
      </c>
      <c r="P3" s="13">
        <f>N3-J3</f>
        <v>0</v>
      </c>
      <c r="Q3" s="13">
        <f>O3-M3</f>
        <v>0</v>
      </c>
      <c r="R3" s="14">
        <f>IFERROR(ROUND(M3*(1-$R$2),),"")</f>
        <v>43190</v>
      </c>
      <c r="S3" s="38">
        <f>IFERROR(R3/J3-1,"")</f>
        <v>0.19972222222222213</v>
      </c>
      <c r="T3" s="38">
        <f>IFERROR((V3-R3)/V3,"")</f>
        <v>-8.8060808305524655E-4</v>
      </c>
      <c r="U3" s="38">
        <f>IFERROR(IF(V3="","",V3/J3-1),"")</f>
        <v>0.19866666666666677</v>
      </c>
      <c r="V3" s="46">
        <f>AJ3</f>
        <v>43152</v>
      </c>
      <c r="W3" s="57">
        <f>IFERROR((VLOOKUP($B3,'Из ГУГЛа'!$B:$Z,W$1,0)+Y3)*X3,VLOOKUP($B3,'Из ГУГЛа'!$B:$Z,W$1,0))</f>
        <v>51790</v>
      </c>
      <c r="X3" s="4">
        <v>1</v>
      </c>
      <c r="Y3" s="4"/>
      <c r="Z3" s="39">
        <v>51790</v>
      </c>
      <c r="AA3" s="39" t="s">
        <v>75</v>
      </c>
      <c r="AB3" s="57">
        <f>IFERROR((VLOOKUP($B3,'Из ГУГЛа'!$B:$Z,AB$1,0)+AD3)*AC3,VLOOKUP($B3,'Из ГУГЛа'!$B:$Z,AB$1,0))</f>
        <v>43200</v>
      </c>
      <c r="AC3" s="4">
        <v>1</v>
      </c>
      <c r="AD3" s="4"/>
      <c r="AE3" s="39">
        <v>43200</v>
      </c>
      <c r="AF3" s="39" t="s">
        <v>77</v>
      </c>
      <c r="AG3" s="57" t="str">
        <f>IFERROR((VLOOKUP($B3,'Из ГУГЛа'!$B:$Z,AG$1,0)+AI3)*AH3,VLOOKUP($B3,'Из ГУГЛа'!$B:$Z,AG$1,0))</f>
        <v/>
      </c>
      <c r="AH3" s="4">
        <v>1</v>
      </c>
      <c r="AI3" s="4"/>
      <c r="AJ3" s="39">
        <v>43152</v>
      </c>
      <c r="AK3" s="39" t="s">
        <v>76</v>
      </c>
    </row>
    <row r="4" spans="1:37" ht="45" x14ac:dyDescent="0.25">
      <c r="A4" s="34" t="str">
        <f>INDEX('Выгр Торг'!$A:$A,MATCH($B4,'Выгр Торг'!$B:$B,0))</f>
        <v>Комплект гидроусилителя руля (ГУР) для Лада Нива 4x4, Шевроле Нива</v>
      </c>
      <c r="B4" s="35">
        <v>276698</v>
      </c>
      <c r="C4" s="35">
        <f>VLOOKUP($B4,'Выгр Торг'!$B:$Q,C$1,0)</f>
        <v>276698</v>
      </c>
      <c r="D4" s="34" t="str">
        <f>VLOOKUP($B4,'Выгр Торг'!$B:$Q,D$1,0)</f>
        <v>Комплект гидроусилителя руля (ГУР) для Лада Нива 4x4, Шевроле Нива (Карбюратор)</v>
      </c>
      <c r="E4" s="35" t="str">
        <f>VLOOKUP($B4,'Выгр Торг'!$B:$Q,E$1,0)</f>
        <v>Y</v>
      </c>
      <c r="F4" s="35" t="str">
        <f>VLOOKUP($B4,'Выгр Торг'!$B:$Q,F$1,0)</f>
        <v>1</v>
      </c>
      <c r="G4" s="35">
        <f>VLOOKUP($B4,'Выгр Торг'!$B:$Q,G$1,0)</f>
        <v>0</v>
      </c>
      <c r="H4" s="35"/>
      <c r="I4" s="43" t="s">
        <v>53</v>
      </c>
      <c r="J4" s="44">
        <v>36000</v>
      </c>
      <c r="K4" s="36">
        <f>VLOOKUP(J4,Наценка!$A$1:$B$8,2,1)</f>
        <v>1.3</v>
      </c>
      <c r="L4" s="23">
        <f>J4*1.2</f>
        <v>43200</v>
      </c>
      <c r="M4" s="16">
        <f>IF(L4&lt;=1000,(ROUNDUP(L4,-1)-1),(ROUNDUP(L4,-2)-10))</f>
        <v>43190</v>
      </c>
      <c r="N4" s="35">
        <f>VLOOKUP($B4,'Выгр Торг'!$B:$Q,N$1,0)</f>
        <v>36000</v>
      </c>
      <c r="O4" s="35">
        <f>VLOOKUP($B4,'Выгр Торг'!$B:$Q,O$1,0)</f>
        <v>43190</v>
      </c>
      <c r="P4" s="13">
        <f>N4-J4</f>
        <v>0</v>
      </c>
      <c r="Q4" s="13">
        <f>O4-M4</f>
        <v>0</v>
      </c>
      <c r="R4" s="14">
        <f>IFERROR(ROUND(M4*(1-$R$2),),"")</f>
        <v>43190</v>
      </c>
      <c r="S4" s="38">
        <f>IFERROR(R4/J4-1,"")</f>
        <v>0.19972222222222213</v>
      </c>
      <c r="T4" s="38">
        <f>IFERROR((V4-R4)/V4,"")</f>
        <v>-4.4186046511627908E-3</v>
      </c>
      <c r="U4" s="38">
        <f>IFERROR(IF(V4="","",V4/J4-1),"")</f>
        <v>0.19444444444444442</v>
      </c>
      <c r="V4" s="45">
        <f>AE4</f>
        <v>43000</v>
      </c>
      <c r="W4" s="57">
        <f>IFERROR((VLOOKUP($B4,'Из ГУГЛа'!$B:$Z,W$1,0)+Y4)*X4,VLOOKUP($B4,'Из ГУГЛа'!$B:$Z,W$1,0))</f>
        <v>51790</v>
      </c>
      <c r="X4" s="4">
        <v>1</v>
      </c>
      <c r="Y4" s="4"/>
      <c r="Z4" s="39">
        <v>51790</v>
      </c>
      <c r="AA4" s="39" t="s">
        <v>75</v>
      </c>
      <c r="AB4" s="57">
        <f>IFERROR((VLOOKUP($B4,'Из ГУГЛа'!$B:$Z,AB$1,0)+AD4)*AC4,VLOOKUP($B4,'Из ГУГЛа'!$B:$Z,AB$1,0))</f>
        <v>43000</v>
      </c>
      <c r="AC4" s="4">
        <v>1</v>
      </c>
      <c r="AD4" s="4"/>
      <c r="AE4" s="39">
        <v>43000</v>
      </c>
      <c r="AF4" s="39" t="s">
        <v>78</v>
      </c>
      <c r="AG4" s="57" t="str">
        <f>IFERROR((VLOOKUP($B4,'Из ГУГЛа'!$B:$Z,AG$1,0)+AI4)*AH4,VLOOKUP($B4,'Из ГУГЛа'!$B:$Z,AG$1,0))</f>
        <v/>
      </c>
      <c r="AH4" s="4">
        <v>1</v>
      </c>
      <c r="AI4" s="4"/>
      <c r="AJ4" s="39">
        <v>43152</v>
      </c>
      <c r="AK4" s="39" t="s">
        <v>79</v>
      </c>
    </row>
    <row r="9" spans="1:37" x14ac:dyDescent="0.25">
      <c r="L9" s="37">
        <f>J9*K9</f>
        <v>0</v>
      </c>
    </row>
    <row r="10" spans="1:37" x14ac:dyDescent="0.25">
      <c r="L10" s="17">
        <f>V10-10</f>
        <v>-10</v>
      </c>
    </row>
    <row r="11" spans="1:37" x14ac:dyDescent="0.25">
      <c r="L11" s="18">
        <f>V11-30</f>
        <v>-30</v>
      </c>
    </row>
    <row r="12" spans="1:37" x14ac:dyDescent="0.25">
      <c r="L12" s="19">
        <f>V12-100</f>
        <v>-100</v>
      </c>
    </row>
    <row r="13" spans="1:37" x14ac:dyDescent="0.25">
      <c r="L13" s="20">
        <f>V13</f>
        <v>0</v>
      </c>
    </row>
    <row r="14" spans="1:37" x14ac:dyDescent="0.25">
      <c r="L14" s="20">
        <f>V14*1.02</f>
        <v>0</v>
      </c>
    </row>
    <row r="15" spans="1:37" x14ac:dyDescent="0.25">
      <c r="L15" s="21">
        <f>V15*1.05</f>
        <v>0</v>
      </c>
    </row>
    <row r="16" spans="1:37" x14ac:dyDescent="0.25">
      <c r="L16" s="22">
        <f>V16*1.08</f>
        <v>0</v>
      </c>
    </row>
    <row r="17" spans="12:12" x14ac:dyDescent="0.25">
      <c r="L17" s="23">
        <f>J17*1.2</f>
        <v>0</v>
      </c>
    </row>
  </sheetData>
  <autoFilter ref="A2:AK2" xr:uid="{F3985357-F945-4D5A-AAB6-C9530077673D}"/>
  <conditionalFormatting sqref="T3:T4">
    <cfRule type="cellIs" dxfId="8" priority="9" operator="lessThan">
      <formula>0</formula>
    </cfRule>
  </conditionalFormatting>
  <conditionalFormatting sqref="U3:U4 S3:S4">
    <cfRule type="cellIs" dxfId="7" priority="8" operator="lessThan">
      <formula>$R$1</formula>
    </cfRule>
  </conditionalFormatting>
  <conditionalFormatting sqref="D3:D4">
    <cfRule type="expression" dxfId="6" priority="5">
      <formula>OR(E3="N",F3="0")</formula>
    </cfRule>
  </conditionalFormatting>
  <conditionalFormatting sqref="B3:B4">
    <cfRule type="expression" dxfId="5" priority="3">
      <formula>AND(ROUNDDOWN($P3,0)=0,ROUNDDOWN($Q3,0)=0)</formula>
    </cfRule>
  </conditionalFormatting>
  <conditionalFormatting sqref="W3:W4">
    <cfRule type="expression" dxfId="4" priority="11">
      <formula>VALUE(W3)&lt;&gt;Z3</formula>
    </cfRule>
  </conditionalFormatting>
  <conditionalFormatting sqref="AB3:AB4">
    <cfRule type="expression" dxfId="3" priority="2">
      <formula>VALUE(AB3)&lt;&gt;AE3</formula>
    </cfRule>
  </conditionalFormatting>
  <conditionalFormatting sqref="AG3:AG4">
    <cfRule type="expression" dxfId="2" priority="1">
      <formula>VALUE(AG3)&lt;&gt;AJ3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E42EC-EDF9-4C9D-9450-B2CC667DCADB}">
  <sheetPr codeName="Лист8"/>
  <dimension ref="A1:J27"/>
  <sheetViews>
    <sheetView workbookViewId="0">
      <selection activeCell="P18" sqref="P18"/>
    </sheetView>
  </sheetViews>
  <sheetFormatPr defaultRowHeight="15" x14ac:dyDescent="0.25"/>
  <sheetData>
    <row r="1" spans="1:10" x14ac:dyDescent="0.25">
      <c r="A1" s="1">
        <v>0.1</v>
      </c>
      <c r="B1" s="1">
        <v>2</v>
      </c>
      <c r="E1" t="s">
        <v>26</v>
      </c>
      <c r="F1" t="s">
        <v>27</v>
      </c>
      <c r="G1" t="s">
        <v>28</v>
      </c>
    </row>
    <row r="2" spans="1:10" x14ac:dyDescent="0.25">
      <c r="A2" s="1">
        <v>100</v>
      </c>
      <c r="B2" s="1">
        <v>1.8</v>
      </c>
      <c r="D2" t="s">
        <v>29</v>
      </c>
      <c r="E2">
        <v>5200</v>
      </c>
      <c r="F2">
        <v>5700</v>
      </c>
      <c r="G2">
        <v>6000</v>
      </c>
    </row>
    <row r="3" spans="1:10" x14ac:dyDescent="0.25">
      <c r="A3" s="2">
        <v>300</v>
      </c>
      <c r="B3" s="2">
        <v>1.6</v>
      </c>
      <c r="D3" t="s">
        <v>30</v>
      </c>
      <c r="E3">
        <v>4000</v>
      </c>
      <c r="F3">
        <v>4400</v>
      </c>
      <c r="G3">
        <v>5200</v>
      </c>
    </row>
    <row r="4" spans="1:10" x14ac:dyDescent="0.25">
      <c r="A4" s="2">
        <v>500</v>
      </c>
      <c r="B4" s="2">
        <v>1.55</v>
      </c>
      <c r="D4" t="s">
        <v>31</v>
      </c>
      <c r="E4">
        <v>4700</v>
      </c>
      <c r="F4">
        <v>4700</v>
      </c>
      <c r="G4">
        <v>4700</v>
      </c>
      <c r="I4" t="s">
        <v>39</v>
      </c>
      <c r="J4" s="24">
        <f>INDEX(Наценка!$D$1:$G$27,MATCH(LEFT(I4,SEARCH(" ",I4)-1),Наценка!$D$1:$D$27,0),MATCH(RIGHT(I4,LEN(I4)-SEARCH(" ",I4)),Наценка!$D$1:$G$1,0))</f>
        <v>5200</v>
      </c>
    </row>
    <row r="5" spans="1:10" x14ac:dyDescent="0.25">
      <c r="A5" s="2">
        <v>1000</v>
      </c>
      <c r="B5" s="2">
        <v>1.5</v>
      </c>
      <c r="D5" t="s">
        <v>32</v>
      </c>
      <c r="E5">
        <v>2200</v>
      </c>
    </row>
    <row r="6" spans="1:10" x14ac:dyDescent="0.25">
      <c r="A6" s="2">
        <v>2000</v>
      </c>
      <c r="B6" s="2">
        <v>1.4</v>
      </c>
      <c r="D6" t="s">
        <v>33</v>
      </c>
      <c r="E6">
        <v>1800</v>
      </c>
      <c r="F6">
        <v>2000</v>
      </c>
      <c r="G6">
        <v>2200</v>
      </c>
    </row>
    <row r="7" spans="1:10" x14ac:dyDescent="0.25">
      <c r="A7" s="2">
        <v>5000</v>
      </c>
      <c r="B7" s="2">
        <v>1.35</v>
      </c>
      <c r="D7" t="s">
        <v>34</v>
      </c>
      <c r="E7">
        <v>2000</v>
      </c>
    </row>
    <row r="8" spans="1:10" x14ac:dyDescent="0.25">
      <c r="A8" s="2">
        <v>10000</v>
      </c>
      <c r="B8" s="2">
        <v>1.3</v>
      </c>
      <c r="D8" t="s">
        <v>35</v>
      </c>
      <c r="E8">
        <v>500</v>
      </c>
    </row>
    <row r="9" spans="1:10" x14ac:dyDescent="0.25">
      <c r="D9" t="s">
        <v>36</v>
      </c>
      <c r="E9">
        <v>2700</v>
      </c>
      <c r="F9">
        <v>2700</v>
      </c>
      <c r="G9">
        <v>2700</v>
      </c>
    </row>
    <row r="10" spans="1:10" x14ac:dyDescent="0.25">
      <c r="D10" t="s">
        <v>37</v>
      </c>
      <c r="E10">
        <v>3700</v>
      </c>
      <c r="F10">
        <v>3700</v>
      </c>
      <c r="G10">
        <v>3700</v>
      </c>
    </row>
    <row r="11" spans="1:10" x14ac:dyDescent="0.25">
      <c r="D11" t="s">
        <v>40</v>
      </c>
      <c r="E11">
        <v>600</v>
      </c>
    </row>
    <row r="12" spans="1:10" x14ac:dyDescent="0.25">
      <c r="D12" t="s">
        <v>41</v>
      </c>
      <c r="E12">
        <v>450</v>
      </c>
    </row>
    <row r="13" spans="1:10" x14ac:dyDescent="0.25">
      <c r="D13" t="s">
        <v>42</v>
      </c>
      <c r="E13">
        <v>200</v>
      </c>
    </row>
    <row r="14" spans="1:10" x14ac:dyDescent="0.25">
      <c r="D14" t="s">
        <v>43</v>
      </c>
      <c r="E14">
        <v>400</v>
      </c>
      <c r="F14">
        <v>1000</v>
      </c>
      <c r="G14">
        <v>1000</v>
      </c>
    </row>
    <row r="15" spans="1:10" x14ac:dyDescent="0.25">
      <c r="D15" t="s">
        <v>44</v>
      </c>
      <c r="E15">
        <v>500</v>
      </c>
    </row>
    <row r="16" spans="1:10" x14ac:dyDescent="0.25">
      <c r="D16" t="s">
        <v>45</v>
      </c>
      <c r="E16">
        <v>600</v>
      </c>
    </row>
    <row r="17" spans="4:5" x14ac:dyDescent="0.25">
      <c r="D17" t="s">
        <v>46</v>
      </c>
      <c r="E17">
        <v>350</v>
      </c>
    </row>
    <row r="27" spans="4:5" x14ac:dyDescent="0.25">
      <c r="D27" t="s">
        <v>38</v>
      </c>
      <c r="E27">
        <v>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C524-75E8-45F1-91F9-F73EEA9D9316}">
  <sheetPr codeName="Лист4">
    <outlinePr summaryBelow="0"/>
  </sheetPr>
  <dimension ref="A1:O9"/>
  <sheetViews>
    <sheetView showRuler="0" zoomScaleNormal="100" workbookViewId="0">
      <pane ySplit="1" topLeftCell="A2" activePane="bottomLeft" state="frozen"/>
      <selection pane="bottomLeft" activeCell="C13" sqref="C13"/>
    </sheetView>
  </sheetViews>
  <sheetFormatPr defaultRowHeight="15" x14ac:dyDescent="0.25"/>
  <cols>
    <col min="1" max="2" width="7.7109375" style="11" customWidth="1"/>
    <col min="3" max="3" width="33.28515625" style="11" customWidth="1"/>
    <col min="4" max="5" width="22.28515625" style="11" customWidth="1"/>
    <col min="6" max="6" width="33.28515625" style="11" customWidth="1"/>
    <col min="7" max="7" width="22.28515625" style="11" customWidth="1"/>
    <col min="8" max="9" width="11.140625" style="11" customWidth="1"/>
    <col min="10" max="10" width="22.28515625" style="11" customWidth="1"/>
    <col min="11" max="11" width="11.140625" style="11" customWidth="1"/>
    <col min="12" max="12" width="7.42578125" style="11" customWidth="1"/>
    <col min="13" max="14" width="5.5703125" style="11" customWidth="1"/>
    <col min="15" max="16384" width="9.140625" style="11"/>
  </cols>
  <sheetData>
    <row r="1" spans="1:15" s="10" customFormat="1" ht="45" x14ac:dyDescent="0.25">
      <c r="A1" s="48" t="s">
        <v>5</v>
      </c>
      <c r="B1" s="48" t="s">
        <v>12</v>
      </c>
      <c r="C1" s="48" t="s">
        <v>11</v>
      </c>
      <c r="D1" s="48" t="s">
        <v>15</v>
      </c>
      <c r="E1" s="48" t="s">
        <v>16</v>
      </c>
      <c r="F1" s="48" t="s">
        <v>17</v>
      </c>
      <c r="G1" s="48" t="s">
        <v>8</v>
      </c>
      <c r="H1" s="48" t="s">
        <v>9</v>
      </c>
      <c r="I1" s="48" t="s">
        <v>0</v>
      </c>
      <c r="J1" s="48" t="s">
        <v>18</v>
      </c>
      <c r="K1" s="48" t="s">
        <v>19</v>
      </c>
      <c r="L1" s="48" t="s">
        <v>24</v>
      </c>
      <c r="M1" s="48" t="s">
        <v>20</v>
      </c>
      <c r="N1" s="9"/>
      <c r="O1" s="9"/>
    </row>
    <row r="2" spans="1:15" ht="45" x14ac:dyDescent="0.25">
      <c r="A2" s="49">
        <v>158406</v>
      </c>
      <c r="B2" s="49">
        <v>66110</v>
      </c>
      <c r="C2" s="50" t="s">
        <v>51</v>
      </c>
      <c r="D2" s="50" t="s">
        <v>52</v>
      </c>
      <c r="E2" s="50"/>
      <c r="F2" s="50"/>
      <c r="G2" s="50" t="s">
        <v>53</v>
      </c>
      <c r="H2" s="51">
        <v>37500</v>
      </c>
      <c r="I2" s="51">
        <v>44990</v>
      </c>
      <c r="J2" s="50"/>
      <c r="K2" s="50" t="s">
        <v>10</v>
      </c>
      <c r="L2" s="50"/>
      <c r="M2" s="50"/>
      <c r="N2" s="9" t="str">
        <f>_xlfn.CONCAT(K2,IF(L2&lt;&gt;"",_xlfn.CONCAT("ск",L2),""))</f>
        <v>1</v>
      </c>
      <c r="O2" s="9" t="str">
        <f>INDEX(Кат!$H:$H,MATCH($A2,Кат!$A:$A,0))</f>
        <v>Рулевые системы</v>
      </c>
    </row>
    <row r="3" spans="1:15" ht="45" x14ac:dyDescent="0.25">
      <c r="A3" s="49">
        <v>158407</v>
      </c>
      <c r="B3" s="49">
        <v>19057</v>
      </c>
      <c r="C3" s="50" t="s">
        <v>54</v>
      </c>
      <c r="D3" s="50" t="s">
        <v>52</v>
      </c>
      <c r="E3" s="50"/>
      <c r="F3" s="50"/>
      <c r="G3" s="50" t="s">
        <v>53</v>
      </c>
      <c r="H3" s="51">
        <v>37500</v>
      </c>
      <c r="I3" s="51">
        <v>44990</v>
      </c>
      <c r="J3" s="50"/>
      <c r="K3" s="50" t="s">
        <v>10</v>
      </c>
      <c r="L3" s="50"/>
      <c r="M3" s="50"/>
      <c r="N3" s="9" t="str">
        <f t="shared" ref="N3:N9" si="0">_xlfn.CONCAT(K3,IF(L3&lt;&gt;"",_xlfn.CONCAT("ск",L3),""))</f>
        <v>1</v>
      </c>
      <c r="O3" s="9" t="str">
        <f>INDEX(Кат!$H:$H,MATCH($A3,Кат!$A:$A,0))</f>
        <v>Рулевые системы</v>
      </c>
    </row>
    <row r="4" spans="1:15" ht="30" x14ac:dyDescent="0.25">
      <c r="A4" s="49">
        <v>158408</v>
      </c>
      <c r="B4" s="49">
        <v>19054</v>
      </c>
      <c r="C4" s="50" t="s">
        <v>55</v>
      </c>
      <c r="D4" s="50" t="s">
        <v>52</v>
      </c>
      <c r="E4" s="50" t="s">
        <v>56</v>
      </c>
      <c r="F4" s="50"/>
      <c r="G4" s="50" t="s">
        <v>53</v>
      </c>
      <c r="H4" s="51">
        <v>40000</v>
      </c>
      <c r="I4" s="51">
        <v>47990</v>
      </c>
      <c r="J4" s="50"/>
      <c r="K4" s="50" t="s">
        <v>10</v>
      </c>
      <c r="L4" s="50"/>
      <c r="M4" s="50" t="s">
        <v>52</v>
      </c>
      <c r="N4" s="9" t="str">
        <f t="shared" si="0"/>
        <v>1</v>
      </c>
      <c r="O4" s="9" t="str">
        <f>INDEX(Кат!$H:$H,MATCH($A4,Кат!$A:$A,0))</f>
        <v>Рулевые системы</v>
      </c>
    </row>
    <row r="5" spans="1:15" ht="45" x14ac:dyDescent="0.25">
      <c r="A5" s="49">
        <v>267632</v>
      </c>
      <c r="B5" s="49">
        <v>216665</v>
      </c>
      <c r="C5" s="50" t="s">
        <v>57</v>
      </c>
      <c r="D5" s="50" t="s">
        <v>52</v>
      </c>
      <c r="E5" s="50" t="s">
        <v>93</v>
      </c>
      <c r="F5" s="50" t="s">
        <v>58</v>
      </c>
      <c r="G5" s="50" t="s">
        <v>53</v>
      </c>
      <c r="H5" s="51">
        <v>18000</v>
      </c>
      <c r="I5" s="51">
        <v>21590</v>
      </c>
      <c r="J5" s="50"/>
      <c r="K5" s="50" t="s">
        <v>10</v>
      </c>
      <c r="L5" s="50" t="s">
        <v>59</v>
      </c>
      <c r="M5" s="50"/>
      <c r="N5" s="9" t="str">
        <f t="shared" si="0"/>
        <v>1ск4</v>
      </c>
      <c r="O5" s="9" t="str">
        <f>INDEX(Кат!$H:$H,MATCH($A5,Кат!$A:$A,0))</f>
        <v>Рулевые системы</v>
      </c>
    </row>
    <row r="6" spans="1:15" ht="45" x14ac:dyDescent="0.25">
      <c r="A6" s="49">
        <v>171713</v>
      </c>
      <c r="B6" s="49">
        <v>41823</v>
      </c>
      <c r="C6" s="50" t="s">
        <v>60</v>
      </c>
      <c r="D6" s="50" t="s">
        <v>52</v>
      </c>
      <c r="E6" s="50" t="s">
        <v>61</v>
      </c>
      <c r="F6" s="50" t="s">
        <v>62</v>
      </c>
      <c r="G6" s="50" t="s">
        <v>53</v>
      </c>
      <c r="H6" s="51">
        <v>7725</v>
      </c>
      <c r="I6" s="51">
        <v>10490</v>
      </c>
      <c r="J6" s="50"/>
      <c r="K6" s="50" t="s">
        <v>10</v>
      </c>
      <c r="L6" s="50"/>
      <c r="M6" s="50"/>
      <c r="N6" s="9" t="str">
        <f t="shared" si="0"/>
        <v>1</v>
      </c>
      <c r="O6" s="9" t="str">
        <f>INDEX(Кат!$H:$H,MATCH($A6,Кат!$A:$A,0))</f>
        <v>Рулевые системы</v>
      </c>
    </row>
    <row r="7" spans="1:15" ht="30" x14ac:dyDescent="0.25">
      <c r="A7" s="49">
        <v>265421</v>
      </c>
      <c r="B7" s="49">
        <v>215300</v>
      </c>
      <c r="C7" s="50" t="s">
        <v>63</v>
      </c>
      <c r="D7" s="50" t="s">
        <v>52</v>
      </c>
      <c r="E7" s="50" t="s">
        <v>64</v>
      </c>
      <c r="F7" s="50"/>
      <c r="G7" s="50" t="s">
        <v>53</v>
      </c>
      <c r="H7" s="51"/>
      <c r="I7" s="51"/>
      <c r="J7" s="50"/>
      <c r="K7" s="50" t="s">
        <v>65</v>
      </c>
      <c r="L7" s="50"/>
      <c r="M7" s="50"/>
      <c r="N7" s="9" t="str">
        <f t="shared" si="0"/>
        <v>0</v>
      </c>
      <c r="O7" s="9" t="str">
        <f>INDEX(Кат!$H:$H,MATCH($A7,Кат!$A:$A,0))</f>
        <v>Рулевые системы</v>
      </c>
    </row>
    <row r="8" spans="1:15" ht="30" x14ac:dyDescent="0.25">
      <c r="A8" s="49">
        <v>171716</v>
      </c>
      <c r="B8" s="49">
        <v>19059</v>
      </c>
      <c r="C8" s="50" t="s">
        <v>66</v>
      </c>
      <c r="D8" s="50" t="s">
        <v>52</v>
      </c>
      <c r="E8" s="50" t="s">
        <v>67</v>
      </c>
      <c r="F8" s="50" t="s">
        <v>67</v>
      </c>
      <c r="G8" s="50" t="s">
        <v>53</v>
      </c>
      <c r="H8" s="51">
        <v>6408</v>
      </c>
      <c r="I8" s="51">
        <v>7690</v>
      </c>
      <c r="J8" s="50"/>
      <c r="K8" s="50" t="s">
        <v>10</v>
      </c>
      <c r="L8" s="50"/>
      <c r="M8" s="50"/>
      <c r="N8" s="9" t="str">
        <f t="shared" si="0"/>
        <v>1</v>
      </c>
      <c r="O8" s="9" t="str">
        <f>INDEX(Кат!$H:$H,MATCH($A8,Кат!$A:$A,0))</f>
        <v>Рулевые системы</v>
      </c>
    </row>
    <row r="9" spans="1:15" ht="30" x14ac:dyDescent="0.25">
      <c r="A9" s="49">
        <v>171715</v>
      </c>
      <c r="B9" s="49">
        <v>19056</v>
      </c>
      <c r="C9" s="50" t="s">
        <v>68</v>
      </c>
      <c r="D9" s="50" t="s">
        <v>52</v>
      </c>
      <c r="E9" s="50" t="s">
        <v>69</v>
      </c>
      <c r="F9" s="50" t="s">
        <v>69</v>
      </c>
      <c r="G9" s="50" t="s">
        <v>53</v>
      </c>
      <c r="H9" s="51">
        <v>7081</v>
      </c>
      <c r="I9" s="51">
        <v>9590</v>
      </c>
      <c r="J9" s="50"/>
      <c r="K9" s="50" t="s">
        <v>10</v>
      </c>
      <c r="L9" s="50"/>
      <c r="M9" s="50"/>
      <c r="N9" s="9" t="str">
        <f t="shared" si="0"/>
        <v>1</v>
      </c>
      <c r="O9" s="9" t="str">
        <f>INDEX(Кат!$H:$H,MATCH($A9,Кат!$A:$A,0))</f>
        <v>Рулевые системы</v>
      </c>
    </row>
  </sheetData>
  <sheetProtection formatCells="0" formatColumns="0" formatRows="0" insertColumns="0" insertRows="0" insertHyperlinks="0" deleteColumns="0" deleteRows="0" sort="0" autoFilter="0" pivotTables="0"/>
  <autoFilter ref="A1:O1" xr:uid="{3CF98838-0AE1-4844-9C7C-5FDF724B59B3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F5B9-D33B-4798-B96D-E73D092B3382}">
  <sheetPr codeName="Лист5">
    <outlinePr summaryBelow="0"/>
  </sheetPr>
  <dimension ref="A1:Q3"/>
  <sheetViews>
    <sheetView showRuler="0" zoomScaleNormal="100" workbookViewId="0">
      <pane ySplit="1" topLeftCell="A2" activePane="bottomLeft" state="frozen"/>
      <selection activeCell="P2" sqref="P2"/>
      <selection pane="bottomLeft" sqref="A1:O3"/>
    </sheetView>
  </sheetViews>
  <sheetFormatPr defaultRowHeight="15" x14ac:dyDescent="0.25"/>
  <cols>
    <col min="1" max="1" width="22.28515625" style="11" customWidth="1"/>
    <col min="2" max="3" width="7.7109375" style="11" customWidth="1"/>
    <col min="4" max="4" width="22.28515625" style="11" customWidth="1"/>
    <col min="5" max="5" width="11.140625" style="11" customWidth="1"/>
    <col min="6" max="8" width="22.28515625" style="11" customWidth="1"/>
    <col min="9" max="10" width="8.85546875" style="11" customWidth="1"/>
    <col min="11" max="11" width="10.85546875" style="11" bestFit="1" customWidth="1"/>
    <col min="12" max="16" width="7.7109375" style="11" customWidth="1"/>
    <col min="17" max="16384" width="9.140625" style="11"/>
  </cols>
  <sheetData>
    <row r="1" spans="1:17" s="10" customFormat="1" ht="30" x14ac:dyDescent="0.25">
      <c r="A1" s="52" t="s">
        <v>21</v>
      </c>
      <c r="B1" s="52" t="s">
        <v>5</v>
      </c>
      <c r="C1" s="52" t="s">
        <v>22</v>
      </c>
      <c r="D1" s="52" t="s">
        <v>11</v>
      </c>
      <c r="E1" s="52" t="s">
        <v>15</v>
      </c>
      <c r="F1" s="52"/>
      <c r="G1" s="52" t="s">
        <v>16</v>
      </c>
      <c r="H1" s="52" t="s">
        <v>17</v>
      </c>
      <c r="I1" s="52" t="s">
        <v>8</v>
      </c>
      <c r="J1" s="52" t="s">
        <v>9</v>
      </c>
      <c r="K1" s="52" t="s">
        <v>0</v>
      </c>
      <c r="L1" s="52" t="s">
        <v>23</v>
      </c>
      <c r="M1" s="52" t="s">
        <v>19</v>
      </c>
      <c r="N1" s="52" t="s">
        <v>24</v>
      </c>
      <c r="O1" s="52" t="s">
        <v>20</v>
      </c>
      <c r="P1" s="9"/>
      <c r="Q1" s="9"/>
    </row>
    <row r="2" spans="1:17" ht="75" x14ac:dyDescent="0.25">
      <c r="A2" s="54" t="s">
        <v>70</v>
      </c>
      <c r="B2" s="53">
        <v>276697</v>
      </c>
      <c r="C2" s="53">
        <v>276697</v>
      </c>
      <c r="D2" s="54" t="s">
        <v>71</v>
      </c>
      <c r="E2" s="54" t="s">
        <v>52</v>
      </c>
      <c r="F2" s="54"/>
      <c r="G2" s="54"/>
      <c r="H2" s="54"/>
      <c r="I2" s="54" t="s">
        <v>53</v>
      </c>
      <c r="J2" s="55">
        <v>36000</v>
      </c>
      <c r="K2" s="55">
        <v>43190</v>
      </c>
      <c r="L2" s="54"/>
      <c r="M2" s="53">
        <v>1</v>
      </c>
      <c r="N2" s="53"/>
      <c r="O2" s="54"/>
      <c r="P2" s="9" t="str">
        <f>_xlfn.CONCAT(M2,IF(N2&lt;&gt;"",_xlfn.CONCAT("ск",N2),""))</f>
        <v>1</v>
      </c>
      <c r="Q2" s="9" t="str">
        <f>INDEX(Торг!$I:$I,MATCH($B2,Торг!$B:$B,0))</f>
        <v>Рулевые системы</v>
      </c>
    </row>
    <row r="3" spans="1:17" ht="75" x14ac:dyDescent="0.25">
      <c r="A3" s="54" t="s">
        <v>70</v>
      </c>
      <c r="B3" s="53">
        <v>276698</v>
      </c>
      <c r="C3" s="53">
        <v>276698</v>
      </c>
      <c r="D3" s="54" t="s">
        <v>72</v>
      </c>
      <c r="E3" s="54" t="s">
        <v>52</v>
      </c>
      <c r="F3" s="54"/>
      <c r="G3" s="54"/>
      <c r="H3" s="54"/>
      <c r="I3" s="54" t="s">
        <v>53</v>
      </c>
      <c r="J3" s="55">
        <v>36000</v>
      </c>
      <c r="K3" s="55">
        <v>43190</v>
      </c>
      <c r="L3" s="54"/>
      <c r="M3" s="53">
        <v>1</v>
      </c>
      <c r="N3" s="53"/>
      <c r="O3" s="54"/>
      <c r="P3" s="9" t="str">
        <f>_xlfn.CONCAT(M3,IF(N3&lt;&gt;"",_xlfn.CONCAT("ск",N3),""))</f>
        <v>1</v>
      </c>
      <c r="Q3" s="9" t="str">
        <f>INDEX(Торг!$I:$I,MATCH($B3,Торг!$B:$B,0))</f>
        <v>Рулевые системы</v>
      </c>
    </row>
  </sheetData>
  <sheetProtection formatCells="0" formatColumns="0" formatRows="0" insertColumns="0" insertRows="0" insertHyperlinks="0" deleteColumns="0" deleteRows="0" sort="0" autoFilter="0" pivotTables="0"/>
  <autoFilter ref="A1:Q1" xr:uid="{1EDE69EF-D66C-47DB-90C8-0DCAEB832200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5E180-B0EE-4D96-AB5C-59A19C2F859E}">
  <sheetPr codeName="Лист6">
    <tabColor rgb="FF92D050"/>
  </sheetPr>
  <dimension ref="A1:G13"/>
  <sheetViews>
    <sheetView workbookViewId="0">
      <selection activeCell="F22" sqref="F22"/>
    </sheetView>
  </sheetViews>
  <sheetFormatPr defaultRowHeight="15" x14ac:dyDescent="0.25"/>
  <cols>
    <col min="1" max="1" width="7" style="27" customWidth="1"/>
    <col min="2" max="2" width="11.85546875" style="27" customWidth="1"/>
    <col min="3" max="7" width="9.140625" style="27"/>
    <col min="8" max="16384" width="9.140625" style="26"/>
  </cols>
  <sheetData>
    <row r="1" spans="1:7" x14ac:dyDescent="0.25">
      <c r="A1" s="28"/>
    </row>
    <row r="2" spans="1:7" x14ac:dyDescent="0.25">
      <c r="A2" s="5" t="s">
        <v>5</v>
      </c>
      <c r="B2" s="33" t="s">
        <v>4</v>
      </c>
      <c r="C2" s="33" t="s">
        <v>4</v>
      </c>
      <c r="D2" s="33"/>
      <c r="E2" s="33"/>
      <c r="F2" s="33"/>
      <c r="G2" s="33"/>
    </row>
    <row r="3" spans="1:7" x14ac:dyDescent="0.25">
      <c r="A3" s="35">
        <v>265421</v>
      </c>
      <c r="B3" s="39"/>
      <c r="C3" s="39"/>
      <c r="D3" s="39"/>
      <c r="E3" s="39"/>
      <c r="F3" s="39"/>
      <c r="G3" s="39"/>
    </row>
    <row r="4" spans="1:7" x14ac:dyDescent="0.25">
      <c r="A4" s="35">
        <v>171716</v>
      </c>
      <c r="B4" s="39">
        <v>9990</v>
      </c>
      <c r="C4" s="39" t="s">
        <v>73</v>
      </c>
      <c r="D4" s="39"/>
      <c r="E4" s="39"/>
      <c r="F4" s="39">
        <v>7129</v>
      </c>
      <c r="G4" s="39" t="s">
        <v>80</v>
      </c>
    </row>
    <row r="5" spans="1:7" x14ac:dyDescent="0.25">
      <c r="A5" s="35">
        <v>171715</v>
      </c>
      <c r="B5" s="39">
        <v>9690</v>
      </c>
      <c r="C5" s="39" t="s">
        <v>91</v>
      </c>
      <c r="D5" s="39">
        <v>12705</v>
      </c>
      <c r="E5" s="39" t="s">
        <v>90</v>
      </c>
      <c r="F5" s="39">
        <v>6916</v>
      </c>
      <c r="G5" s="39" t="s">
        <v>81</v>
      </c>
    </row>
    <row r="6" spans="1:7" x14ac:dyDescent="0.25">
      <c r="A6" s="35">
        <v>171713</v>
      </c>
      <c r="B6" s="39">
        <v>13790</v>
      </c>
      <c r="C6" s="39" t="s">
        <v>74</v>
      </c>
      <c r="D6" s="39">
        <v>11460</v>
      </c>
      <c r="E6" s="39" t="s">
        <v>88</v>
      </c>
      <c r="F6" s="39">
        <v>7938</v>
      </c>
      <c r="G6" s="39" t="s">
        <v>81</v>
      </c>
    </row>
    <row r="7" spans="1:7" x14ac:dyDescent="0.25">
      <c r="A7" s="35">
        <v>267632</v>
      </c>
      <c r="B7" s="39">
        <v>34990</v>
      </c>
      <c r="C7" s="39" t="s">
        <v>89</v>
      </c>
      <c r="D7" s="39"/>
      <c r="E7" s="39"/>
      <c r="F7" s="39">
        <v>18230</v>
      </c>
      <c r="G7" s="39" t="s">
        <v>87</v>
      </c>
    </row>
    <row r="8" spans="1:7" x14ac:dyDescent="0.25">
      <c r="A8" s="35">
        <v>158406</v>
      </c>
      <c r="B8" s="39">
        <v>50890</v>
      </c>
      <c r="C8" s="39" t="s">
        <v>82</v>
      </c>
      <c r="D8" s="39"/>
      <c r="E8" s="39"/>
      <c r="F8" s="39">
        <v>43152</v>
      </c>
      <c r="G8" s="39" t="s">
        <v>83</v>
      </c>
    </row>
    <row r="9" spans="1:7" x14ac:dyDescent="0.25">
      <c r="A9" s="35">
        <v>158407</v>
      </c>
      <c r="B9" s="39">
        <v>50890</v>
      </c>
      <c r="C9" s="39" t="s">
        <v>82</v>
      </c>
      <c r="D9" s="39"/>
      <c r="E9" s="39"/>
      <c r="F9" s="39">
        <v>43152</v>
      </c>
      <c r="G9" s="39" t="s">
        <v>84</v>
      </c>
    </row>
    <row r="10" spans="1:7" x14ac:dyDescent="0.25">
      <c r="A10" s="35">
        <v>158408</v>
      </c>
      <c r="B10" s="39"/>
      <c r="C10" s="39"/>
      <c r="D10" s="39">
        <v>43000</v>
      </c>
      <c r="E10" s="39" t="s">
        <v>85</v>
      </c>
      <c r="F10" s="39"/>
      <c r="G10" s="39"/>
    </row>
    <row r="11" spans="1:7" x14ac:dyDescent="0.25">
      <c r="A11" s="5" t="s">
        <v>5</v>
      </c>
      <c r="B11" s="33" t="s">
        <v>4</v>
      </c>
      <c r="C11" s="33" t="s">
        <v>4</v>
      </c>
      <c r="D11" s="33"/>
      <c r="E11" s="33"/>
      <c r="F11" s="33"/>
      <c r="G11" s="33"/>
    </row>
    <row r="12" spans="1:7" x14ac:dyDescent="0.25">
      <c r="A12" s="35">
        <v>276697</v>
      </c>
      <c r="B12" s="39">
        <v>51790</v>
      </c>
      <c r="C12" s="39" t="s">
        <v>75</v>
      </c>
      <c r="D12" s="39">
        <v>43200</v>
      </c>
      <c r="E12" s="39" t="s">
        <v>77</v>
      </c>
      <c r="F12" s="39">
        <v>43152</v>
      </c>
      <c r="G12" s="39" t="s">
        <v>76</v>
      </c>
    </row>
    <row r="13" spans="1:7" x14ac:dyDescent="0.25">
      <c r="A13" s="35">
        <v>276698</v>
      </c>
      <c r="B13" s="39">
        <v>51790</v>
      </c>
      <c r="C13" s="39" t="s">
        <v>75</v>
      </c>
      <c r="D13" s="39">
        <v>43000</v>
      </c>
      <c r="E13" s="39" t="s">
        <v>78</v>
      </c>
      <c r="F13" s="39">
        <v>43152</v>
      </c>
      <c r="G13" s="39" t="s">
        <v>79</v>
      </c>
    </row>
  </sheetData>
  <conditionalFormatting sqref="A3:A10">
    <cfRule type="expression" dxfId="1" priority="3">
      <formula>AND(ROUNDDOWN($P3,0)=0,ROUNDDOWN($O3,0)=0)</formula>
    </cfRule>
  </conditionalFormatting>
  <conditionalFormatting sqref="A12:A13">
    <cfRule type="expression" dxfId="0" priority="2">
      <formula>AND(ROUNDDOWN($P12,0)=0,ROUNDDOWN($Q12,0)=0)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8</xdr:col>
                <xdr:colOff>457200</xdr:colOff>
                <xdr:row>6</xdr:row>
                <xdr:rowOff>180975</xdr:rowOff>
              </from>
              <to>
                <xdr:col>11</xdr:col>
                <xdr:colOff>590550</xdr:colOff>
                <xdr:row>10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AB65-D40D-4951-82FC-E7E37CE84FC5}">
  <sheetPr codeName="Лист7">
    <tabColor rgb="FF92D050"/>
  </sheetPr>
  <dimension ref="A1:V102"/>
  <sheetViews>
    <sheetView topLeftCell="E1" workbookViewId="0">
      <selection activeCell="K6" sqref="K6"/>
    </sheetView>
  </sheetViews>
  <sheetFormatPr defaultRowHeight="15" x14ac:dyDescent="0.25"/>
  <cols>
    <col min="1" max="1" width="17.42578125" style="26" bestFit="1" customWidth="1"/>
    <col min="2" max="2" width="11.140625" style="26" bestFit="1" customWidth="1"/>
    <col min="3" max="3" width="13.28515625" style="26" bestFit="1" customWidth="1"/>
    <col min="4" max="4" width="81.140625" style="26" bestFit="1" customWidth="1"/>
    <col min="5" max="5" width="11.140625" style="26" bestFit="1" customWidth="1"/>
    <col min="6" max="6" width="81.140625" style="26" bestFit="1" customWidth="1"/>
    <col min="7" max="7" width="11.140625" style="26" bestFit="1" customWidth="1"/>
    <col min="8" max="8" width="81.140625" style="26" bestFit="1" customWidth="1"/>
    <col min="9" max="9" width="11.140625" style="26" bestFit="1" customWidth="1"/>
    <col min="10" max="22" width="12.140625" style="26" bestFit="1" customWidth="1"/>
    <col min="23" max="16384" width="9.140625" style="26"/>
  </cols>
  <sheetData>
    <row r="1" spans="1:22" x14ac:dyDescent="0.25">
      <c r="A1" s="47" t="s">
        <v>94</v>
      </c>
      <c r="B1" s="47" t="s">
        <v>95</v>
      </c>
      <c r="C1" s="47" t="s">
        <v>96</v>
      </c>
      <c r="D1" s="47" t="s">
        <v>97</v>
      </c>
      <c r="E1" s="47" t="s">
        <v>98</v>
      </c>
      <c r="F1" s="47" t="s">
        <v>99</v>
      </c>
      <c r="G1" s="47" t="s">
        <v>100</v>
      </c>
      <c r="H1" s="47" t="s">
        <v>101</v>
      </c>
      <c r="I1" s="47" t="s">
        <v>102</v>
      </c>
      <c r="J1" s="47" t="s">
        <v>103</v>
      </c>
      <c r="K1" s="47" t="s">
        <v>104</v>
      </c>
      <c r="L1" s="47" t="s">
        <v>105</v>
      </c>
      <c r="M1" s="47" t="s">
        <v>106</v>
      </c>
      <c r="N1" s="47" t="s">
        <v>107</v>
      </c>
      <c r="O1" s="47" t="s">
        <v>108</v>
      </c>
      <c r="P1" s="47" t="s">
        <v>109</v>
      </c>
      <c r="Q1" s="47" t="s">
        <v>110</v>
      </c>
      <c r="R1" s="47" t="s">
        <v>111</v>
      </c>
      <c r="S1" s="47" t="s">
        <v>112</v>
      </c>
      <c r="T1" s="47" t="s">
        <v>113</v>
      </c>
      <c r="U1" s="47" t="s">
        <v>114</v>
      </c>
      <c r="V1" s="47" t="s">
        <v>115</v>
      </c>
    </row>
    <row r="2" spans="1:22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x14ac:dyDescent="0.25">
      <c r="A3" t="s">
        <v>116</v>
      </c>
      <c r="B3" t="s">
        <v>117</v>
      </c>
      <c r="C3" t="s">
        <v>118</v>
      </c>
      <c r="D3" t="s">
        <v>119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x14ac:dyDescent="0.25">
      <c r="A4"/>
      <c r="B4" t="s">
        <v>5</v>
      </c>
      <c r="C4" t="s">
        <v>4</v>
      </c>
      <c r="D4" t="s">
        <v>4</v>
      </c>
      <c r="E4"/>
      <c r="F4"/>
      <c r="G4" t="s">
        <v>92</v>
      </c>
      <c r="H4" t="s">
        <v>92</v>
      </c>
      <c r="I4" t="s">
        <v>4</v>
      </c>
      <c r="J4">
        <v>2</v>
      </c>
      <c r="K4" t="s">
        <v>92</v>
      </c>
      <c r="L4"/>
      <c r="M4"/>
      <c r="N4"/>
      <c r="O4"/>
      <c r="P4"/>
      <c r="Q4"/>
      <c r="R4"/>
      <c r="S4"/>
      <c r="T4"/>
      <c r="U4"/>
      <c r="V4"/>
    </row>
    <row r="5" spans="1:22" x14ac:dyDescent="0.25">
      <c r="A5" t="s">
        <v>53</v>
      </c>
      <c r="B5">
        <v>265421</v>
      </c>
      <c r="C5"/>
      <c r="D5"/>
      <c r="E5"/>
      <c r="F5"/>
      <c r="G5"/>
      <c r="H5"/>
      <c r="I5" t="s">
        <v>120</v>
      </c>
      <c r="J5" t="s">
        <v>120</v>
      </c>
      <c r="K5" t="s">
        <v>120</v>
      </c>
      <c r="L5"/>
      <c r="M5"/>
      <c r="N5"/>
      <c r="O5"/>
      <c r="P5"/>
      <c r="Q5"/>
      <c r="R5"/>
      <c r="S5"/>
      <c r="T5"/>
      <c r="U5"/>
      <c r="V5"/>
    </row>
    <row r="6" spans="1:22" x14ac:dyDescent="0.25">
      <c r="A6" t="s">
        <v>53</v>
      </c>
      <c r="B6">
        <v>171716</v>
      </c>
      <c r="C6">
        <v>9990</v>
      </c>
      <c r="D6" t="s">
        <v>73</v>
      </c>
      <c r="E6"/>
      <c r="F6"/>
      <c r="G6">
        <v>7129</v>
      </c>
      <c r="H6" t="s">
        <v>80</v>
      </c>
      <c r="I6">
        <v>9990</v>
      </c>
      <c r="J6" t="s">
        <v>120</v>
      </c>
      <c r="K6" t="s">
        <v>120</v>
      </c>
      <c r="L6"/>
      <c r="M6"/>
      <c r="N6"/>
      <c r="O6"/>
      <c r="P6"/>
      <c r="Q6"/>
      <c r="R6"/>
      <c r="S6"/>
      <c r="T6"/>
      <c r="U6"/>
      <c r="V6"/>
    </row>
    <row r="7" spans="1:22" x14ac:dyDescent="0.25">
      <c r="A7" t="s">
        <v>53</v>
      </c>
      <c r="B7">
        <v>171715</v>
      </c>
      <c r="C7">
        <v>9690</v>
      </c>
      <c r="D7" t="s">
        <v>91</v>
      </c>
      <c r="E7">
        <v>12705</v>
      </c>
      <c r="F7" t="s">
        <v>90</v>
      </c>
      <c r="G7">
        <v>6916</v>
      </c>
      <c r="H7" t="s">
        <v>81</v>
      </c>
      <c r="I7">
        <v>9690</v>
      </c>
      <c r="J7">
        <v>12705</v>
      </c>
      <c r="K7" t="s">
        <v>120</v>
      </c>
      <c r="L7"/>
      <c r="M7"/>
      <c r="N7"/>
      <c r="O7"/>
      <c r="P7"/>
      <c r="Q7"/>
      <c r="R7"/>
      <c r="S7"/>
      <c r="T7"/>
      <c r="U7"/>
      <c r="V7"/>
    </row>
    <row r="8" spans="1:22" x14ac:dyDescent="0.25">
      <c r="A8" t="s">
        <v>53</v>
      </c>
      <c r="B8">
        <v>171713</v>
      </c>
      <c r="C8">
        <v>13790</v>
      </c>
      <c r="D8" t="s">
        <v>74</v>
      </c>
      <c r="E8">
        <v>11460</v>
      </c>
      <c r="F8" t="s">
        <v>88</v>
      </c>
      <c r="G8">
        <v>7938</v>
      </c>
      <c r="H8" t="s">
        <v>81</v>
      </c>
      <c r="I8">
        <v>13790</v>
      </c>
      <c r="J8">
        <v>12185</v>
      </c>
      <c r="K8" t="s">
        <v>120</v>
      </c>
      <c r="L8"/>
      <c r="M8"/>
      <c r="N8"/>
      <c r="O8"/>
      <c r="P8"/>
      <c r="Q8"/>
      <c r="R8"/>
      <c r="S8"/>
      <c r="T8"/>
      <c r="U8"/>
      <c r="V8"/>
    </row>
    <row r="9" spans="1:22" x14ac:dyDescent="0.25">
      <c r="A9" t="s">
        <v>53</v>
      </c>
      <c r="B9">
        <v>267632</v>
      </c>
      <c r="C9">
        <v>34990</v>
      </c>
      <c r="D9" t="s">
        <v>89</v>
      </c>
      <c r="E9"/>
      <c r="F9"/>
      <c r="G9">
        <v>18230</v>
      </c>
      <c r="H9" t="s">
        <v>87</v>
      </c>
      <c r="I9">
        <v>34990</v>
      </c>
      <c r="J9" t="s">
        <v>120</v>
      </c>
      <c r="K9" t="s">
        <v>120</v>
      </c>
      <c r="L9"/>
      <c r="M9"/>
      <c r="N9"/>
      <c r="O9"/>
      <c r="P9"/>
      <c r="Q9"/>
      <c r="R9"/>
      <c r="S9"/>
      <c r="T9"/>
      <c r="U9"/>
      <c r="V9"/>
    </row>
    <row r="10" spans="1:22" x14ac:dyDescent="0.25">
      <c r="A10" t="s">
        <v>53</v>
      </c>
      <c r="B10">
        <v>158406</v>
      </c>
      <c r="C10">
        <v>50890</v>
      </c>
      <c r="D10" t="s">
        <v>82</v>
      </c>
      <c r="E10"/>
      <c r="F10"/>
      <c r="G10">
        <v>43152</v>
      </c>
      <c r="H10" t="s">
        <v>83</v>
      </c>
      <c r="I10">
        <v>50890</v>
      </c>
      <c r="J10" t="s">
        <v>120</v>
      </c>
      <c r="K10" t="s">
        <v>120</v>
      </c>
      <c r="L10"/>
      <c r="M10"/>
      <c r="N10"/>
      <c r="O10"/>
      <c r="P10"/>
      <c r="Q10"/>
      <c r="R10"/>
      <c r="S10"/>
      <c r="T10"/>
      <c r="U10"/>
      <c r="V10"/>
    </row>
    <row r="11" spans="1:22" x14ac:dyDescent="0.25">
      <c r="A11" t="s">
        <v>53</v>
      </c>
      <c r="B11">
        <v>158407</v>
      </c>
      <c r="C11">
        <v>50890</v>
      </c>
      <c r="D11" t="s">
        <v>82</v>
      </c>
      <c r="E11"/>
      <c r="F11"/>
      <c r="G11">
        <v>43152</v>
      </c>
      <c r="H11" t="s">
        <v>84</v>
      </c>
      <c r="I11">
        <v>50890</v>
      </c>
      <c r="J11" t="s">
        <v>120</v>
      </c>
      <c r="K11" t="s">
        <v>120</v>
      </c>
      <c r="L11"/>
      <c r="M11"/>
      <c r="N11"/>
      <c r="O11"/>
      <c r="P11"/>
      <c r="Q11"/>
      <c r="R11"/>
      <c r="S11"/>
      <c r="T11"/>
      <c r="U11"/>
      <c r="V11"/>
    </row>
    <row r="12" spans="1:22" x14ac:dyDescent="0.25">
      <c r="A12" t="s">
        <v>53</v>
      </c>
      <c r="B12">
        <v>158408</v>
      </c>
      <c r="C12"/>
      <c r="D12"/>
      <c r="E12">
        <v>43000</v>
      </c>
      <c r="F12" t="s">
        <v>85</v>
      </c>
      <c r="G12"/>
      <c r="H12"/>
      <c r="I12" t="s">
        <v>120</v>
      </c>
      <c r="J12" t="s">
        <v>120</v>
      </c>
      <c r="K12" t="s">
        <v>120</v>
      </c>
      <c r="L12"/>
      <c r="M12"/>
      <c r="N12"/>
      <c r="O12"/>
      <c r="P12"/>
      <c r="Q12"/>
      <c r="R12"/>
      <c r="S12"/>
      <c r="T12"/>
      <c r="U12"/>
      <c r="V12"/>
    </row>
    <row r="13" spans="1:22" x14ac:dyDescent="0.25">
      <c r="A13" t="s">
        <v>53</v>
      </c>
      <c r="B13" t="s">
        <v>5</v>
      </c>
      <c r="C13" t="s">
        <v>4</v>
      </c>
      <c r="D13" t="s">
        <v>4</v>
      </c>
      <c r="E13"/>
      <c r="F13"/>
      <c r="G13"/>
      <c r="H13"/>
      <c r="I13" t="s">
        <v>121</v>
      </c>
      <c r="J13" t="s">
        <v>120</v>
      </c>
      <c r="K13" t="s">
        <v>120</v>
      </c>
      <c r="L13"/>
      <c r="M13"/>
      <c r="N13"/>
      <c r="O13"/>
      <c r="P13"/>
      <c r="Q13"/>
      <c r="R13"/>
      <c r="S13"/>
      <c r="T13"/>
      <c r="U13"/>
      <c r="V13"/>
    </row>
    <row r="14" spans="1:22" x14ac:dyDescent="0.25">
      <c r="A14" t="s">
        <v>53</v>
      </c>
      <c r="B14">
        <v>276697</v>
      </c>
      <c r="C14">
        <v>51790</v>
      </c>
      <c r="D14" t="s">
        <v>75</v>
      </c>
      <c r="E14">
        <v>43200</v>
      </c>
      <c r="F14" t="s">
        <v>77</v>
      </c>
      <c r="G14">
        <v>43152</v>
      </c>
      <c r="H14" t="s">
        <v>76</v>
      </c>
      <c r="I14">
        <v>51790</v>
      </c>
      <c r="J14">
        <v>43200</v>
      </c>
      <c r="K14" t="s">
        <v>120</v>
      </c>
      <c r="L14"/>
      <c r="M14"/>
      <c r="N14"/>
      <c r="O14"/>
      <c r="P14"/>
      <c r="Q14"/>
      <c r="R14"/>
      <c r="S14"/>
      <c r="T14"/>
      <c r="U14"/>
      <c r="V14"/>
    </row>
    <row r="15" spans="1:22" x14ac:dyDescent="0.25">
      <c r="A15" t="s">
        <v>53</v>
      </c>
      <c r="B15">
        <v>276698</v>
      </c>
      <c r="C15">
        <v>51790</v>
      </c>
      <c r="D15" t="s">
        <v>75</v>
      </c>
      <c r="E15">
        <v>43000</v>
      </c>
      <c r="F15" t="s">
        <v>78</v>
      </c>
      <c r="G15">
        <v>43152</v>
      </c>
      <c r="H15" t="s">
        <v>79</v>
      </c>
      <c r="I15">
        <v>51790</v>
      </c>
      <c r="J15">
        <v>43000</v>
      </c>
      <c r="K15" t="s">
        <v>120</v>
      </c>
      <c r="L15"/>
      <c r="M15"/>
      <c r="N15"/>
      <c r="O15"/>
      <c r="P15"/>
      <c r="Q15"/>
      <c r="R15"/>
      <c r="S15"/>
      <c r="T15"/>
      <c r="U15"/>
      <c r="V15"/>
    </row>
    <row r="16" spans="1:22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C44064-2C28-4563-B006-5A36F6BE38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User947</dc:creator>
  <cp:lastModifiedBy>Snab TimeTurbo</cp:lastModifiedBy>
  <dcterms:created xsi:type="dcterms:W3CDTF">2015-06-05T18:19:34Z</dcterms:created>
  <dcterms:modified xsi:type="dcterms:W3CDTF">2024-07-23T09:14:58Z</dcterms:modified>
</cp:coreProperties>
</file>