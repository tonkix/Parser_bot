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00000000-0000-0000-0000-0000000000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dmin\tonk1x\TT data\Прайс-листы\"/>
    </mc:Choice>
  </mc:AlternateContent>
  <xr:revisionPtr revIDLastSave="0" documentId="13_ncr:1_{5FF33051-254E-43F9-A7C9-F5BDB2CEA965}" xr6:coauthVersionLast="47" xr6:coauthVersionMax="47" xr10:uidLastSave="{00000000-0000-0000-0000-000000000000}"/>
  <bookViews>
    <workbookView xWindow="28680" yWindow="-120" windowWidth="29040" windowHeight="15990" xr2:uid="{00000000-000D-0000-FFFF-FFFF00000000}"/>
  </bookViews>
  <sheets>
    <sheet name="Кат" sheetId="2" r:id="rId1"/>
    <sheet name="Торг" sheetId="3" r:id="rId2"/>
    <sheet name="Наценка" sheetId="10" r:id="rId3"/>
    <sheet name="Выгр Кат" sheetId="9" r:id="rId4"/>
    <sheet name="Выгр Торг" sheetId="8" r:id="rId5"/>
    <sheet name="Ссылки" sheetId="11" r:id="rId6"/>
    <sheet name="Из ГУГЛа" sheetId="12" r:id="rId7"/>
  </sheets>
  <definedNames>
    <definedName name="_xlnm._FilterDatabase" localSheetId="3" hidden="1">'Выгр Кат'!$A$1:$O$40</definedName>
    <definedName name="_xlnm._FilterDatabase" localSheetId="4" hidden="1">'Выгр Торг'!$A$1:$Q$1</definedName>
    <definedName name="_xlnm._FilterDatabase" localSheetId="0" hidden="1">Кат!$A$2:$AA$41</definedName>
    <definedName name="_xlnm._FilterDatabase" localSheetId="1" hidden="1">Торг!$A$2:$Y$2</definedName>
    <definedName name="ExternalData_1" localSheetId="6" hidden="1">'Из ГУГЛа'!$A$1:$R$102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7" i="2" l="1"/>
  <c r="K28" i="2"/>
  <c r="K8" i="2"/>
  <c r="K22" i="2"/>
  <c r="K26" i="2"/>
  <c r="K29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3" i="2"/>
  <c r="B41" i="2"/>
  <c r="C41" i="2"/>
  <c r="D41" i="2"/>
  <c r="F41" i="2"/>
  <c r="J41" i="2"/>
  <c r="K41" i="2" s="1"/>
  <c r="L41" i="2" s="1"/>
  <c r="M41" i="2"/>
  <c r="O41" i="2" s="1"/>
  <c r="N41" i="2"/>
  <c r="W41" i="2"/>
  <c r="O40" i="9"/>
  <c r="N40" i="9"/>
  <c r="E40" i="2" s="1"/>
  <c r="O39" i="9"/>
  <c r="N39" i="9"/>
  <c r="E39" i="2" s="1"/>
  <c r="O38" i="9"/>
  <c r="N38" i="9"/>
  <c r="K7" i="2"/>
  <c r="K18" i="2"/>
  <c r="K17" i="2"/>
  <c r="K15" i="2"/>
  <c r="K12" i="2"/>
  <c r="K11" i="2"/>
  <c r="K10" i="2"/>
  <c r="K6" i="2"/>
  <c r="K5" i="2"/>
  <c r="K24" i="2"/>
  <c r="K25" i="2"/>
  <c r="K32" i="2"/>
  <c r="K33" i="2"/>
  <c r="K36" i="2"/>
  <c r="K37" i="2"/>
  <c r="K38" i="2"/>
  <c r="K39" i="2"/>
  <c r="K45" i="2"/>
  <c r="K53" i="2"/>
  <c r="K52" i="2"/>
  <c r="K51" i="2"/>
  <c r="K50" i="2"/>
  <c r="K49" i="2"/>
  <c r="K48" i="2"/>
  <c r="K47" i="2"/>
  <c r="K46" i="2"/>
  <c r="X3" i="2"/>
  <c r="W25" i="2"/>
  <c r="N25" i="2"/>
  <c r="M25" i="2"/>
  <c r="O25" i="2" s="1"/>
  <c r="J25" i="2"/>
  <c r="F25" i="2"/>
  <c r="D25" i="2"/>
  <c r="C25" i="2"/>
  <c r="B25" i="2"/>
  <c r="X18" i="2"/>
  <c r="W18" i="2" s="1"/>
  <c r="N18" i="2"/>
  <c r="M18" i="2"/>
  <c r="O18" i="2" s="1"/>
  <c r="J18" i="2"/>
  <c r="F18" i="2"/>
  <c r="D18" i="2"/>
  <c r="C18" i="2"/>
  <c r="B18" i="2"/>
  <c r="X17" i="2"/>
  <c r="I1" i="3"/>
  <c r="C4" i="3"/>
  <c r="D4" i="3"/>
  <c r="E4" i="3"/>
  <c r="G4" i="3"/>
  <c r="K4" i="3"/>
  <c r="L4" i="3" s="1"/>
  <c r="M4" i="3" s="1"/>
  <c r="N4" i="3"/>
  <c r="P4" i="3" s="1"/>
  <c r="O4" i="3"/>
  <c r="S4" i="3"/>
  <c r="X4" i="3"/>
  <c r="A4" i="3"/>
  <c r="H1" i="2"/>
  <c r="N40" i="2"/>
  <c r="M40" i="2"/>
  <c r="N39" i="2"/>
  <c r="M39" i="2"/>
  <c r="O39" i="2" s="1"/>
  <c r="N38" i="2"/>
  <c r="M38" i="2"/>
  <c r="O38" i="2" s="1"/>
  <c r="N37" i="2"/>
  <c r="M37" i="2"/>
  <c r="O37" i="2" s="1"/>
  <c r="N36" i="2"/>
  <c r="M36" i="2"/>
  <c r="O36" i="2" s="1"/>
  <c r="N35" i="2"/>
  <c r="M35" i="2"/>
  <c r="O35" i="2" s="1"/>
  <c r="N34" i="2"/>
  <c r="M34" i="2"/>
  <c r="N33" i="2"/>
  <c r="M33" i="2"/>
  <c r="O33" i="2" s="1"/>
  <c r="N32" i="2"/>
  <c r="M32" i="2"/>
  <c r="O32" i="2" s="1"/>
  <c r="N31" i="2"/>
  <c r="M31" i="2"/>
  <c r="O31" i="2" s="1"/>
  <c r="N30" i="2"/>
  <c r="M30" i="2"/>
  <c r="O30" i="2" s="1"/>
  <c r="N29" i="2"/>
  <c r="M29" i="2"/>
  <c r="O29" i="2" s="1"/>
  <c r="N28" i="2"/>
  <c r="M28" i="2"/>
  <c r="N27" i="2"/>
  <c r="M27" i="2"/>
  <c r="O27" i="2" s="1"/>
  <c r="N26" i="2"/>
  <c r="M26" i="2"/>
  <c r="O26" i="2" s="1"/>
  <c r="N24" i="2"/>
  <c r="M24" i="2"/>
  <c r="O24" i="2" s="1"/>
  <c r="N23" i="2"/>
  <c r="M23" i="2"/>
  <c r="O23" i="2" s="1"/>
  <c r="N22" i="2"/>
  <c r="M22" i="2"/>
  <c r="O22" i="2" s="1"/>
  <c r="N21" i="2"/>
  <c r="M21" i="2"/>
  <c r="N20" i="2"/>
  <c r="M20" i="2"/>
  <c r="O20" i="2" s="1"/>
  <c r="N19" i="2"/>
  <c r="M19" i="2"/>
  <c r="O19" i="2" s="1"/>
  <c r="N17" i="2"/>
  <c r="M17" i="2"/>
  <c r="O17" i="2" s="1"/>
  <c r="N16" i="2"/>
  <c r="M16" i="2"/>
  <c r="O16" i="2" s="1"/>
  <c r="N15" i="2"/>
  <c r="M15" i="2"/>
  <c r="O15" i="2" s="1"/>
  <c r="N14" i="2"/>
  <c r="M14" i="2"/>
  <c r="N13" i="2"/>
  <c r="M13" i="2"/>
  <c r="O13" i="2" s="1"/>
  <c r="N12" i="2"/>
  <c r="M12" i="2"/>
  <c r="O12" i="2" s="1"/>
  <c r="N11" i="2"/>
  <c r="M11" i="2"/>
  <c r="O11" i="2" s="1"/>
  <c r="N10" i="2"/>
  <c r="M10" i="2"/>
  <c r="O10" i="2" s="1"/>
  <c r="N9" i="2"/>
  <c r="M9" i="2"/>
  <c r="O9" i="2" s="1"/>
  <c r="N8" i="2"/>
  <c r="M8" i="2"/>
  <c r="N7" i="2"/>
  <c r="M7" i="2"/>
  <c r="O7" i="2" s="1"/>
  <c r="N6" i="2"/>
  <c r="M6" i="2"/>
  <c r="O6" i="2" s="1"/>
  <c r="N5" i="2"/>
  <c r="M5" i="2"/>
  <c r="O5" i="2" s="1"/>
  <c r="N4" i="2"/>
  <c r="M4" i="2"/>
  <c r="O4" i="2" s="1"/>
  <c r="N3" i="2"/>
  <c r="M3" i="2"/>
  <c r="B4" i="2"/>
  <c r="C4" i="2"/>
  <c r="D4" i="2"/>
  <c r="F4" i="2"/>
  <c r="B5" i="2"/>
  <c r="C5" i="2"/>
  <c r="D5" i="2"/>
  <c r="F5" i="2"/>
  <c r="B6" i="2"/>
  <c r="C6" i="2"/>
  <c r="D6" i="2"/>
  <c r="F6" i="2"/>
  <c r="B7" i="2"/>
  <c r="C7" i="2"/>
  <c r="D7" i="2"/>
  <c r="F7" i="2"/>
  <c r="B8" i="2"/>
  <c r="C8" i="2"/>
  <c r="D8" i="2"/>
  <c r="F8" i="2"/>
  <c r="B9" i="2"/>
  <c r="C9" i="2"/>
  <c r="D9" i="2"/>
  <c r="F9" i="2"/>
  <c r="B10" i="2"/>
  <c r="C10" i="2"/>
  <c r="D10" i="2"/>
  <c r="F10" i="2"/>
  <c r="B11" i="2"/>
  <c r="C11" i="2"/>
  <c r="D11" i="2"/>
  <c r="F11" i="2"/>
  <c r="B12" i="2"/>
  <c r="C12" i="2"/>
  <c r="D12" i="2"/>
  <c r="F12" i="2"/>
  <c r="B13" i="2"/>
  <c r="C13" i="2"/>
  <c r="D13" i="2"/>
  <c r="F13" i="2"/>
  <c r="B14" i="2"/>
  <c r="C14" i="2"/>
  <c r="D14" i="2"/>
  <c r="F14" i="2"/>
  <c r="B15" i="2"/>
  <c r="C15" i="2"/>
  <c r="D15" i="2"/>
  <c r="F15" i="2"/>
  <c r="B16" i="2"/>
  <c r="C16" i="2"/>
  <c r="D16" i="2"/>
  <c r="F16" i="2"/>
  <c r="B17" i="2"/>
  <c r="C17" i="2"/>
  <c r="D17" i="2"/>
  <c r="F17" i="2"/>
  <c r="B19" i="2"/>
  <c r="C19" i="2"/>
  <c r="D19" i="2"/>
  <c r="F19" i="2"/>
  <c r="B20" i="2"/>
  <c r="C20" i="2"/>
  <c r="D20" i="2"/>
  <c r="F20" i="2"/>
  <c r="B21" i="2"/>
  <c r="C21" i="2"/>
  <c r="D21" i="2"/>
  <c r="F21" i="2"/>
  <c r="B22" i="2"/>
  <c r="C22" i="2"/>
  <c r="D22" i="2"/>
  <c r="F22" i="2"/>
  <c r="B23" i="2"/>
  <c r="C23" i="2"/>
  <c r="D23" i="2"/>
  <c r="F23" i="2"/>
  <c r="B24" i="2"/>
  <c r="C24" i="2"/>
  <c r="D24" i="2"/>
  <c r="F24" i="2"/>
  <c r="B26" i="2"/>
  <c r="C26" i="2"/>
  <c r="D26" i="2"/>
  <c r="F26" i="2"/>
  <c r="B27" i="2"/>
  <c r="C27" i="2"/>
  <c r="D27" i="2"/>
  <c r="F27" i="2"/>
  <c r="B28" i="2"/>
  <c r="C28" i="2"/>
  <c r="D28" i="2"/>
  <c r="F28" i="2"/>
  <c r="B29" i="2"/>
  <c r="C29" i="2"/>
  <c r="D29" i="2"/>
  <c r="F29" i="2"/>
  <c r="B30" i="2"/>
  <c r="C30" i="2"/>
  <c r="D30" i="2"/>
  <c r="F30" i="2"/>
  <c r="B31" i="2"/>
  <c r="C31" i="2"/>
  <c r="D31" i="2"/>
  <c r="F31" i="2"/>
  <c r="B32" i="2"/>
  <c r="C32" i="2"/>
  <c r="D32" i="2"/>
  <c r="F32" i="2"/>
  <c r="B33" i="2"/>
  <c r="C33" i="2"/>
  <c r="D33" i="2"/>
  <c r="F33" i="2"/>
  <c r="B34" i="2"/>
  <c r="C34" i="2"/>
  <c r="D34" i="2"/>
  <c r="F34" i="2"/>
  <c r="B35" i="2"/>
  <c r="C35" i="2"/>
  <c r="D35" i="2"/>
  <c r="F35" i="2"/>
  <c r="B36" i="2"/>
  <c r="C36" i="2"/>
  <c r="D36" i="2"/>
  <c r="F36" i="2"/>
  <c r="B37" i="2"/>
  <c r="C37" i="2"/>
  <c r="D37" i="2"/>
  <c r="F37" i="2"/>
  <c r="B38" i="2"/>
  <c r="C38" i="2"/>
  <c r="D38" i="2"/>
  <c r="E38" i="2"/>
  <c r="F38" i="2"/>
  <c r="B39" i="2"/>
  <c r="C39" i="2"/>
  <c r="D39" i="2"/>
  <c r="F39" i="2"/>
  <c r="B40" i="2"/>
  <c r="C40" i="2"/>
  <c r="D40" i="2"/>
  <c r="F40" i="2"/>
  <c r="F3" i="2"/>
  <c r="D3" i="2"/>
  <c r="B3" i="2"/>
  <c r="J4" i="2"/>
  <c r="K4" i="2" s="1"/>
  <c r="L4" i="2" s="1"/>
  <c r="W4" i="2"/>
  <c r="J5" i="2"/>
  <c r="L5" i="2" s="1"/>
  <c r="W5" i="2"/>
  <c r="J6" i="2"/>
  <c r="L6" i="2" s="1"/>
  <c r="W6" i="2"/>
  <c r="J7" i="2"/>
  <c r="W7" i="2"/>
  <c r="J8" i="2"/>
  <c r="O8" i="2"/>
  <c r="W8" i="2"/>
  <c r="J9" i="2"/>
  <c r="K9" i="2" s="1"/>
  <c r="L9" i="2" s="1"/>
  <c r="W9" i="2"/>
  <c r="J10" i="2"/>
  <c r="W10" i="2"/>
  <c r="J11" i="2"/>
  <c r="W11" i="2"/>
  <c r="J12" i="2"/>
  <c r="L12" i="2" s="1"/>
  <c r="W12" i="2"/>
  <c r="J13" i="2"/>
  <c r="K13" i="2" s="1"/>
  <c r="L13" i="2" s="1"/>
  <c r="W13" i="2"/>
  <c r="J14" i="2"/>
  <c r="K14" i="2" s="1"/>
  <c r="L14" i="2" s="1"/>
  <c r="O14" i="2"/>
  <c r="W14" i="2"/>
  <c r="J15" i="2"/>
  <c r="W15" i="2"/>
  <c r="J16" i="2"/>
  <c r="K16" i="2" s="1"/>
  <c r="L16" i="2" s="1"/>
  <c r="W16" i="2"/>
  <c r="J17" i="2"/>
  <c r="W17" i="2"/>
  <c r="J19" i="2"/>
  <c r="K19" i="2" s="1"/>
  <c r="L19" i="2" s="1"/>
  <c r="W19" i="2"/>
  <c r="J20" i="2"/>
  <c r="K20" i="2" s="1"/>
  <c r="L20" i="2" s="1"/>
  <c r="W20" i="2"/>
  <c r="J21" i="2"/>
  <c r="K21" i="2" s="1"/>
  <c r="L21" i="2" s="1"/>
  <c r="O21" i="2"/>
  <c r="W21" i="2"/>
  <c r="J22" i="2"/>
  <c r="L22" i="2" s="1"/>
  <c r="Q22" i="2" s="1"/>
  <c r="W22" i="2"/>
  <c r="J23" i="2"/>
  <c r="K23" i="2" s="1"/>
  <c r="L23" i="2" s="1"/>
  <c r="W23" i="2"/>
  <c r="J24" i="2"/>
  <c r="W24" i="2"/>
  <c r="J26" i="2"/>
  <c r="L26" i="2" s="1"/>
  <c r="W26" i="2"/>
  <c r="J27" i="2"/>
  <c r="L27" i="2" s="1"/>
  <c r="W27" i="2"/>
  <c r="J28" i="2"/>
  <c r="L28" i="2" s="1"/>
  <c r="O28" i="2"/>
  <c r="W28" i="2"/>
  <c r="J29" i="2"/>
  <c r="L29" i="2" s="1"/>
  <c r="W29" i="2"/>
  <c r="J30" i="2"/>
  <c r="K30" i="2" s="1"/>
  <c r="L30" i="2" s="1"/>
  <c r="W30" i="2"/>
  <c r="J31" i="2"/>
  <c r="K31" i="2" s="1"/>
  <c r="L31" i="2" s="1"/>
  <c r="W31" i="2"/>
  <c r="J32" i="2"/>
  <c r="W32" i="2"/>
  <c r="J33" i="2"/>
  <c r="W33" i="2"/>
  <c r="J34" i="2"/>
  <c r="K34" i="2" s="1"/>
  <c r="L34" i="2" s="1"/>
  <c r="O34" i="2"/>
  <c r="W34" i="2"/>
  <c r="J35" i="2"/>
  <c r="K35" i="2" s="1"/>
  <c r="L35" i="2" s="1"/>
  <c r="Q35" i="2" s="1"/>
  <c r="W35" i="2"/>
  <c r="J36" i="2"/>
  <c r="L36" i="2" s="1"/>
  <c r="W36" i="2"/>
  <c r="J37" i="2"/>
  <c r="W37" i="2"/>
  <c r="J38" i="2"/>
  <c r="W38" i="2"/>
  <c r="J39" i="2"/>
  <c r="L39" i="2" s="1"/>
  <c r="W39" i="2"/>
  <c r="J40" i="2"/>
  <c r="K40" i="2" s="1"/>
  <c r="L40" i="2" s="1"/>
  <c r="O40" i="2"/>
  <c r="W40" i="2"/>
  <c r="O37" i="9"/>
  <c r="N37" i="9"/>
  <c r="O36" i="9"/>
  <c r="N36" i="9"/>
  <c r="O35" i="9"/>
  <c r="N35" i="9"/>
  <c r="O34" i="9"/>
  <c r="N34" i="9"/>
  <c r="O33" i="9"/>
  <c r="N33" i="9"/>
  <c r="E34" i="2" s="1"/>
  <c r="O32" i="9"/>
  <c r="N32" i="9"/>
  <c r="O31" i="9"/>
  <c r="N31" i="9"/>
  <c r="E32" i="2" s="1"/>
  <c r="O30" i="9"/>
  <c r="N30" i="9"/>
  <c r="O29" i="9"/>
  <c r="N29" i="9"/>
  <c r="E30" i="2" s="1"/>
  <c r="O28" i="9"/>
  <c r="N28" i="9"/>
  <c r="O27" i="9"/>
  <c r="N27" i="9"/>
  <c r="E25" i="2" s="1"/>
  <c r="O26" i="9"/>
  <c r="N26" i="9"/>
  <c r="O25" i="9"/>
  <c r="N25" i="9"/>
  <c r="E26" i="2" s="1"/>
  <c r="O24" i="9"/>
  <c r="N24" i="9"/>
  <c r="O23" i="9"/>
  <c r="N23" i="9"/>
  <c r="E24" i="2" s="1"/>
  <c r="O22" i="9"/>
  <c r="N22" i="9"/>
  <c r="O21" i="9"/>
  <c r="N21" i="9"/>
  <c r="E22" i="2" s="1"/>
  <c r="O20" i="9"/>
  <c r="N20" i="9"/>
  <c r="E20" i="2" s="1"/>
  <c r="O19" i="9"/>
  <c r="N19" i="9"/>
  <c r="O18" i="9"/>
  <c r="N18" i="9"/>
  <c r="O17" i="9"/>
  <c r="N17" i="9"/>
  <c r="O16" i="9"/>
  <c r="N16" i="9"/>
  <c r="O15" i="9"/>
  <c r="N15" i="9"/>
  <c r="E16" i="2" s="1"/>
  <c r="O14" i="9"/>
  <c r="N14" i="9"/>
  <c r="O13" i="9"/>
  <c r="N13" i="9"/>
  <c r="O12" i="9"/>
  <c r="N12" i="9"/>
  <c r="O11" i="9"/>
  <c r="N11" i="9"/>
  <c r="O10" i="9"/>
  <c r="N10" i="9"/>
  <c r="O9" i="9"/>
  <c r="N9" i="9"/>
  <c r="E10" i="2" s="1"/>
  <c r="O8" i="9"/>
  <c r="N8" i="9"/>
  <c r="E41" i="2" s="1"/>
  <c r="O7" i="9"/>
  <c r="N7" i="9"/>
  <c r="E8" i="2" s="1"/>
  <c r="O6" i="9"/>
  <c r="N6" i="9"/>
  <c r="E7" i="2" s="1"/>
  <c r="O5" i="9"/>
  <c r="N5" i="9"/>
  <c r="E6" i="2" s="1"/>
  <c r="O4" i="9"/>
  <c r="N4" i="9"/>
  <c r="E5" i="2" s="1"/>
  <c r="O3" i="9"/>
  <c r="N3" i="9"/>
  <c r="E4" i="2" s="1"/>
  <c r="Q3" i="8"/>
  <c r="P3" i="8"/>
  <c r="F4" i="3" s="1"/>
  <c r="J3" i="2"/>
  <c r="A3" i="3"/>
  <c r="K3" i="3"/>
  <c r="S3" i="3"/>
  <c r="O3" i="3"/>
  <c r="N3" i="3"/>
  <c r="G3" i="3"/>
  <c r="E3" i="3"/>
  <c r="C3" i="3"/>
  <c r="D3" i="3"/>
  <c r="C3" i="2"/>
  <c r="Q2" i="8"/>
  <c r="O2" i="9"/>
  <c r="J4" i="10"/>
  <c r="L17" i="2" l="1"/>
  <c r="L33" i="2"/>
  <c r="L18" i="2"/>
  <c r="Q18" i="2" s="1"/>
  <c r="L24" i="2"/>
  <c r="L8" i="2"/>
  <c r="P8" i="2" s="1"/>
  <c r="L15" i="2"/>
  <c r="Q15" i="2" s="1"/>
  <c r="L32" i="2"/>
  <c r="L10" i="2"/>
  <c r="Q10" i="2" s="1"/>
  <c r="L25" i="2"/>
  <c r="Q25" i="2" s="1"/>
  <c r="U25" i="2" s="1"/>
  <c r="L37" i="2"/>
  <c r="P37" i="2" s="1"/>
  <c r="L11" i="2"/>
  <c r="Q11" i="2" s="1"/>
  <c r="Q41" i="2"/>
  <c r="P41" i="2"/>
  <c r="P14" i="2"/>
  <c r="E35" i="2"/>
  <c r="E9" i="2"/>
  <c r="E15" i="2"/>
  <c r="E21" i="2"/>
  <c r="E13" i="2"/>
  <c r="E19" i="2"/>
  <c r="E31" i="2"/>
  <c r="E28" i="2"/>
  <c r="E12" i="2"/>
  <c r="E33" i="2"/>
  <c r="E14" i="2"/>
  <c r="E27" i="2"/>
  <c r="E11" i="2"/>
  <c r="E17" i="2"/>
  <c r="E23" i="2"/>
  <c r="E29" i="2"/>
  <c r="E36" i="2"/>
  <c r="E18" i="2"/>
  <c r="E37" i="2"/>
  <c r="L7" i="2"/>
  <c r="P7" i="2" s="1"/>
  <c r="L38" i="2"/>
  <c r="Q38" i="2" s="1"/>
  <c r="P25" i="2"/>
  <c r="P18" i="2"/>
  <c r="V18" i="2"/>
  <c r="U18" i="2"/>
  <c r="P27" i="2"/>
  <c r="P39" i="2"/>
  <c r="P13" i="2"/>
  <c r="Q28" i="2"/>
  <c r="U28" i="2" s="1"/>
  <c r="P28" i="2"/>
  <c r="Q40" i="2"/>
  <c r="U40" i="2" s="1"/>
  <c r="P40" i="2"/>
  <c r="P15" i="2"/>
  <c r="P22" i="2"/>
  <c r="P35" i="2"/>
  <c r="R4" i="3"/>
  <c r="Q4" i="3"/>
  <c r="P9" i="2"/>
  <c r="P6" i="2"/>
  <c r="Q6" i="2"/>
  <c r="Q12" i="2"/>
  <c r="P12" i="2"/>
  <c r="P21" i="2"/>
  <c r="Q21" i="2"/>
  <c r="P19" i="2"/>
  <c r="Q19" i="2"/>
  <c r="P34" i="2"/>
  <c r="Q34" i="2"/>
  <c r="P5" i="2"/>
  <c r="Q5" i="2"/>
  <c r="P32" i="2"/>
  <c r="Q32" i="2"/>
  <c r="P29" i="2"/>
  <c r="Q29" i="2"/>
  <c r="P17" i="2"/>
  <c r="Q17" i="2"/>
  <c r="U35" i="2"/>
  <c r="V35" i="2"/>
  <c r="Q23" i="2"/>
  <c r="P23" i="2"/>
  <c r="V15" i="2"/>
  <c r="U15" i="2"/>
  <c r="P24" i="2"/>
  <c r="Q24" i="2"/>
  <c r="Q26" i="2"/>
  <c r="P26" i="2"/>
  <c r="U22" i="2"/>
  <c r="V22" i="2"/>
  <c r="Q36" i="2"/>
  <c r="P36" i="2"/>
  <c r="P31" i="2"/>
  <c r="Q31" i="2"/>
  <c r="P4" i="2"/>
  <c r="Q4" i="2"/>
  <c r="P30" i="2"/>
  <c r="Q30" i="2"/>
  <c r="P20" i="2"/>
  <c r="Q20" i="2"/>
  <c r="P33" i="2"/>
  <c r="Q33" i="2"/>
  <c r="P16" i="2"/>
  <c r="Q16" i="2"/>
  <c r="Q39" i="2"/>
  <c r="Q27" i="2"/>
  <c r="Q13" i="2"/>
  <c r="Q14" i="2"/>
  <c r="Q9" i="2"/>
  <c r="W3" i="2"/>
  <c r="O3" i="2"/>
  <c r="Q8" i="2" l="1"/>
  <c r="P11" i="2"/>
  <c r="P10" i="2"/>
  <c r="V25" i="2"/>
  <c r="Q37" i="2"/>
  <c r="U41" i="2"/>
  <c r="V41" i="2"/>
  <c r="Q7" i="2"/>
  <c r="U7" i="2" s="1"/>
  <c r="P38" i="2"/>
  <c r="V28" i="2"/>
  <c r="V40" i="2"/>
  <c r="V4" i="3"/>
  <c r="W4" i="3"/>
  <c r="U11" i="2"/>
  <c r="V11" i="2"/>
  <c r="U31" i="2"/>
  <c r="V31" i="2"/>
  <c r="U17" i="2"/>
  <c r="V17" i="2"/>
  <c r="U34" i="2"/>
  <c r="V34" i="2"/>
  <c r="U24" i="2"/>
  <c r="V24" i="2"/>
  <c r="U29" i="2"/>
  <c r="V29" i="2"/>
  <c r="U19" i="2"/>
  <c r="V19" i="2"/>
  <c r="U16" i="2"/>
  <c r="V16" i="2"/>
  <c r="U33" i="2"/>
  <c r="V33" i="2"/>
  <c r="U36" i="2"/>
  <c r="V36" i="2"/>
  <c r="U37" i="2"/>
  <c r="V37" i="2"/>
  <c r="U32" i="2"/>
  <c r="V32" i="2"/>
  <c r="U21" i="2"/>
  <c r="V21" i="2"/>
  <c r="U20" i="2"/>
  <c r="V20" i="2"/>
  <c r="U9" i="2"/>
  <c r="V9" i="2"/>
  <c r="U4" i="2"/>
  <c r="V4" i="2"/>
  <c r="U14" i="2"/>
  <c r="V14" i="2"/>
  <c r="V38" i="2"/>
  <c r="U38" i="2"/>
  <c r="U5" i="2"/>
  <c r="V5" i="2"/>
  <c r="V13" i="2"/>
  <c r="U13" i="2"/>
  <c r="U23" i="2"/>
  <c r="V23" i="2"/>
  <c r="U12" i="2"/>
  <c r="V12" i="2"/>
  <c r="U10" i="2"/>
  <c r="V10" i="2"/>
  <c r="U30" i="2"/>
  <c r="V30" i="2"/>
  <c r="U8" i="2"/>
  <c r="V8" i="2"/>
  <c r="U6" i="2"/>
  <c r="V6" i="2"/>
  <c r="V27" i="2"/>
  <c r="U27" i="2"/>
  <c r="V39" i="2"/>
  <c r="U39" i="2"/>
  <c r="V26" i="2"/>
  <c r="U26" i="2"/>
  <c r="P2" i="8"/>
  <c r="F3" i="3" s="1"/>
  <c r="N2" i="9"/>
  <c r="E3" i="2" s="1"/>
  <c r="V7" i="2" l="1"/>
  <c r="K3" i="2"/>
  <c r="L3" i="2" s="1"/>
  <c r="L3" i="3"/>
  <c r="M3" i="3" s="1"/>
  <c r="Q3" i="3" l="1"/>
  <c r="R3" i="3"/>
  <c r="P3" i="2"/>
  <c r="Q3" i="2"/>
  <c r="X3" i="3"/>
  <c r="X1" i="3" s="1"/>
  <c r="V3" i="3"/>
  <c r="V1" i="3" s="1"/>
  <c r="P3" i="3"/>
  <c r="W1" i="2"/>
  <c r="U3" i="2" l="1"/>
  <c r="U1" i="2" s="1"/>
  <c r="V3" i="2"/>
  <c r="V1" i="2" s="1"/>
  <c r="W3" i="3"/>
  <c r="W1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296B1F-2690-4C09-9ED8-2056711B23E9}" keepAlive="1" name="Запрос — МЛавто" description="Соединение с запросом &quot;МЛавто&quot; в книге." type="5" refreshedVersion="7" background="1" saveData="1">
    <dbPr connection="Provider=Microsoft.Mashup.OleDb.1;Data Source=$Workbook$;Location=МЛавто;Extended Properties=&quot;&quot;" command="SELECT * FROM [МЛавто]"/>
  </connection>
</connections>
</file>

<file path=xl/sharedStrings.xml><?xml version="1.0" encoding="utf-8"?>
<sst xmlns="http://schemas.openxmlformats.org/spreadsheetml/2006/main" count="562" uniqueCount="174">
  <si>
    <t>Розница</t>
  </si>
  <si>
    <t>Факт</t>
  </si>
  <si>
    <t>%</t>
  </si>
  <si>
    <t>Рек</t>
  </si>
  <si>
    <t>MR</t>
  </si>
  <si>
    <t>Из ГУГЛа</t>
  </si>
  <si>
    <t>Коэф.</t>
  </si>
  <si>
    <t>ID</t>
  </si>
  <si>
    <t>Наименование</t>
  </si>
  <si>
    <t>Артикул</t>
  </si>
  <si>
    <t>Поставщик</t>
  </si>
  <si>
    <t>Закуп</t>
  </si>
  <si>
    <t>Ст З</t>
  </si>
  <si>
    <t>Ст Р</t>
  </si>
  <si>
    <t>Разн</t>
  </si>
  <si>
    <t>1</t>
  </si>
  <si>
    <t>Наименование элемента</t>
  </si>
  <si>
    <t>Код</t>
  </si>
  <si>
    <t>Элемент</t>
  </si>
  <si>
    <t>Кат. Номер</t>
  </si>
  <si>
    <t>Доп.</t>
  </si>
  <si>
    <t>Y / N</t>
  </si>
  <si>
    <t>Каталожный номер</t>
  </si>
  <si>
    <t>Артикул поставщика</t>
  </si>
  <si>
    <t>Ссылка на конкурентов</t>
  </si>
  <si>
    <t>Кол-во</t>
  </si>
  <si>
    <t>Склад</t>
  </si>
  <si>
    <t>Под заказ</t>
  </si>
  <si>
    <t>Элемент каталога</t>
  </si>
  <si>
    <t>Код товара</t>
  </si>
  <si>
    <t>Ссылка</t>
  </si>
  <si>
    <t>Ряд</t>
  </si>
  <si>
    <t>РЦ</t>
  </si>
  <si>
    <t>Цвет</t>
  </si>
  <si>
    <t>Мат</t>
  </si>
  <si>
    <t>Лак</t>
  </si>
  <si>
    <t>Капот</t>
  </si>
  <si>
    <t>Бампер</t>
  </si>
  <si>
    <t>Крылья</t>
  </si>
  <si>
    <t>НБ</t>
  </si>
  <si>
    <t>Пороги</t>
  </si>
  <si>
    <t>Спойлер</t>
  </si>
  <si>
    <t>Воздухозаборник</t>
  </si>
  <si>
    <t>Багаж08/21</t>
  </si>
  <si>
    <t>Багаж</t>
  </si>
  <si>
    <t>Лип</t>
  </si>
  <si>
    <t>Капот цвет</t>
  </si>
  <si>
    <t>Арки</t>
  </si>
  <si>
    <t>зеркала</t>
  </si>
  <si>
    <t>реснички</t>
  </si>
  <si>
    <t>решетка</t>
  </si>
  <si>
    <t>жабо</t>
  </si>
  <si>
    <t>молдинги</t>
  </si>
  <si>
    <t>НЗФ</t>
  </si>
  <si>
    <t>Блок-фара "СЕВиЕМ" правая (стеклянный рассеиватель) для Лада Калина</t>
  </si>
  <si>
    <t>Y</t>
  </si>
  <si>
    <t>51180-3711010-35</t>
  </si>
  <si>
    <t>МЛавто</t>
  </si>
  <si>
    <t>Диодные LED ПТФ (5 линз) для Лада Приора 2</t>
  </si>
  <si>
    <t>Корпус фары (левый) для Лада Приора, Приора 2</t>
  </si>
  <si>
    <t>Корпус фары (правый) для Лада Приора, Приора 2</t>
  </si>
  <si>
    <t>Маски передних фар "ML Auto Light Technology" диодные для Лада Гранта FL</t>
  </si>
  <si>
    <t>8450006962</t>
  </si>
  <si>
    <t>https://motorring.ru/product/40800-diodnaya-maska-perednih-far-dlya-lada-granta-fl</t>
  </si>
  <si>
    <t>Ободок фары (хром) для Лада Нива 4х4</t>
  </si>
  <si>
    <t>2121-3711020</t>
  </si>
  <si>
    <t>0</t>
  </si>
  <si>
    <t>Плафон освещения салона "ОСВАР" (квадратный, с рамкой) для ВАЗ 2105-2107</t>
  </si>
  <si>
    <t>21050371401000</t>
  </si>
  <si>
    <t>Плафон освещения салона (задний, чёрный) без рамки для Лада Приора (комплектация Люкс)</t>
  </si>
  <si>
    <t>2170-3714010-01</t>
  </si>
  <si>
    <t>Плафон освещения салона (передний, чёрный) без рамки для Лада Приора (комплектация Люкс)</t>
  </si>
  <si>
    <t>2170371401010</t>
  </si>
  <si>
    <t>https://motorring.ru/product/37142-tonirovanniy-peredniy-plafon-podsvetki-salona-lyuks-lada-priora</t>
  </si>
  <si>
    <t>Плафон освещения салона (светодиодный, черный) для ВАЗ 2108-21099, 2110-2112, 2113-2115</t>
  </si>
  <si>
    <t>21083714010</t>
  </si>
  <si>
    <t>https://motorring.ru/product/39265-plafon-osvescheniya-salona-cherniy-vaz-2108-21099-2110-2112</t>
  </si>
  <si>
    <t>Поворотники в стиле "BMW E36" черные, под оптику "BOSCH" для ВАЗ 2113-2115</t>
  </si>
  <si>
    <t>Повторители оранжевые под "Киржач" для ВАЗ 2110-2112</t>
  </si>
  <si>
    <t>Повторители поворота диодные тонированные для Лада Калина, Калина 2, Приора, Приора 2, Гранта</t>
  </si>
  <si>
    <t>Повторители поворотов в зеркала для Лада Веста</t>
  </si>
  <si>
    <t>Подфарник левый для Лада Нива нового образца желтые</t>
  </si>
  <si>
    <t>Противотуманный фары LED для Лада Веста, Нива 4x4 Урбан</t>
  </si>
  <si>
    <t>Светодиодные задние фонари "СЕВиЕМ" с анимацией "Lexus", тонированные для ВАЗ 2110</t>
  </si>
  <si>
    <t>Светодиодные красные задние LED-фонари для Лада Веста</t>
  </si>
  <si>
    <t>Светодиодные платы задних фонарей для ВАЗ 2108-21099, 2113-2114</t>
  </si>
  <si>
    <t>Светодиодные чёрные задние LED-фонари для Лада Веста</t>
  </si>
  <si>
    <t>Стекло левой фары "ОСВАР" для ВАЗ 2113-2115</t>
  </si>
  <si>
    <t>Стекло левой фары (аналог) для Лада Ларгус</t>
  </si>
  <si>
    <t>Стекло подфарника на ВАЗ 2106, левый, белый</t>
  </si>
  <si>
    <t>Стекло подфарника на ВАЗ 2106, правый, белый</t>
  </si>
  <si>
    <t>Стекло правой фары (аналог) для Лада Ларгус</t>
  </si>
  <si>
    <t>Стекло фары "BOSCH" левое для ВАЗ 2110-2112</t>
  </si>
  <si>
    <t>1305-623039</t>
  </si>
  <si>
    <t>Стекло фары "BOSCH" правое для ВАЗ 2110-2112</t>
  </si>
  <si>
    <t>1305-623040</t>
  </si>
  <si>
    <t>Фара "ML Auto Light Technology" левая для Лада Приора</t>
  </si>
  <si>
    <t>21700-3711011-01</t>
  </si>
  <si>
    <t>https://motorring.ru/product/2724-blok-fara-levaya-lada-priora</t>
  </si>
  <si>
    <t>Фара "ML Auto Light Technology" правая для Лада Приора</t>
  </si>
  <si>
    <t>21700-3711010-01</t>
  </si>
  <si>
    <t>https://motorring.ru/product/2723-blok-fara-pravaya-lada-priora</t>
  </si>
  <si>
    <t>Фары в стиле BMW для Лада Приора</t>
  </si>
  <si>
    <t>Фары передние "ML Auto" AMG style с Bi-Led линзами для Лада Приора</t>
  </si>
  <si>
    <t>Фонарь задний "ML Auto Light Technology" внешний (левый) для Лада Веста</t>
  </si>
  <si>
    <t>8450006963</t>
  </si>
  <si>
    <t>https://motorring.ru/product/16582-fonary-zadniy-levyy-krylo-lada-vesta</t>
  </si>
  <si>
    <t>Фонарь задний "ML Auto Light Technology" внешний (правый) для Лада Веста</t>
  </si>
  <si>
    <t>https://motorring.ru/product/14190-fonary-zadniy-pravyy-krylo-lada-vesta</t>
  </si>
  <si>
    <t>Фонарь задний "ML Auto Light Technology" внутренний (левый) для Лада Веста</t>
  </si>
  <si>
    <t>8450006965</t>
  </si>
  <si>
    <t>https://motorring.ru/product/16581-fonary-zadniy-levyy-kryshku-bagaghnika-lada-vesta</t>
  </si>
  <si>
    <t>Фонарь задний "ML Auto Light Technology" внутренний (правый) для Лада Веста</t>
  </si>
  <si>
    <t>8450006964</t>
  </si>
  <si>
    <t>https://motorring.ru/product/14189-fonary-zadniy-pravyy-kryshku-bagaghnika-lada-vesta</t>
  </si>
  <si>
    <t>Фонарь освещения номерного знака (светодиодный) для Лада Приора, Приора 2</t>
  </si>
  <si>
    <t>Фара "СЕВиЕМ" левая (гладкое стекло) для ВАЗ 2110-2112</t>
  </si>
  <si>
    <t>Фара "СЕВиЕМ" левая (гладкое стекло) для ВАЗ 2110-2112 (Стандартный повторитель)</t>
  </si>
  <si>
    <t>Фара "СЕВиЕМ" правая (гладкое стекло) для ВАЗ 2110-2112</t>
  </si>
  <si>
    <t>Фара "СЕВиЕМ" правая (гладкое стекло) для ВАЗ 2110-2112 (Стандартный повторитель)</t>
  </si>
  <si>
    <t>не нашел</t>
  </si>
  <si>
    <t>https://motorring.ru/product/36549-korpus-pravoy-blok-fary-pod-bosh-dlya-lada-priora</t>
  </si>
  <si>
    <t>https://motorring.ru/product/36548-korpus-levoy-blok-fary-pod-bosh-dlya-lada-priora</t>
  </si>
  <si>
    <t>https://motorring.ru/product/42036-obodok-fary-chrom-lada-4h4-niva-legend</t>
  </si>
  <si>
    <t>https://motorring.ru/product/18238-plafon-osvescheniya-salona-lampochkoy-sbore-vaz-2104-2105</t>
  </si>
  <si>
    <t>169 без рамки</t>
  </si>
  <si>
    <t>https://motorring.ru/product/37143-tonirovanniy-plafon-osvescheniya-salona-zadniy-lada-priora-kalina</t>
  </si>
  <si>
    <t>только белые</t>
  </si>
  <si>
    <t>https://motorring.ru/product/14234-povtoriteli-povorota-diodnye-tonirovannye-lada-kalina</t>
  </si>
  <si>
    <t>https://motorring.ru/product/4232-podfarniki-novogo-obrazca-oranghevyy-povorotnik-lada-niva</t>
  </si>
  <si>
    <t>https://motorring.ru/product/20552-svetodiodnye-fonari-klyushki-vaz-2110</t>
  </si>
  <si>
    <t>4190 снят</t>
  </si>
  <si>
    <t>https://motorring.ru/product/30030-komplekt-zadnih-diodnyh-fonarey-dlya-lada-vesta</t>
  </si>
  <si>
    <t>https://motorring.ru/product/33085-modificirovannye-diodnye-platy-shtatnye-zadnie-fonari-2113</t>
  </si>
  <si>
    <t>https://motorring.ru/product/32278-komplekt-chernyh-zadnih-diodnyh-fonarey-lada-vesta</t>
  </si>
  <si>
    <t>https://motorring.ru/product/21149-steklo-levoy-fary-avtosvet-vaz-2113-2115</t>
  </si>
  <si>
    <t>https://motorring.ru/product/21150-steklo-pravoy-fary-avtosvet-vaz-2113-2115</t>
  </si>
  <si>
    <t>https://motorring.ru/product/21131-steklo-levoy-fary-lada-largus-analog</t>
  </si>
  <si>
    <t>https://motorring.ru/product/21132-steklo-pravoy-fary-lada-largus-analog</t>
  </si>
  <si>
    <t>https://motorring.ru/product/2808-steklo-podfarnika-dlya-vaz-2106-osvar-pravyy-belyy</t>
  </si>
  <si>
    <t>https://motorring.ru/product/2807-steklo-podfarnika-dlya-vaz-2106-osvar-levyy-belyy</t>
  </si>
  <si>
    <t>https://motorring.ru/product/21147-steklo-levoy-fary-automotiv-layting-vaz-2110-2112</t>
  </si>
  <si>
    <t>329 снят</t>
  </si>
  <si>
    <t>https://motorring.ru/product/21148-steklo-pravoy-fary-automotiv-layting-vaz-2110-2112</t>
  </si>
  <si>
    <t>https://motorring.ru/product/12724-perednie-fary-analog-lada-kalina</t>
  </si>
  <si>
    <t>Подфарник правый для Лада Нива нового образца желтые</t>
  </si>
  <si>
    <t>Стекло правой фары "ОСВАР" для ВАЗ 2113-2115</t>
  </si>
  <si>
    <t>Передние блок-фары "ML Auto" в стиле AUDI для Лада Гранта</t>
  </si>
  <si>
    <t>ML272</t>
  </si>
  <si>
    <t>https://motorring.ru/product/10692-povtoriteli-povorotov-zerkala-lada-vesta</t>
  </si>
  <si>
    <t>https://motorring.ru/product/27335-svetodiodnye-tonirovannye-fonari-klyushki-dinamik-povtoritelem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</si>
  <si>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</si>
  <si>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</si>
  <si>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</si>
  <si>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</si>
  <si>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</si>
  <si>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</si>
  <si>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</si>
  <si>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</si>
  <si>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</si>
  <si>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</si>
  <si>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</si>
  <si>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</si>
  <si>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</si>
  <si>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</si>
  <si>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</si>
  <si>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</si>
  <si>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</si>
  <si>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</si>
  <si>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СВОД</t>
  </si>
  <si>
    <t>Данные</t>
  </si>
  <si>
    <t>Переменные</t>
  </si>
  <si>
    <t>https://docs.google.com/spreadsheets/d/1f8_y-lcqVEuKpceVw_F97NEKzue5YmQtx8GIXUS_2B8/export?format=xlsx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</si>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</sst>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charset val="204"/>
      <scheme val="minor"/>
    </font>
    <font>
      <sz val="10"/>
      <color theme="0"/>
      <name val="Calibri"/>
      <family val="2"/>
      <charset val="204"/>
    </font>
    <font>
      <sz val="10"/>
      <color rgb="FFC00000"/>
      <name val="Calibri"/>
      <family val="2"/>
      <charset val="204"/>
    </font>
    <font>
      <sz val="10"/>
      <color rgb="FF7030A0"/>
      <name val="Calibri"/>
      <family val="2"/>
      <charset val="204"/>
    </font>
    <font>
      <sz val="10"/>
      <color theme="5" tint="-0.24994659260841701"/>
      <name val="Calibri"/>
      <family val="2"/>
      <charset val="204"/>
    </font>
    <font>
      <sz val="10"/>
      <name val="Calibri"/>
      <family val="2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color theme="1"/>
      <name val="Calibri"/>
      <family val="1"/>
      <charset val="204"/>
    </font>
    <font>
      <sz val="11"/>
      <name val="Calibri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/>
      <right style="double">
        <color rgb="FF7030A0"/>
      </right>
      <top/>
      <bottom style="double">
        <color rgb="FF7030A0"/>
      </bottom>
      <diagonal/>
    </border>
    <border>
      <left/>
      <right style="double">
        <color theme="5" tint="-0.24994659260841701"/>
      </right>
      <top/>
      <bottom style="double">
        <color theme="5" tint="-0.24994659260841701"/>
      </bottom>
      <diagonal/>
    </border>
    <border diagonalUp="1" diagonalDown="1">
      <left/>
      <right/>
      <top/>
      <bottom/>
      <diagonal style="double">
        <color rgb="FFC00000"/>
      </diagonal>
    </border>
    <border>
      <left/>
      <right style="double">
        <color theme="0"/>
      </right>
      <top/>
      <bottom style="double">
        <color theme="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</borders>
  <cellStyleXfs count="12">
    <xf numFmtId="0" fontId="0" fillId="0" borderId="0"/>
    <xf numFmtId="0" fontId="3" fillId="0" borderId="4" applyNumberFormat="0" applyAlignment="0" applyProtection="0"/>
    <xf numFmtId="0" fontId="4" fillId="0" borderId="5" applyNumberFormat="0" applyAlignment="0" applyProtection="0"/>
    <xf numFmtId="0" fontId="5" fillId="0" borderId="6" applyNumberFormat="0" applyAlignment="0" applyProtection="0"/>
    <xf numFmtId="0" fontId="3" fillId="3" borderId="7" applyNumberFormat="0" applyProtection="0">
      <alignment horizontal="center" vertical="center"/>
    </xf>
    <xf numFmtId="0" fontId="2" fillId="4" borderId="8" applyNumberFormat="0" applyAlignment="0" applyProtection="0"/>
    <xf numFmtId="0" fontId="6" fillId="5" borderId="0" applyNumberFormat="0" applyBorder="0" applyAlignment="0" applyProtection="0"/>
    <xf numFmtId="0" fontId="12" fillId="6" borderId="9" applyNumberFormat="0" applyBorder="0" applyAlignment="0" applyProtection="0"/>
    <xf numFmtId="0" fontId="12" fillId="2" borderId="10" applyNumberFormat="0" applyBorder="0" applyAlignment="0" applyProtection="0"/>
    <xf numFmtId="0" fontId="12" fillId="7" borderId="11" applyNumberFormat="0" applyBorder="0" applyAlignment="0" applyProtection="0"/>
    <xf numFmtId="0" fontId="12" fillId="14" borderId="3" applyNumberFormat="0" applyBorder="0" applyAlignment="0" applyProtection="0"/>
    <xf numFmtId="9" fontId="7" fillId="0" borderId="0" applyFont="0" applyFill="0" applyBorder="0" applyAlignment="0" applyProtection="0"/>
  </cellStyleXfs>
  <cellXfs count="51">
    <xf numFmtId="0" fontId="0" fillId="0" borderId="0" xfId="0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9" fontId="0" fillId="2" borderId="3" xfId="0" applyNumberFormat="1" applyFill="1" applyBorder="1"/>
    <xf numFmtId="2" fontId="0" fillId="2" borderId="0" xfId="0" applyNumberFormat="1" applyFill="1"/>
    <xf numFmtId="0" fontId="9" fillId="0" borderId="3" xfId="0" applyFont="1" applyBorder="1" applyAlignment="1">
      <alignment horizontal="center" vertical="center" wrapText="1"/>
    </xf>
    <xf numFmtId="2" fontId="9" fillId="0" borderId="3" xfId="0" applyNumberFormat="1" applyFont="1" applyBorder="1" applyAlignment="1">
      <alignment horizontal="center" vertical="center" wrapText="1"/>
    </xf>
    <xf numFmtId="9" fontId="8" fillId="0" borderId="3" xfId="11" applyFont="1" applyBorder="1" applyAlignment="1">
      <alignment wrapText="1"/>
    </xf>
    <xf numFmtId="0" fontId="0" fillId="0" borderId="3" xfId="0" applyBorder="1" applyAlignment="1">
      <alignment horizontal="center" vertical="center"/>
    </xf>
    <xf numFmtId="9" fontId="10" fillId="8" borderId="3" xfId="0" applyNumberFormat="1" applyFont="1" applyFill="1" applyBorder="1" applyAlignment="1">
      <alignment horizontal="left" vertical="center"/>
    </xf>
    <xf numFmtId="0" fontId="10" fillId="8" borderId="3" xfId="0" applyFont="1" applyFill="1" applyBorder="1" applyAlignment="1">
      <alignment horizontal="left" vertical="center"/>
    </xf>
    <xf numFmtId="0" fontId="11" fillId="0" borderId="3" xfId="0" applyFont="1" applyBorder="1" applyAlignment="1">
      <alignment horizontal="left" vertical="top" wrapText="1"/>
    </xf>
    <xf numFmtId="0" fontId="11" fillId="12" borderId="3" xfId="0" applyFont="1" applyFill="1" applyBorder="1" applyAlignment="1">
      <alignment horizontal="left" vertical="top" wrapText="1"/>
    </xf>
    <xf numFmtId="9" fontId="11" fillId="8" borderId="3" xfId="11" applyFont="1" applyFill="1" applyBorder="1" applyAlignment="1">
      <alignment horizontal="left" vertical="top" wrapText="1"/>
    </xf>
    <xf numFmtId="0" fontId="0" fillId="0" borderId="3" xfId="0" applyBorder="1"/>
    <xf numFmtId="2" fontId="0" fillId="0" borderId="3" xfId="0" applyNumberFormat="1" applyBorder="1"/>
    <xf numFmtId="2" fontId="10" fillId="8" borderId="3" xfId="0" applyNumberFormat="1" applyFont="1" applyFill="1" applyBorder="1" applyAlignment="1">
      <alignment horizontal="left" vertical="center"/>
    </xf>
    <xf numFmtId="0" fontId="0" fillId="0" borderId="0" xfId="0" applyAlignment="1">
      <alignment wrapText="1"/>
    </xf>
    <xf numFmtId="0" fontId="0" fillId="0" borderId="3" xfId="0" applyBorder="1" applyAlignment="1">
      <alignment wrapText="1"/>
    </xf>
    <xf numFmtId="9" fontId="0" fillId="0" borderId="0" xfId="11" applyFont="1"/>
    <xf numFmtId="0" fontId="0" fillId="15" borderId="3" xfId="0" applyFill="1" applyBorder="1"/>
    <xf numFmtId="0" fontId="11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1" fontId="11" fillId="2" borderId="3" xfId="0" applyNumberFormat="1" applyFont="1" applyFill="1" applyBorder="1" applyAlignment="1">
      <alignment horizontal="left" vertical="top" wrapText="1"/>
    </xf>
    <xf numFmtId="1" fontId="0" fillId="0" borderId="0" xfId="0" applyNumberFormat="1"/>
    <xf numFmtId="1" fontId="11" fillId="13" borderId="3" xfId="0" applyNumberFormat="1" applyFont="1" applyFill="1" applyBorder="1" applyAlignment="1">
      <alignment horizontal="left" vertical="top" wrapText="1"/>
    </xf>
    <xf numFmtId="1" fontId="11" fillId="8" borderId="3" xfId="11" applyNumberFormat="1" applyFont="1" applyFill="1" applyBorder="1" applyAlignment="1">
      <alignment horizontal="left" vertical="top" wrapText="1"/>
    </xf>
    <xf numFmtId="1" fontId="11" fillId="0" borderId="3" xfId="0" applyNumberFormat="1" applyFont="1" applyBorder="1" applyAlignment="1">
      <alignment horizontal="left" vertical="top" wrapText="1"/>
    </xf>
    <xf numFmtId="1" fontId="0" fillId="0" borderId="3" xfId="0" applyNumberFormat="1" applyBorder="1"/>
    <xf numFmtId="1" fontId="1" fillId="2" borderId="3" xfId="0" applyNumberFormat="1" applyFont="1" applyFill="1" applyBorder="1" applyAlignment="1">
      <alignment horizontal="left" wrapText="1"/>
    </xf>
    <xf numFmtId="3" fontId="0" fillId="8" borderId="3" xfId="0" applyNumberFormat="1" applyFill="1" applyBorder="1" applyAlignment="1">
      <alignment horizontal="left"/>
    </xf>
    <xf numFmtId="3" fontId="0" fillId="9" borderId="3" xfId="0" applyNumberFormat="1" applyFill="1" applyBorder="1" applyAlignment="1">
      <alignment horizontal="left"/>
    </xf>
    <xf numFmtId="3" fontId="0" fillId="10" borderId="3" xfId="0" applyNumberFormat="1" applyFill="1" applyBorder="1" applyAlignment="1">
      <alignment horizontal="left"/>
    </xf>
    <xf numFmtId="3" fontId="0" fillId="11" borderId="3" xfId="0" applyNumberFormat="1" applyFill="1" applyBorder="1" applyAlignment="1">
      <alignment horizontal="left"/>
    </xf>
    <xf numFmtId="3" fontId="0" fillId="17" borderId="3" xfId="0" applyNumberFormat="1" applyFill="1" applyBorder="1" applyAlignment="1">
      <alignment horizontal="left"/>
    </xf>
    <xf numFmtId="3" fontId="1" fillId="7" borderId="3" xfId="0" applyNumberFormat="1" applyFont="1" applyFill="1" applyBorder="1" applyAlignment="1">
      <alignment horizontal="left" vertical="center"/>
    </xf>
    <xf numFmtId="3" fontId="1" fillId="16" borderId="3" xfId="0" applyNumberFormat="1" applyFont="1" applyFill="1" applyBorder="1" applyAlignment="1">
      <alignment horizontal="left" vertical="center"/>
    </xf>
    <xf numFmtId="0" fontId="0" fillId="14" borderId="0" xfId="0" applyFill="1"/>
    <xf numFmtId="0" fontId="0" fillId="0" borderId="3" xfId="0" applyBorder="1" applyAlignment="1" applyProtection="1">
      <alignment horizontal="left" vertical="top" wrapText="1"/>
    </xf>
    <xf numFmtId="1" fontId="0" fillId="2" borderId="3" xfId="0" applyNumberFormat="1" applyFill="1" applyBorder="1"/>
    <xf numFmtId="0" fontId="0" fillId="0" borderId="3" xfId="0" applyBorder="1" applyAlignment="1">
      <alignment horizontal="center" vertical="center" wrapText="1"/>
    </xf>
    <xf numFmtId="2" fontId="0" fillId="2" borderId="0" xfId="0" applyNumberFormat="1" applyFill="1" applyAlignment="1">
      <alignment wrapText="1"/>
    </xf>
    <xf numFmtId="0" fontId="11" fillId="0" borderId="3" xfId="0" applyFont="1" applyBorder="1" applyAlignment="1" applyProtection="1">
      <alignment horizontal="left" vertical="top" wrapText="1"/>
    </xf>
    <xf numFmtId="1" fontId="0" fillId="0" borderId="3" xfId="0" applyNumberFormat="1" applyBorder="1" applyAlignment="1" applyProtection="1">
      <alignment horizontal="left" vertical="top" wrapText="1"/>
    </xf>
    <xf numFmtId="0" fontId="0" fillId="0" borderId="3" xfId="0" applyBorder="1" applyAlignment="1" applyProtection="1">
      <alignment horizontal="left" vertical="top" wrapText="1"/>
    </xf>
    <xf numFmtId="1" fontId="11" fillId="2" borderId="3" xfId="0" applyNumberFormat="1" applyFont="1" applyFill="1" applyBorder="1" applyAlignment="1" applyProtection="1">
      <alignment horizontal="left" vertical="top" wrapText="1"/>
    </xf>
    <xf numFmtId="0" fontId="11" fillId="0" borderId="3" xfId="0" applyFont="1" applyBorder="1" applyAlignment="1" applyProtection="1">
      <alignment horizontal="left" vertical="top" wrapText="1"/>
    </xf>
    <xf numFmtId="1" fontId="0" fillId="0" borderId="3" xfId="0" applyNumberFormat="1" applyBorder="1" applyAlignment="1" applyProtection="1">
      <alignment horizontal="left" vertical="top" wrapText="1"/>
    </xf>
    <xf numFmtId="0" fontId="0" fillId="0" borderId="3" xfId="0" applyBorder="1" applyAlignment="1" applyProtection="1">
      <alignment horizontal="left" vertical="top" wrapText="1"/>
    </xf>
    <xf numFmtId="1" fontId="11" fillId="2" borderId="3" xfId="0" applyNumberFormat="1" applyFont="1" applyFill="1" applyBorder="1" applyAlignment="1" applyProtection="1">
      <alignment horizontal="left" vertical="top" wrapText="1"/>
    </xf>
    <xf numFmtId="1" fontId="10" fillId="8" borderId="3" xfId="0" applyNumberFormat="1" applyFont="1" applyFill="1" applyBorder="1" applyAlignment="1">
      <alignment horizontal="left" vertical="center"/>
    </xf>
  </cellXfs>
  <cellStyles count="12">
    <cellStyle name="Акцент1" xfId="1" builtinId="29" customBuiltin="1"/>
    <cellStyle name="Акцент2" xfId="2" builtinId="33" customBuiltin="1"/>
    <cellStyle name="Акцент3" xfId="3" builtinId="37" customBuiltin="1"/>
    <cellStyle name="Акцент4" xfId="4" builtinId="41" customBuiltin="1"/>
    <cellStyle name="Акцент5" xfId="5" builtinId="45" customBuiltin="1"/>
    <cellStyle name="Акцент6" xfId="6" builtinId="49" customBuiltin="1"/>
    <cellStyle name="Заголовок 1" xfId="7" builtinId="16" customBuiltin="1"/>
    <cellStyle name="Заголовок 2" xfId="8" builtinId="17" customBuiltin="1"/>
    <cellStyle name="Заголовок 3" xfId="9" builtinId="18" customBuiltin="1"/>
    <cellStyle name="Заголовок 4" xfId="10" builtinId="19" customBuiltin="1"/>
    <cellStyle name="Обычный" xfId="0" builtinId="0"/>
    <cellStyle name="Процентный" xfId="11" builtinId="5"/>
  </cellStyles>
  <dxfs count="17">
    <dxf>
      <fill>
        <patternFill patternType="none">
          <fgColor indexed="64"/>
          <bgColor indexed="65"/>
        </patternFill>
      </fill>
    </dxf>
    <dxf>
      <fill>
        <patternFill patternType="solid">
          <fgColor rgb="FFACB9CA"/>
          <bgColor rgb="FF000000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</xdr:row>
          <xdr:rowOff>180975</xdr:rowOff>
        </xdr:from>
        <xdr:to>
          <xdr:col>11</xdr:col>
          <xdr:colOff>590550</xdr:colOff>
          <xdr:row>8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066F92E-4E8A-47E3-B580-CC18D7AB899E}" autoFormatId="16" applyNumberFormats="0" applyBorderFormats="0" applyFontFormats="0" applyPatternFormats="0" applyAlignmentFormats="0" applyWidthHeightFormats="0">
  <queryTableRefresh nextId="19">
    <queryTableFields count="1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886D75-0273-4544-8F8E-DBB094A80ED1}" name="МЛавто" displayName="МЛавто" ref="A1:R102" tableType="queryTable" totalsRowShown="0">
  <autoFilter ref="A1:R102" xr:uid="{5A886D75-0273-4544-8F8E-DBB094A80ED1}"/>
  <tableColumns count="18">
    <tableColumn id="1" xr3:uid="{B0F5FA02-491E-4771-A71C-73016D440CFB}" uniqueName="1" name="Column1" queryTableFieldId="1"/>
    <tableColumn id="2" xr3:uid="{68D5D948-FC76-427D-BF56-6EB696D75555}" uniqueName="2" name="Column2" queryTableFieldId="2"/>
    <tableColumn id="3" xr3:uid="{2DD17295-71EA-42F7-AC0E-4E4074EFAD81}" uniqueName="3" name="Column3" queryTableFieldId="3"/>
    <tableColumn id="4" xr3:uid="{2AD8755E-C6EE-4ADD-9DBB-15CEC9B54770}" uniqueName="4" name="Column4" queryTableFieldId="4"/>
    <tableColumn id="5" xr3:uid="{D003A8AE-973E-4634-A3BE-A338B89EA820}" uniqueName="5" name="Column5" queryTableFieldId="5"/>
    <tableColumn id="6" xr3:uid="{CEC69BE1-FDB7-4B1D-BF09-76DBBB5D973E}" uniqueName="6" name="Column6" queryTableFieldId="6"/>
    <tableColumn id="7" xr3:uid="{AD81CF20-1453-48A7-9D80-6FC557F88798}" uniqueName="7" name="Column7" queryTableFieldId="7"/>
    <tableColumn id="8" xr3:uid="{D7261F6F-A428-4466-96DB-C13C9B3B56C8}" uniqueName="8" name="Column8" queryTableFieldId="8"/>
    <tableColumn id="9" xr3:uid="{455502E9-3BE0-4AF8-B9AA-721374992CCC}" uniqueName="9" name="Column9" queryTableFieldId="9"/>
    <tableColumn id="10" xr3:uid="{7B501868-25CA-48EC-9463-783B1AF71C2E}" uniqueName="10" name="Column10" queryTableFieldId="10"/>
    <tableColumn id="11" xr3:uid="{B0243747-02F2-4181-BB3B-3A2EA38985BC}" uniqueName="11" name="Column11" queryTableFieldId="11"/>
    <tableColumn id="12" xr3:uid="{3A95D46C-9A61-4A36-99A2-1C6CAB2EE4FD}" uniqueName="12" name="Column12" queryTableFieldId="12"/>
    <tableColumn id="13" xr3:uid="{7BD7822F-5037-4EE4-8915-78C5F80FDB19}" uniqueName="13" name="Column13" queryTableFieldId="13"/>
    <tableColumn id="14" xr3:uid="{6A885348-6AA3-4AAE-8CCB-9BB6126146D1}" uniqueName="14" name="Column14" queryTableFieldId="14"/>
    <tableColumn id="15" xr3:uid="{AB9E97AF-6F05-4F0A-BA4E-9E05B0DCCA87}" uniqueName="15" name="Column15" queryTableFieldId="15"/>
    <tableColumn id="16" xr3:uid="{25529A07-C2A5-48B3-9F4D-8FD466F6CC31}" uniqueName="16" name="Column16" queryTableFieldId="16"/>
    <tableColumn id="17" xr3:uid="{4B715111-8CB1-4A0A-8D62-8811E33BD16D}" uniqueName="17" name="Column17" queryTableFieldId="17"/>
    <tableColumn id="18" xr3:uid="{9E770DA1-A23E-48AA-B0C8-9F58C64ECDF3}" uniqueName="18" name="Column18" queryTableField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114F5-A8BF-49DD-8C7D-B89E033D4112}">
  <sheetPr codeName="Лист2"/>
  <dimension ref="A1:Y53"/>
  <sheetViews>
    <sheetView tabSelected="1" workbookViewId="0">
      <pane ySplit="2" topLeftCell="A3" activePane="bottomLeft" state="frozen"/>
      <selection pane="bottomLeft" activeCell="K6" sqref="K6"/>
    </sheetView>
  </sheetViews>
  <sheetFormatPr defaultRowHeight="15" x14ac:dyDescent="0.25"/>
  <cols>
    <col min="1" max="2" width="7" bestFit="1" customWidth="1"/>
    <col min="3" max="3" width="37.5703125" style="17" customWidth="1"/>
    <col min="4" max="4" width="2" bestFit="1" customWidth="1"/>
    <col min="5" max="5" width="4.85546875" bestFit="1" customWidth="1"/>
    <col min="6" max="6" width="16.5703125" bestFit="1" customWidth="1"/>
    <col min="7" max="7" width="10.85546875" bestFit="1" customWidth="1"/>
    <col min="8" max="8" width="13.28515625" bestFit="1" customWidth="1"/>
    <col min="9" max="9" width="8.42578125" style="24" bestFit="1" customWidth="1"/>
    <col min="10" max="10" width="5.5703125" bestFit="1" customWidth="1"/>
    <col min="11" max="11" width="6.42578125" style="24" customWidth="1"/>
    <col min="12" max="12" width="10.85546875" style="24" bestFit="1" customWidth="1"/>
    <col min="13" max="13" width="6.7109375" bestFit="1" customWidth="1"/>
    <col min="14" max="14" width="6.85546875" bestFit="1" customWidth="1"/>
    <col min="15" max="16" width="7.42578125" bestFit="1" customWidth="1"/>
    <col min="17" max="17" width="5.85546875" bestFit="1" customWidth="1"/>
    <col min="18" max="18" width="11.140625" bestFit="1" customWidth="1"/>
    <col min="19" max="19" width="8.42578125" bestFit="1" customWidth="1"/>
    <col min="20" max="20" width="7.5703125" bestFit="1" customWidth="1"/>
    <col min="21" max="21" width="9.28515625" bestFit="1" customWidth="1"/>
    <col min="22" max="22" width="6.85546875" bestFit="1" customWidth="1"/>
    <col min="23" max="23" width="8.42578125" bestFit="1" customWidth="1"/>
    <col min="24" max="24" width="8.140625" style="17" bestFit="1" customWidth="1"/>
  </cols>
  <sheetData>
    <row r="1" spans="1:25" x14ac:dyDescent="0.25">
      <c r="A1" s="17"/>
      <c r="B1" s="17">
        <v>2</v>
      </c>
      <c r="C1" s="17">
        <v>3</v>
      </c>
      <c r="D1">
        <v>4</v>
      </c>
      <c r="E1">
        <v>14</v>
      </c>
      <c r="F1">
        <v>5</v>
      </c>
      <c r="H1" s="19">
        <f>COUNT(Кат!$X:$X,Торг!$Z:$Z)/COUNT(Кат!$A:$A,Торг!$B:$B)</f>
        <v>0.63414634146341464</v>
      </c>
      <c r="M1">
        <v>8</v>
      </c>
      <c r="N1">
        <v>9</v>
      </c>
      <c r="O1" s="24"/>
      <c r="P1" s="24"/>
      <c r="R1">
        <v>4</v>
      </c>
      <c r="U1" s="3" t="str">
        <f>_xlfn.CONCAT(ROUND(MIN(U3:U9002)*100,0),"-",ROUND(MAX(U3:U9002)*100,0),"%")</f>
        <v>30-178%</v>
      </c>
      <c r="V1" s="3" t="str">
        <f>_xlfn.CONCAT(ROUND(SUBTOTAL(5,V3:V9002)*100,0)," - ",ROUND(SUBTOTAL(4,V3:V9002)*100,0),"%")</f>
        <v>-42 - 16%</v>
      </c>
      <c r="W1" s="3" t="str">
        <f>_xlfn.CONCAT(ROUND(SUBTOTAL(5,W3:W90002)*100,0)," - ",ROUND(SUBTOTAL(4,W3:W90002)*100,0),"%")</f>
        <v>-5 - 215%</v>
      </c>
      <c r="X1" s="41"/>
    </row>
    <row r="2" spans="1:25" x14ac:dyDescent="0.25">
      <c r="A2" s="11" t="s">
        <v>7</v>
      </c>
      <c r="B2" s="12" t="s">
        <v>17</v>
      </c>
      <c r="C2" s="12" t="s">
        <v>8</v>
      </c>
      <c r="D2" s="12"/>
      <c r="E2" s="12"/>
      <c r="F2" s="12" t="s">
        <v>19</v>
      </c>
      <c r="G2" s="11" t="s">
        <v>9</v>
      </c>
      <c r="H2" s="11" t="s">
        <v>10</v>
      </c>
      <c r="I2" s="23" t="s">
        <v>11</v>
      </c>
      <c r="J2" s="11"/>
      <c r="K2" s="27"/>
      <c r="L2" s="23" t="s">
        <v>0</v>
      </c>
      <c r="M2" s="12" t="s">
        <v>12</v>
      </c>
      <c r="N2" s="12" t="s">
        <v>13</v>
      </c>
      <c r="O2" s="25" t="s">
        <v>14</v>
      </c>
      <c r="P2" s="25" t="s">
        <v>14</v>
      </c>
      <c r="Q2" s="13">
        <v>0</v>
      </c>
      <c r="R2" s="9" t="s">
        <v>5</v>
      </c>
      <c r="S2" s="9" t="s">
        <v>6</v>
      </c>
      <c r="T2" s="9" t="s">
        <v>20</v>
      </c>
      <c r="U2" s="5" t="s">
        <v>1</v>
      </c>
      <c r="V2" s="5" t="s">
        <v>2</v>
      </c>
      <c r="W2" s="5" t="s">
        <v>3</v>
      </c>
      <c r="X2" s="6" t="s">
        <v>4</v>
      </c>
      <c r="Y2" t="s">
        <v>24</v>
      </c>
    </row>
    <row r="3" spans="1:25" ht="45" x14ac:dyDescent="0.25">
      <c r="A3" s="14">
        <v>136983</v>
      </c>
      <c r="B3" s="14">
        <f>VLOOKUP($A3,'Выгр Кат'!$A:$R,B$1,0)</f>
        <v>36729</v>
      </c>
      <c r="C3" s="18" t="str">
        <f>VLOOKUP($A3,'Выгр Кат'!$A:$R,C$1,0)</f>
        <v>Блок-фара "СЕВиЕМ" правая (стеклянный рассеиватель) для Лада Калина</v>
      </c>
      <c r="D3" s="14" t="str">
        <f>VLOOKUP($A3,'Выгр Кат'!$A:$R,D$1,0)</f>
        <v>Y</v>
      </c>
      <c r="E3" s="14" t="str">
        <f>VLOOKUP($A3,'Выгр Кат'!$A:$R,E$1,0)</f>
        <v>1</v>
      </c>
      <c r="F3" s="14" t="str">
        <f>VLOOKUP($A3,'Выгр Кат'!$A:$R,F$1,0)</f>
        <v>51180-3711010-35</v>
      </c>
      <c r="G3" s="14"/>
      <c r="H3" s="38" t="s">
        <v>57</v>
      </c>
      <c r="I3" s="39">
        <v>2255</v>
      </c>
      <c r="J3" s="15">
        <f>VLOOKUP(I3,Наценка!$A$1:$B$8,2,1)</f>
        <v>1.4</v>
      </c>
      <c r="K3" s="28">
        <f>I3*J3</f>
        <v>3157</v>
      </c>
      <c r="L3" s="29">
        <f>IF(K3&lt;=1000,(ROUNDUP(K3,-1)-1),(ROUNDUP(K3,-2)-10))</f>
        <v>3190</v>
      </c>
      <c r="M3" s="14">
        <f>VLOOKUP($A3,'Выгр Кат'!$A:$R,M$1,0)</f>
        <v>2255</v>
      </c>
      <c r="N3" s="14">
        <f>VLOOKUP($A3,'Выгр Кат'!$A:$R,N$1,0)</f>
        <v>3190</v>
      </c>
      <c r="O3" s="25">
        <f>M3-I3</f>
        <v>0</v>
      </c>
      <c r="P3" s="25">
        <f>N3-L3</f>
        <v>0</v>
      </c>
      <c r="Q3" s="26">
        <f>IFERROR(L3*(1-$Q$2),"")</f>
        <v>3190</v>
      </c>
      <c r="R3" s="50">
        <f>IFERROR((VLOOKUP($A3,'Из ГУГЛа'!$B:$G,R$1,0)+T3)*S3,VLOOKUP($A3,'Из ГУГЛа'!$B:$G,R$1,0))</f>
        <v>3245</v>
      </c>
      <c r="S3" s="10">
        <v>0.5</v>
      </c>
      <c r="T3" s="10">
        <v>0</v>
      </c>
      <c r="U3" s="7">
        <f>IFERROR(Q3/I3-1,"")</f>
        <v>0.41463414634146334</v>
      </c>
      <c r="V3" s="7">
        <f>IFERROR((X3-Q3)/X3,"")</f>
        <v>1.6949152542372881E-2</v>
      </c>
      <c r="W3" s="7">
        <f>IFERROR(IF(X3="","",X3/I3-1),"")</f>
        <v>0.43902439024390238</v>
      </c>
      <c r="X3" s="40">
        <f>6490/2</f>
        <v>3245</v>
      </c>
      <c r="Y3" t="s">
        <v>144</v>
      </c>
    </row>
    <row r="4" spans="1:25" ht="30" x14ac:dyDescent="0.25">
      <c r="A4" s="14">
        <v>143739</v>
      </c>
      <c r="B4" s="14">
        <f>VLOOKUP($A4,'Выгр Кат'!$A:$R,B$1,0)</f>
        <v>27711</v>
      </c>
      <c r="C4" s="18" t="str">
        <f>VLOOKUP($A4,'Выгр Кат'!$A:$R,C$1,0)</f>
        <v>Диодные LED ПТФ (5 линз) для Лада Приора 2</v>
      </c>
      <c r="D4" s="14" t="str">
        <f>VLOOKUP($A4,'Выгр Кат'!$A:$R,D$1,0)</f>
        <v>Y</v>
      </c>
      <c r="E4" s="14" t="str">
        <f>VLOOKUP($A4,'Выгр Кат'!$A:$R,E$1,0)</f>
        <v>1</v>
      </c>
      <c r="F4" s="14">
        <f>VLOOKUP($A4,'Выгр Кат'!$A:$R,F$1,0)</f>
        <v>0</v>
      </c>
      <c r="G4" s="14"/>
      <c r="H4" s="38" t="s">
        <v>57</v>
      </c>
      <c r="I4" s="39">
        <v>1600</v>
      </c>
      <c r="J4" s="15">
        <f>VLOOKUP(I4,Наценка!$A$1:$B$8,2,1)</f>
        <v>1.5</v>
      </c>
      <c r="K4" s="28">
        <f t="shared" ref="K4:K40" si="0">I4*J4</f>
        <v>2400</v>
      </c>
      <c r="L4" s="29">
        <f t="shared" ref="L4:L40" si="1">IF(K4&lt;=1000,(ROUNDUP(K4,-1)-1),(ROUNDUP(K4,-2)-10))</f>
        <v>2390</v>
      </c>
      <c r="M4" s="14">
        <f>VLOOKUP($A4,'Выгр Кат'!$A:$R,M$1,0)</f>
        <v>1600</v>
      </c>
      <c r="N4" s="14">
        <f>VLOOKUP($A4,'Выгр Кат'!$A:$R,N$1,0)</f>
        <v>2390</v>
      </c>
      <c r="O4" s="25">
        <f t="shared" ref="O4:O40" si="2">M4-I4</f>
        <v>0</v>
      </c>
      <c r="P4" s="25">
        <f t="shared" ref="P4:P40" si="3">N4-L4</f>
        <v>0</v>
      </c>
      <c r="Q4" s="26">
        <f t="shared" ref="Q4:Q40" si="4">IFERROR(L4*(1-$Q$2),"")</f>
        <v>2390</v>
      </c>
      <c r="R4" s="50" t="str">
        <f>IFERROR((VLOOKUP($A4,'Из ГУГЛа'!$B:$G,R$1,0)+T4)*S4,VLOOKUP($A4,'Из ГУГЛа'!$B:$G,R$1,0))</f>
        <v/>
      </c>
      <c r="S4" s="10">
        <v>1</v>
      </c>
      <c r="T4" s="10">
        <v>0</v>
      </c>
      <c r="U4" s="7">
        <f t="shared" ref="U4:U40" si="5">IFERROR(Q4/I4-1,"")</f>
        <v>0.49374999999999991</v>
      </c>
      <c r="V4" s="7" t="str">
        <f t="shared" ref="V4:V40" si="6">IFERROR((X4-Q4)/X4,"")</f>
        <v/>
      </c>
      <c r="W4" s="7" t="str">
        <f t="shared" ref="W4:W40" si="7">IFERROR(IF(X4="","",X4/I4-1),"")</f>
        <v/>
      </c>
      <c r="X4" s="40" t="s">
        <v>120</v>
      </c>
    </row>
    <row r="5" spans="1:25" ht="30" x14ac:dyDescent="0.25">
      <c r="A5" s="14">
        <v>247462</v>
      </c>
      <c r="B5" s="14">
        <f>VLOOKUP($A5,'Выгр Кат'!$A:$R,B$1,0)</f>
        <v>180063</v>
      </c>
      <c r="C5" s="18" t="str">
        <f>VLOOKUP($A5,'Выгр Кат'!$A:$R,C$1,0)</f>
        <v>Корпус фары (левый) для Лада Приора, Приора 2</v>
      </c>
      <c r="D5" s="14" t="str">
        <f>VLOOKUP($A5,'Выгр Кат'!$A:$R,D$1,0)</f>
        <v>Y</v>
      </c>
      <c r="E5" s="14" t="str">
        <f>VLOOKUP($A5,'Выгр Кат'!$A:$R,E$1,0)</f>
        <v>1</v>
      </c>
      <c r="F5" s="14">
        <f>VLOOKUP($A5,'Выгр Кат'!$A:$R,F$1,0)</f>
        <v>0</v>
      </c>
      <c r="G5" s="14"/>
      <c r="H5" s="38" t="s">
        <v>57</v>
      </c>
      <c r="I5" s="39">
        <v>500</v>
      </c>
      <c r="J5" s="15">
        <f>VLOOKUP(I5,Наценка!$A$1:$B$8,2,1)</f>
        <v>1.55</v>
      </c>
      <c r="K5" s="30">
        <f>X5-10</f>
        <v>680</v>
      </c>
      <c r="L5" s="29">
        <f t="shared" si="1"/>
        <v>679</v>
      </c>
      <c r="M5" s="14">
        <f>VLOOKUP($A5,'Выгр Кат'!$A:$R,M$1,0)</f>
        <v>500</v>
      </c>
      <c r="N5" s="14">
        <f>VLOOKUP($A5,'Выгр Кат'!$A:$R,N$1,0)</f>
        <v>679</v>
      </c>
      <c r="O5" s="25">
        <f t="shared" si="2"/>
        <v>0</v>
      </c>
      <c r="P5" s="25">
        <f t="shared" si="3"/>
        <v>0</v>
      </c>
      <c r="Q5" s="26">
        <f t="shared" si="4"/>
        <v>679</v>
      </c>
      <c r="R5" s="50">
        <f>IFERROR((VLOOKUP($A5,'Из ГУГЛа'!$B:$G,R$1,0)+T5)*S5,VLOOKUP($A5,'Из ГУГЛа'!$B:$G,R$1,0))</f>
        <v>690</v>
      </c>
      <c r="S5" s="10">
        <v>1</v>
      </c>
      <c r="T5" s="10">
        <v>0</v>
      </c>
      <c r="U5" s="7">
        <f t="shared" si="5"/>
        <v>0.3580000000000001</v>
      </c>
      <c r="V5" s="7">
        <f t="shared" si="6"/>
        <v>1.5942028985507246E-2</v>
      </c>
      <c r="W5" s="7">
        <f t="shared" si="7"/>
        <v>0.37999999999999989</v>
      </c>
      <c r="X5" s="40">
        <v>690</v>
      </c>
      <c r="Y5" t="s">
        <v>122</v>
      </c>
    </row>
    <row r="6" spans="1:25" ht="30" x14ac:dyDescent="0.25">
      <c r="A6" s="14">
        <v>247465</v>
      </c>
      <c r="B6" s="14">
        <f>VLOOKUP($A6,'Выгр Кат'!$A:$R,B$1,0)</f>
        <v>180083</v>
      </c>
      <c r="C6" s="18" t="str">
        <f>VLOOKUP($A6,'Выгр Кат'!$A:$R,C$1,0)</f>
        <v>Корпус фары (правый) для Лада Приора, Приора 2</v>
      </c>
      <c r="D6" s="14" t="str">
        <f>VLOOKUP($A6,'Выгр Кат'!$A:$R,D$1,0)</f>
        <v>Y</v>
      </c>
      <c r="E6" s="14" t="str">
        <f>VLOOKUP($A6,'Выгр Кат'!$A:$R,E$1,0)</f>
        <v>1</v>
      </c>
      <c r="F6" s="14">
        <f>VLOOKUP($A6,'Выгр Кат'!$A:$R,F$1,0)</f>
        <v>0</v>
      </c>
      <c r="G6" s="14"/>
      <c r="H6" s="38" t="s">
        <v>57</v>
      </c>
      <c r="I6" s="39">
        <v>500</v>
      </c>
      <c r="J6" s="15">
        <f>VLOOKUP(I6,Наценка!$A$1:$B$8,2,1)</f>
        <v>1.55</v>
      </c>
      <c r="K6" s="30">
        <f>X6-10</f>
        <v>680</v>
      </c>
      <c r="L6" s="29">
        <f t="shared" si="1"/>
        <v>679</v>
      </c>
      <c r="M6" s="14">
        <f>VLOOKUP($A6,'Выгр Кат'!$A:$R,M$1,0)</f>
        <v>500</v>
      </c>
      <c r="N6" s="14">
        <f>VLOOKUP($A6,'Выгр Кат'!$A:$R,N$1,0)</f>
        <v>679</v>
      </c>
      <c r="O6" s="25">
        <f t="shared" si="2"/>
        <v>0</v>
      </c>
      <c r="P6" s="25">
        <f t="shared" si="3"/>
        <v>0</v>
      </c>
      <c r="Q6" s="26">
        <f t="shared" si="4"/>
        <v>679</v>
      </c>
      <c r="R6" s="50">
        <f>IFERROR((VLOOKUP($A6,'Из ГУГЛа'!$B:$G,R$1,0)+T6)*S6,VLOOKUP($A6,'Из ГУГЛа'!$B:$G,R$1,0))</f>
        <v>690</v>
      </c>
      <c r="S6" s="10">
        <v>1</v>
      </c>
      <c r="T6" s="10">
        <v>0</v>
      </c>
      <c r="U6" s="7">
        <f t="shared" si="5"/>
        <v>0.3580000000000001</v>
      </c>
      <c r="V6" s="7">
        <f t="shared" si="6"/>
        <v>1.5942028985507246E-2</v>
      </c>
      <c r="W6" s="7">
        <f t="shared" si="7"/>
        <v>0.37999999999999989</v>
      </c>
      <c r="X6" s="40">
        <v>690</v>
      </c>
      <c r="Y6" t="s">
        <v>121</v>
      </c>
    </row>
    <row r="7" spans="1:25" ht="45" x14ac:dyDescent="0.25">
      <c r="A7" s="14">
        <v>267631</v>
      </c>
      <c r="B7" s="14">
        <f>VLOOKUP($A7,'Выгр Кат'!$A:$R,B$1,0)</f>
        <v>216219</v>
      </c>
      <c r="C7" s="18" t="str">
        <f>VLOOKUP($A7,'Выгр Кат'!$A:$R,C$1,0)</f>
        <v>Маски передних фар "ML Auto Light Technology" диодные для Лада Гранта FL</v>
      </c>
      <c r="D7" s="14" t="str">
        <f>VLOOKUP($A7,'Выгр Кат'!$A:$R,D$1,0)</f>
        <v>Y</v>
      </c>
      <c r="E7" s="14" t="str">
        <f>VLOOKUP($A7,'Выгр Кат'!$A:$R,E$1,0)</f>
        <v>1</v>
      </c>
      <c r="F7" s="14">
        <f>VLOOKUP($A7,'Выгр Кат'!$A:$R,F$1,0)</f>
        <v>0</v>
      </c>
      <c r="G7" s="14"/>
      <c r="H7" s="38" t="s">
        <v>57</v>
      </c>
      <c r="I7" s="39">
        <v>0</v>
      </c>
      <c r="J7" s="15" t="e">
        <f>VLOOKUP(I7,Наценка!$A$1:$B$8,2,1)</f>
        <v>#N/A</v>
      </c>
      <c r="K7" s="33">
        <f>X7</f>
        <v>7190</v>
      </c>
      <c r="L7" s="29">
        <f t="shared" si="1"/>
        <v>7190</v>
      </c>
      <c r="M7" s="14">
        <f>VLOOKUP($A7,'Выгр Кат'!$A:$R,M$1,0)</f>
        <v>0</v>
      </c>
      <c r="N7" s="14">
        <f>VLOOKUP($A7,'Выгр Кат'!$A:$R,N$1,0)</f>
        <v>7190</v>
      </c>
      <c r="O7" s="25">
        <f t="shared" si="2"/>
        <v>0</v>
      </c>
      <c r="P7" s="25">
        <f t="shared" si="3"/>
        <v>0</v>
      </c>
      <c r="Q7" s="26">
        <f t="shared" si="4"/>
        <v>7190</v>
      </c>
      <c r="R7" s="50">
        <f>IFERROR((VLOOKUP($A7,'Из ГУГЛа'!$B:$G,R$1,0)+T7)*S7,VLOOKUP($A7,'Из ГУГЛа'!$B:$G,R$1,0))</f>
        <v>7190</v>
      </c>
      <c r="S7" s="10">
        <v>1</v>
      </c>
      <c r="T7" s="10">
        <v>0</v>
      </c>
      <c r="U7" s="7" t="str">
        <f t="shared" si="5"/>
        <v/>
      </c>
      <c r="V7" s="7">
        <f t="shared" si="6"/>
        <v>0</v>
      </c>
      <c r="W7" s="7" t="str">
        <f t="shared" si="7"/>
        <v/>
      </c>
      <c r="X7" s="8">
        <v>7190</v>
      </c>
      <c r="Y7" t="s">
        <v>63</v>
      </c>
    </row>
    <row r="8" spans="1:25" x14ac:dyDescent="0.25">
      <c r="A8" s="14">
        <v>316914</v>
      </c>
      <c r="B8" s="14">
        <f>VLOOKUP($A8,'Выгр Кат'!$A:$R,B$1,0)</f>
        <v>316914</v>
      </c>
      <c r="C8" s="18" t="str">
        <f>VLOOKUP($A8,'Выгр Кат'!$A:$R,C$1,0)</f>
        <v>Ободок фары (хром) для Лада Нива 4х4</v>
      </c>
      <c r="D8" s="14" t="str">
        <f>VLOOKUP($A8,'Выгр Кат'!$A:$R,D$1,0)</f>
        <v>Y</v>
      </c>
      <c r="E8" s="14" t="str">
        <f>VLOOKUP($A8,'Выгр Кат'!$A:$R,E$1,0)</f>
        <v>0</v>
      </c>
      <c r="F8" s="14" t="str">
        <f>VLOOKUP($A8,'Выгр Кат'!$A:$R,F$1,0)</f>
        <v>2121-3711020</v>
      </c>
      <c r="G8" s="14"/>
      <c r="H8" s="38" t="s">
        <v>57</v>
      </c>
      <c r="I8" s="39">
        <v>200</v>
      </c>
      <c r="J8" s="15">
        <f>VLOOKUP(I8,Наценка!$A$1:$B$8,2,1)</f>
        <v>1.8</v>
      </c>
      <c r="K8" s="32">
        <f>X8-100</f>
        <v>529</v>
      </c>
      <c r="L8" s="29">
        <f t="shared" si="1"/>
        <v>529</v>
      </c>
      <c r="M8" s="14">
        <f>VLOOKUP($A8,'Выгр Кат'!$A:$R,M$1,0)</f>
        <v>200</v>
      </c>
      <c r="N8" s="14">
        <f>VLOOKUP($A8,'Выгр Кат'!$A:$R,N$1,0)</f>
        <v>619</v>
      </c>
      <c r="O8" s="25">
        <f t="shared" si="2"/>
        <v>0</v>
      </c>
      <c r="P8" s="25">
        <f t="shared" si="3"/>
        <v>90</v>
      </c>
      <c r="Q8" s="26">
        <f t="shared" si="4"/>
        <v>529</v>
      </c>
      <c r="R8" s="50">
        <f>IFERROR((VLOOKUP($A8,'Из ГУГЛа'!$B:$G,R$1,0)+T8)*S8,VLOOKUP($A8,'Из ГУГЛа'!$B:$G,R$1,0))</f>
        <v>629</v>
      </c>
      <c r="S8" s="10">
        <v>1</v>
      </c>
      <c r="T8" s="10">
        <v>0</v>
      </c>
      <c r="U8" s="7">
        <f t="shared" si="5"/>
        <v>1.645</v>
      </c>
      <c r="V8" s="7">
        <f t="shared" si="6"/>
        <v>0.1589825119236884</v>
      </c>
      <c r="W8" s="7">
        <f t="shared" si="7"/>
        <v>2.145</v>
      </c>
      <c r="X8" s="40">
        <v>629</v>
      </c>
      <c r="Y8" t="s">
        <v>123</v>
      </c>
    </row>
    <row r="9" spans="1:25" ht="45" x14ac:dyDescent="0.25">
      <c r="A9" s="14">
        <v>193949</v>
      </c>
      <c r="B9" s="14">
        <f>VLOOKUP($A9,'Выгр Кат'!$A:$R,B$1,0)</f>
        <v>17745</v>
      </c>
      <c r="C9" s="18" t="str">
        <f>VLOOKUP($A9,'Выгр Кат'!$A:$R,C$1,0)</f>
        <v>Плафон освещения салона "ОСВАР" (квадратный, с рамкой) для ВАЗ 2105-2107</v>
      </c>
      <c r="D9" s="14" t="str">
        <f>VLOOKUP($A9,'Выгр Кат'!$A:$R,D$1,0)</f>
        <v>Y</v>
      </c>
      <c r="E9" s="14" t="str">
        <f>VLOOKUP($A9,'Выгр Кат'!$A:$R,E$1,0)</f>
        <v>1</v>
      </c>
      <c r="F9" s="14" t="str">
        <f>VLOOKUP($A9,'Выгр Кат'!$A:$R,F$1,0)</f>
        <v>21050371401000</v>
      </c>
      <c r="G9" s="14"/>
      <c r="H9" s="38" t="s">
        <v>57</v>
      </c>
      <c r="I9" s="39">
        <v>70</v>
      </c>
      <c r="J9" s="15">
        <f>VLOOKUP(I9,Наценка!$A$1:$B$8,2,1)</f>
        <v>2</v>
      </c>
      <c r="K9" s="28">
        <f t="shared" si="0"/>
        <v>140</v>
      </c>
      <c r="L9" s="29">
        <f t="shared" si="1"/>
        <v>139</v>
      </c>
      <c r="M9" s="14">
        <f>VLOOKUP($A9,'Выгр Кат'!$A:$R,M$1,0)</f>
        <v>70</v>
      </c>
      <c r="N9" s="14">
        <f>VLOOKUP($A9,'Выгр Кат'!$A:$R,N$1,0)</f>
        <v>139</v>
      </c>
      <c r="O9" s="25">
        <f t="shared" si="2"/>
        <v>0</v>
      </c>
      <c r="P9" s="25">
        <f t="shared" si="3"/>
        <v>0</v>
      </c>
      <c r="Q9" s="26">
        <f t="shared" si="4"/>
        <v>139</v>
      </c>
      <c r="R9" s="50">
        <f>IFERROR((VLOOKUP($A9,'Из ГУГЛа'!$B:$G,R$1,0)+T9)*S9,VLOOKUP($A9,'Из ГУГЛа'!$B:$G,R$1,0))</f>
        <v>169</v>
      </c>
      <c r="S9" s="10">
        <v>1</v>
      </c>
      <c r="T9" s="10">
        <v>0</v>
      </c>
      <c r="U9" s="7">
        <f t="shared" si="5"/>
        <v>0.98571428571428577</v>
      </c>
      <c r="V9" s="7" t="str">
        <f t="shared" si="6"/>
        <v/>
      </c>
      <c r="W9" s="7" t="str">
        <f t="shared" si="7"/>
        <v/>
      </c>
      <c r="X9" s="40" t="s">
        <v>125</v>
      </c>
      <c r="Y9" t="s">
        <v>124</v>
      </c>
    </row>
    <row r="10" spans="1:25" ht="45" x14ac:dyDescent="0.25">
      <c r="A10" s="14">
        <v>193950</v>
      </c>
      <c r="B10" s="14">
        <f>VLOOKUP($A10,'Выгр Кат'!$A:$R,B$1,0)</f>
        <v>37211</v>
      </c>
      <c r="C10" s="18" t="str">
        <f>VLOOKUP($A10,'Выгр Кат'!$A:$R,C$1,0)</f>
        <v>Плафон освещения салона (задний, чёрный) без рамки для Лада Приора (комплектация Люкс)</v>
      </c>
      <c r="D10" s="14" t="str">
        <f>VLOOKUP($A10,'Выгр Кат'!$A:$R,D$1,0)</f>
        <v>Y</v>
      </c>
      <c r="E10" s="14" t="str">
        <f>VLOOKUP($A10,'Выгр Кат'!$A:$R,E$1,0)</f>
        <v>1ск1</v>
      </c>
      <c r="F10" s="14" t="str">
        <f>VLOOKUP($A10,'Выгр Кат'!$A:$R,F$1,0)</f>
        <v>2170-3714010-01</v>
      </c>
      <c r="G10" s="14"/>
      <c r="H10" s="38" t="s">
        <v>57</v>
      </c>
      <c r="I10" s="39">
        <v>350</v>
      </c>
      <c r="J10" s="15">
        <f>VLOOKUP(I10,Наценка!$A$1:$B$8,2,1)</f>
        <v>1.6</v>
      </c>
      <c r="K10" s="30">
        <f>X10-10</f>
        <v>680</v>
      </c>
      <c r="L10" s="29">
        <f t="shared" si="1"/>
        <v>679</v>
      </c>
      <c r="M10" s="14">
        <f>VLOOKUP($A10,'Выгр Кат'!$A:$R,M$1,0)</f>
        <v>350</v>
      </c>
      <c r="N10" s="14">
        <f>VLOOKUP($A10,'Выгр Кат'!$A:$R,N$1,0)</f>
        <v>679</v>
      </c>
      <c r="O10" s="25">
        <f t="shared" si="2"/>
        <v>0</v>
      </c>
      <c r="P10" s="25">
        <f t="shared" si="3"/>
        <v>0</v>
      </c>
      <c r="Q10" s="26">
        <f t="shared" si="4"/>
        <v>679</v>
      </c>
      <c r="R10" s="50">
        <f>IFERROR((VLOOKUP($A10,'Из ГУГЛа'!$B:$G,R$1,0)+T10)*S10,VLOOKUP($A10,'Из ГУГЛа'!$B:$G,R$1,0))</f>
        <v>690</v>
      </c>
      <c r="S10" s="10">
        <v>1</v>
      </c>
      <c r="T10" s="10">
        <v>0</v>
      </c>
      <c r="U10" s="7">
        <f t="shared" si="5"/>
        <v>0.94</v>
      </c>
      <c r="V10" s="7">
        <f t="shared" si="6"/>
        <v>1.5942028985507246E-2</v>
      </c>
      <c r="W10" s="7">
        <f t="shared" si="7"/>
        <v>0.97142857142857153</v>
      </c>
      <c r="X10" s="40">
        <v>690</v>
      </c>
      <c r="Y10" t="s">
        <v>126</v>
      </c>
    </row>
    <row r="11" spans="1:25" ht="45" x14ac:dyDescent="0.25">
      <c r="A11" s="14">
        <v>193953</v>
      </c>
      <c r="B11" s="14">
        <f>VLOOKUP($A11,'Выгр Кат'!$A:$R,B$1,0)</f>
        <v>37210</v>
      </c>
      <c r="C11" s="18" t="str">
        <f>VLOOKUP($A11,'Выгр Кат'!$A:$R,C$1,0)</f>
        <v>Плафон освещения салона (передний, чёрный) без рамки для Лада Приора (комплектация Люкс)</v>
      </c>
      <c r="D11" s="14" t="str">
        <f>VLOOKUP($A11,'Выгр Кат'!$A:$R,D$1,0)</f>
        <v>Y</v>
      </c>
      <c r="E11" s="14" t="str">
        <f>VLOOKUP($A11,'Выгр Кат'!$A:$R,E$1,0)</f>
        <v>1ск1</v>
      </c>
      <c r="F11" s="14" t="str">
        <f>VLOOKUP($A11,'Выгр Кат'!$A:$R,F$1,0)</f>
        <v>2170371401010</v>
      </c>
      <c r="G11" s="14"/>
      <c r="H11" s="38" t="s">
        <v>57</v>
      </c>
      <c r="I11" s="39">
        <v>350</v>
      </c>
      <c r="J11" s="15">
        <f>VLOOKUP(I11,Наценка!$A$1:$B$8,2,1)</f>
        <v>1.6</v>
      </c>
      <c r="K11" s="30">
        <f>X11-10</f>
        <v>580</v>
      </c>
      <c r="L11" s="29">
        <f t="shared" si="1"/>
        <v>579</v>
      </c>
      <c r="M11" s="14">
        <f>VLOOKUP($A11,'Выгр Кат'!$A:$R,M$1,0)</f>
        <v>350</v>
      </c>
      <c r="N11" s="14">
        <f>VLOOKUP($A11,'Выгр Кат'!$A:$R,N$1,0)</f>
        <v>679</v>
      </c>
      <c r="O11" s="25">
        <f t="shared" si="2"/>
        <v>0</v>
      </c>
      <c r="P11" s="25">
        <f t="shared" si="3"/>
        <v>100</v>
      </c>
      <c r="Q11" s="26">
        <f t="shared" si="4"/>
        <v>579</v>
      </c>
      <c r="R11" s="50">
        <f>IFERROR((VLOOKUP($A11,'Из ГУГЛа'!$B:$G,R$1,0)+T11)*S11,VLOOKUP($A11,'Из ГУГЛа'!$B:$G,R$1,0))</f>
        <v>590</v>
      </c>
      <c r="S11" s="10">
        <v>1</v>
      </c>
      <c r="T11" s="10">
        <v>0</v>
      </c>
      <c r="U11" s="7">
        <f t="shared" si="5"/>
        <v>0.65428571428571436</v>
      </c>
      <c r="V11" s="7">
        <f t="shared" si="6"/>
        <v>1.864406779661017E-2</v>
      </c>
      <c r="W11" s="7">
        <f t="shared" si="7"/>
        <v>0.68571428571428572</v>
      </c>
      <c r="X11" s="8">
        <v>590</v>
      </c>
      <c r="Y11" t="s">
        <v>73</v>
      </c>
    </row>
    <row r="12" spans="1:25" ht="45" x14ac:dyDescent="0.25">
      <c r="A12" s="14">
        <v>193955</v>
      </c>
      <c r="B12" s="14">
        <f>VLOOKUP($A12,'Выгр Кат'!$A:$R,B$1,0)</f>
        <v>79187</v>
      </c>
      <c r="C12" s="18" t="str">
        <f>VLOOKUP($A12,'Выгр Кат'!$A:$R,C$1,0)</f>
        <v>Плафон освещения салона (светодиодный, черный) для ВАЗ 2108-21099, 2110-2112, 2113-2115</v>
      </c>
      <c r="D12" s="14" t="str">
        <f>VLOOKUP($A12,'Выгр Кат'!$A:$R,D$1,0)</f>
        <v>Y</v>
      </c>
      <c r="E12" s="14" t="str">
        <f>VLOOKUP($A12,'Выгр Кат'!$A:$R,E$1,0)</f>
        <v>1</v>
      </c>
      <c r="F12" s="14" t="str">
        <f>VLOOKUP($A12,'Выгр Кат'!$A:$R,F$1,0)</f>
        <v>21083714010</v>
      </c>
      <c r="G12" s="14"/>
      <c r="H12" s="38" t="s">
        <v>57</v>
      </c>
      <c r="I12" s="39">
        <v>380</v>
      </c>
      <c r="J12" s="15">
        <f>VLOOKUP(I12,Наценка!$A$1:$B$8,2,1)</f>
        <v>1.6</v>
      </c>
      <c r="K12" s="30">
        <f>X12-10</f>
        <v>659</v>
      </c>
      <c r="L12" s="29">
        <f t="shared" si="1"/>
        <v>659</v>
      </c>
      <c r="M12" s="14">
        <f>VLOOKUP($A12,'Выгр Кат'!$A:$R,M$1,0)</f>
        <v>380</v>
      </c>
      <c r="N12" s="14">
        <f>VLOOKUP($A12,'Выгр Кат'!$A:$R,N$1,0)</f>
        <v>659</v>
      </c>
      <c r="O12" s="25">
        <f t="shared" si="2"/>
        <v>0</v>
      </c>
      <c r="P12" s="25">
        <f t="shared" si="3"/>
        <v>0</v>
      </c>
      <c r="Q12" s="26">
        <f t="shared" si="4"/>
        <v>659</v>
      </c>
      <c r="R12" s="50">
        <f>IFERROR((VLOOKUP($A12,'Из ГУГЛа'!$B:$G,R$1,0)+T12)*S12,VLOOKUP($A12,'Из ГУГЛа'!$B:$G,R$1,0))</f>
        <v>669</v>
      </c>
      <c r="S12" s="10">
        <v>1</v>
      </c>
      <c r="T12" s="10">
        <v>0</v>
      </c>
      <c r="U12" s="7">
        <f t="shared" si="5"/>
        <v>0.73421052631578942</v>
      </c>
      <c r="V12" s="7">
        <f t="shared" si="6"/>
        <v>1.4947683109118086E-2</v>
      </c>
      <c r="W12" s="7">
        <f t="shared" si="7"/>
        <v>0.76052631578947372</v>
      </c>
      <c r="X12" s="8">
        <v>669</v>
      </c>
      <c r="Y12" t="s">
        <v>76</v>
      </c>
    </row>
    <row r="13" spans="1:25" ht="45" x14ac:dyDescent="0.25">
      <c r="A13" s="14">
        <v>194053</v>
      </c>
      <c r="B13" s="14">
        <f>VLOOKUP($A13,'Выгр Кат'!$A:$R,B$1,0)</f>
        <v>49903</v>
      </c>
      <c r="C13" s="18" t="str">
        <f>VLOOKUP($A13,'Выгр Кат'!$A:$R,C$1,0)</f>
        <v>Поворотники в стиле "BMW E36" черные, под оптику "BOSCH" для ВАЗ 2113-2115</v>
      </c>
      <c r="D13" s="14" t="str">
        <f>VLOOKUP($A13,'Выгр Кат'!$A:$R,D$1,0)</f>
        <v>Y</v>
      </c>
      <c r="E13" s="14" t="str">
        <f>VLOOKUP($A13,'Выгр Кат'!$A:$R,E$1,0)</f>
        <v>1</v>
      </c>
      <c r="F13" s="14">
        <f>VLOOKUP($A13,'Выгр Кат'!$A:$R,F$1,0)</f>
        <v>0</v>
      </c>
      <c r="G13" s="14"/>
      <c r="H13" s="38" t="s">
        <v>57</v>
      </c>
      <c r="I13" s="39">
        <v>600</v>
      </c>
      <c r="J13" s="15">
        <f>VLOOKUP(I13,Наценка!$A$1:$B$8,2,1)</f>
        <v>1.55</v>
      </c>
      <c r="K13" s="28">
        <f t="shared" si="0"/>
        <v>930</v>
      </c>
      <c r="L13" s="29">
        <f t="shared" si="1"/>
        <v>929</v>
      </c>
      <c r="M13" s="14">
        <f>VLOOKUP($A13,'Выгр Кат'!$A:$R,M$1,0)</f>
        <v>600</v>
      </c>
      <c r="N13" s="14">
        <f>VLOOKUP($A13,'Выгр Кат'!$A:$R,N$1,0)</f>
        <v>929</v>
      </c>
      <c r="O13" s="25">
        <f t="shared" si="2"/>
        <v>0</v>
      </c>
      <c r="P13" s="25">
        <f t="shared" si="3"/>
        <v>0</v>
      </c>
      <c r="Q13" s="26">
        <f t="shared" si="4"/>
        <v>929</v>
      </c>
      <c r="R13" s="50" t="str">
        <f>IFERROR((VLOOKUP($A13,'Из ГУГЛа'!$B:$G,R$1,0)+T13)*S13,VLOOKUP($A13,'Из ГУГЛа'!$B:$G,R$1,0))</f>
        <v/>
      </c>
      <c r="S13" s="10">
        <v>1</v>
      </c>
      <c r="T13" s="10">
        <v>0</v>
      </c>
      <c r="U13" s="7">
        <f t="shared" si="5"/>
        <v>0.54833333333333334</v>
      </c>
      <c r="V13" s="7" t="str">
        <f t="shared" si="6"/>
        <v/>
      </c>
      <c r="W13" s="7" t="str">
        <f t="shared" si="7"/>
        <v/>
      </c>
      <c r="X13" s="40" t="s">
        <v>120</v>
      </c>
    </row>
    <row r="14" spans="1:25" ht="30" x14ac:dyDescent="0.25">
      <c r="A14" s="14">
        <v>194066</v>
      </c>
      <c r="B14" s="14">
        <f>VLOOKUP($A14,'Выгр Кат'!$A:$R,B$1,0)</f>
        <v>17862</v>
      </c>
      <c r="C14" s="18" t="str">
        <f>VLOOKUP($A14,'Выгр Кат'!$A:$R,C$1,0)</f>
        <v>Повторители оранжевые под "Киржач" для ВАЗ 2110-2112</v>
      </c>
      <c r="D14" s="14" t="str">
        <f>VLOOKUP($A14,'Выгр Кат'!$A:$R,D$1,0)</f>
        <v>Y</v>
      </c>
      <c r="E14" s="14" t="str">
        <f>VLOOKUP($A14,'Выгр Кат'!$A:$R,E$1,0)</f>
        <v>1</v>
      </c>
      <c r="F14" s="14">
        <f>VLOOKUP($A14,'Выгр Кат'!$A:$R,F$1,0)</f>
        <v>0</v>
      </c>
      <c r="G14" s="14"/>
      <c r="H14" s="38" t="s">
        <v>57</v>
      </c>
      <c r="I14" s="39">
        <v>560</v>
      </c>
      <c r="J14" s="15">
        <f>VLOOKUP(I14,Наценка!$A$1:$B$8,2,1)</f>
        <v>1.55</v>
      </c>
      <c r="K14" s="28">
        <f t="shared" si="0"/>
        <v>868</v>
      </c>
      <c r="L14" s="29">
        <f t="shared" si="1"/>
        <v>869</v>
      </c>
      <c r="M14" s="14">
        <f>VLOOKUP($A14,'Выгр Кат'!$A:$R,M$1,0)</f>
        <v>560</v>
      </c>
      <c r="N14" s="14">
        <f>VLOOKUP($A14,'Выгр Кат'!$A:$R,N$1,0)</f>
        <v>869</v>
      </c>
      <c r="O14" s="25">
        <f t="shared" si="2"/>
        <v>0</v>
      </c>
      <c r="P14" s="25">
        <f t="shared" si="3"/>
        <v>0</v>
      </c>
      <c r="Q14" s="26">
        <f t="shared" si="4"/>
        <v>869</v>
      </c>
      <c r="R14" s="50" t="str">
        <f>IFERROR((VLOOKUP($A14,'Из ГУГЛа'!$B:$G,R$1,0)+T14)*S14,VLOOKUP($A14,'Из ГУГЛа'!$B:$G,R$1,0))</f>
        <v/>
      </c>
      <c r="S14" s="10">
        <v>1</v>
      </c>
      <c r="T14" s="10">
        <v>0</v>
      </c>
      <c r="U14" s="7">
        <f t="shared" si="5"/>
        <v>0.55178571428571432</v>
      </c>
      <c r="V14" s="7" t="str">
        <f t="shared" si="6"/>
        <v/>
      </c>
      <c r="W14" s="7" t="str">
        <f t="shared" si="7"/>
        <v/>
      </c>
      <c r="X14" s="40" t="s">
        <v>127</v>
      </c>
    </row>
    <row r="15" spans="1:25" ht="45" x14ac:dyDescent="0.25">
      <c r="A15" s="14">
        <v>194075</v>
      </c>
      <c r="B15" s="14">
        <f>VLOOKUP($A15,'Выгр Кат'!$A:$R,B$1,0)</f>
        <v>12687</v>
      </c>
      <c r="C15" s="18" t="str">
        <f>VLOOKUP($A15,'Выгр Кат'!$A:$R,C$1,0)</f>
        <v>Повторители поворота диодные тонированные для Лада Калина, Калина 2, Приора, Приора 2, Гранта</v>
      </c>
      <c r="D15" s="14" t="str">
        <f>VLOOKUP($A15,'Выгр Кат'!$A:$R,D$1,0)</f>
        <v>Y</v>
      </c>
      <c r="E15" s="14" t="str">
        <f>VLOOKUP($A15,'Выгр Кат'!$A:$R,E$1,0)</f>
        <v>1</v>
      </c>
      <c r="F15" s="14">
        <f>VLOOKUP($A15,'Выгр Кат'!$A:$R,F$1,0)</f>
        <v>0</v>
      </c>
      <c r="G15" s="14"/>
      <c r="H15" s="38" t="s">
        <v>57</v>
      </c>
      <c r="I15" s="39">
        <v>250</v>
      </c>
      <c r="J15" s="15">
        <f>VLOOKUP(I15,Наценка!$A$1:$B$8,2,1)</f>
        <v>1.8</v>
      </c>
      <c r="K15" s="30">
        <f>X15-10</f>
        <v>519</v>
      </c>
      <c r="L15" s="29">
        <f t="shared" si="1"/>
        <v>519</v>
      </c>
      <c r="M15" s="14">
        <f>VLOOKUP($A15,'Выгр Кат'!$A:$R,M$1,0)</f>
        <v>250</v>
      </c>
      <c r="N15" s="14">
        <f>VLOOKUP($A15,'Выгр Кат'!$A:$R,N$1,0)</f>
        <v>519</v>
      </c>
      <c r="O15" s="25">
        <f t="shared" si="2"/>
        <v>0</v>
      </c>
      <c r="P15" s="25">
        <f t="shared" si="3"/>
        <v>0</v>
      </c>
      <c r="Q15" s="26">
        <f t="shared" si="4"/>
        <v>519</v>
      </c>
      <c r="R15" s="50">
        <f>IFERROR((VLOOKUP($A15,'Из ГУГЛа'!$B:$G,R$1,0)+T15)*S15,VLOOKUP($A15,'Из ГУГЛа'!$B:$G,R$1,0))</f>
        <v>529</v>
      </c>
      <c r="S15" s="10">
        <v>1</v>
      </c>
      <c r="T15" s="10">
        <v>0</v>
      </c>
      <c r="U15" s="7">
        <f t="shared" si="5"/>
        <v>1.0760000000000001</v>
      </c>
      <c r="V15" s="7">
        <f t="shared" si="6"/>
        <v>1.890359168241966E-2</v>
      </c>
      <c r="W15" s="7">
        <f t="shared" si="7"/>
        <v>1.1160000000000001</v>
      </c>
      <c r="X15" s="40">
        <v>529</v>
      </c>
      <c r="Y15" t="s">
        <v>128</v>
      </c>
    </row>
    <row r="16" spans="1:25" ht="30" x14ac:dyDescent="0.25">
      <c r="A16" s="14">
        <v>194085</v>
      </c>
      <c r="B16" s="14">
        <f>VLOOKUP($A16,'Выгр Кат'!$A:$R,B$1,0)</f>
        <v>8993</v>
      </c>
      <c r="C16" s="18" t="str">
        <f>VLOOKUP($A16,'Выгр Кат'!$A:$R,C$1,0)</f>
        <v>Повторители поворотов в зеркала для Лада Веста</v>
      </c>
      <c r="D16" s="14" t="str">
        <f>VLOOKUP($A16,'Выгр Кат'!$A:$R,D$1,0)</f>
        <v>Y</v>
      </c>
      <c r="E16" s="14" t="str">
        <f>VLOOKUP($A16,'Выгр Кат'!$A:$R,E$1,0)</f>
        <v>1ск1</v>
      </c>
      <c r="F16" s="14">
        <f>VLOOKUP($A16,'Выгр Кат'!$A:$R,F$1,0)</f>
        <v>0</v>
      </c>
      <c r="G16" s="14"/>
      <c r="H16" s="38" t="s">
        <v>57</v>
      </c>
      <c r="I16" s="39">
        <v>400</v>
      </c>
      <c r="J16" s="15">
        <f>VLOOKUP(I16,Наценка!$A$1:$B$8,2,1)</f>
        <v>1.6</v>
      </c>
      <c r="K16" s="28">
        <f t="shared" si="0"/>
        <v>640</v>
      </c>
      <c r="L16" s="29">
        <f t="shared" si="1"/>
        <v>639</v>
      </c>
      <c r="M16" s="14">
        <f>VLOOKUP($A16,'Выгр Кат'!$A:$R,M$1,0)</f>
        <v>400</v>
      </c>
      <c r="N16" s="14">
        <f>VLOOKUP($A16,'Выгр Кат'!$A:$R,N$1,0)</f>
        <v>639</v>
      </c>
      <c r="O16" s="25">
        <f t="shared" si="2"/>
        <v>0</v>
      </c>
      <c r="P16" s="25">
        <f t="shared" si="3"/>
        <v>0</v>
      </c>
      <c r="Q16" s="26">
        <f t="shared" si="4"/>
        <v>639</v>
      </c>
      <c r="R16" s="50" t="str">
        <f>IFERROR((VLOOKUP($A16,'Из ГУГЛа'!$B:$G,R$1,0)+T16)*S16,VLOOKUP($A16,'Из ГУГЛа'!$B:$G,R$1,0))</f>
        <v/>
      </c>
      <c r="S16" s="10">
        <v>1</v>
      </c>
      <c r="T16" s="10">
        <v>0</v>
      </c>
      <c r="U16" s="7">
        <f t="shared" si="5"/>
        <v>0.59749999999999992</v>
      </c>
      <c r="V16" s="7" t="str">
        <f t="shared" si="6"/>
        <v/>
      </c>
      <c r="W16" s="7" t="str">
        <f t="shared" si="7"/>
        <v/>
      </c>
      <c r="X16" s="40" t="s">
        <v>120</v>
      </c>
    </row>
    <row r="17" spans="1:25" ht="30" x14ac:dyDescent="0.25">
      <c r="A17" s="14">
        <v>194924</v>
      </c>
      <c r="B17" s="14">
        <f>VLOOKUP($A17,'Выгр Кат'!$A:$R,B$1,0)</f>
        <v>4166</v>
      </c>
      <c r="C17" s="18" t="str">
        <f>VLOOKUP($A17,'Выгр Кат'!$A:$R,C$1,0)</f>
        <v>Подфарник левый для Лада Нива нового образца желтые</v>
      </c>
      <c r="D17" s="14" t="str">
        <f>VLOOKUP($A17,'Выгр Кат'!$A:$R,D$1,0)</f>
        <v>Y</v>
      </c>
      <c r="E17" s="14" t="str">
        <f>VLOOKUP($A17,'Выгр Кат'!$A:$R,E$1,0)</f>
        <v>1</v>
      </c>
      <c r="F17" s="14">
        <f>VLOOKUP($A17,'Выгр Кат'!$A:$R,F$1,0)</f>
        <v>0</v>
      </c>
      <c r="G17" s="14"/>
      <c r="H17" s="38" t="s">
        <v>57</v>
      </c>
      <c r="I17" s="39">
        <v>350</v>
      </c>
      <c r="J17" s="15">
        <f>VLOOKUP(I17,Наценка!$A$1:$B$8,2,1)</f>
        <v>1.6</v>
      </c>
      <c r="K17" s="30">
        <f>X17-10</f>
        <v>585</v>
      </c>
      <c r="L17" s="29">
        <f t="shared" si="1"/>
        <v>589</v>
      </c>
      <c r="M17" s="14">
        <f>VLOOKUP($A17,'Выгр Кат'!$A:$R,M$1,0)</f>
        <v>350</v>
      </c>
      <c r="N17" s="14">
        <f>VLOOKUP($A17,'Выгр Кат'!$A:$R,N$1,0)</f>
        <v>589</v>
      </c>
      <c r="O17" s="25">
        <f t="shared" si="2"/>
        <v>0</v>
      </c>
      <c r="P17" s="25">
        <f t="shared" si="3"/>
        <v>0</v>
      </c>
      <c r="Q17" s="26">
        <f t="shared" si="4"/>
        <v>589</v>
      </c>
      <c r="R17" s="50">
        <f>IFERROR((VLOOKUP($A17,'Из ГУГЛа'!$B:$G,R$1,0)+T17)*S17,VLOOKUP($A17,'Из ГУГЛа'!$B:$G,R$1,0))</f>
        <v>595</v>
      </c>
      <c r="S17" s="10">
        <v>0.5</v>
      </c>
      <c r="T17" s="10">
        <v>0</v>
      </c>
      <c r="U17" s="7">
        <f t="shared" si="5"/>
        <v>0.68285714285714283</v>
      </c>
      <c r="V17" s="7">
        <f t="shared" si="6"/>
        <v>1.0084033613445379E-2</v>
      </c>
      <c r="W17" s="7">
        <f t="shared" si="7"/>
        <v>0.7</v>
      </c>
      <c r="X17" s="40">
        <f>1190/2</f>
        <v>595</v>
      </c>
      <c r="Y17" t="s">
        <v>129</v>
      </c>
    </row>
    <row r="18" spans="1:25" ht="30" x14ac:dyDescent="0.25">
      <c r="A18" s="14">
        <v>194926</v>
      </c>
      <c r="B18" s="14">
        <f>VLOOKUP($A18,'Выгр Кат'!$A:$R,B$1,0)</f>
        <v>4167</v>
      </c>
      <c r="C18" s="18" t="str">
        <f>VLOOKUP($A18,'Выгр Кат'!$A:$R,C$1,0)</f>
        <v>Подфарник правый для Лада Нива нового образца желтые</v>
      </c>
      <c r="D18" s="14" t="str">
        <f>VLOOKUP($A18,'Выгр Кат'!$A:$R,D$1,0)</f>
        <v>Y</v>
      </c>
      <c r="E18" s="14" t="str">
        <f>VLOOKUP($A18,'Выгр Кат'!$A:$R,E$1,0)</f>
        <v>1</v>
      </c>
      <c r="F18" s="14">
        <f>VLOOKUP($A18,'Выгр Кат'!$A:$R,F$1,0)</f>
        <v>0</v>
      </c>
      <c r="G18" s="14"/>
      <c r="H18" s="38" t="s">
        <v>57</v>
      </c>
      <c r="I18" s="39">
        <v>350</v>
      </c>
      <c r="J18" s="15">
        <f>VLOOKUP(I18,Наценка!$A$1:$B$8,2,1)</f>
        <v>1.6</v>
      </c>
      <c r="K18" s="30">
        <f>X18-10</f>
        <v>585</v>
      </c>
      <c r="L18" s="29">
        <f t="shared" si="1"/>
        <v>589</v>
      </c>
      <c r="M18" s="14">
        <f>VLOOKUP($A18,'Выгр Кат'!$A:$R,M$1,0)</f>
        <v>350</v>
      </c>
      <c r="N18" s="14">
        <f>VLOOKUP($A18,'Выгр Кат'!$A:$R,N$1,0)</f>
        <v>589</v>
      </c>
      <c r="O18" s="25">
        <f t="shared" ref="O18" si="8">M18-I18</f>
        <v>0</v>
      </c>
      <c r="P18" s="25">
        <f t="shared" ref="P18" si="9">N18-L18</f>
        <v>0</v>
      </c>
      <c r="Q18" s="26">
        <f t="shared" ref="Q18" si="10">IFERROR(L18*(1-$Q$2),"")</f>
        <v>589</v>
      </c>
      <c r="R18" s="50">
        <f>IFERROR((VLOOKUP($A18,'Из ГУГЛа'!$B:$G,R$1,0)+T18)*S18,VLOOKUP($A18,'Из ГУГЛа'!$B:$G,R$1,0))</f>
        <v>595</v>
      </c>
      <c r="S18" s="10">
        <v>0.5</v>
      </c>
      <c r="T18" s="10">
        <v>0</v>
      </c>
      <c r="U18" s="7">
        <f t="shared" ref="U18" si="11">IFERROR(Q18/I18-1,"")</f>
        <v>0.68285714285714283</v>
      </c>
      <c r="V18" s="7">
        <f t="shared" ref="V18" si="12">IFERROR((X18-Q18)/X18,"")</f>
        <v>1.0084033613445379E-2</v>
      </c>
      <c r="W18" s="7">
        <f t="shared" ref="W18" si="13">IFERROR(IF(X18="","",X18/I18-1),"")</f>
        <v>0.7</v>
      </c>
      <c r="X18" s="40">
        <f>1190/2</f>
        <v>595</v>
      </c>
      <c r="Y18" t="s">
        <v>129</v>
      </c>
    </row>
    <row r="19" spans="1:25" ht="30" x14ac:dyDescent="0.25">
      <c r="A19" s="14">
        <v>348783</v>
      </c>
      <c r="B19" s="14">
        <f>VLOOKUP($A19,'Выгр Кат'!$A:$R,B$1,0)</f>
        <v>348783</v>
      </c>
      <c r="C19" s="18" t="str">
        <f>VLOOKUP($A19,'Выгр Кат'!$A:$R,C$1,0)</f>
        <v>Противотуманный фары LED для Лада Веста, Нива 4x4 Урбан</v>
      </c>
      <c r="D19" s="14" t="str">
        <f>VLOOKUP($A19,'Выгр Кат'!$A:$R,D$1,0)</f>
        <v>Y</v>
      </c>
      <c r="E19" s="14" t="str">
        <f>VLOOKUP($A19,'Выгр Кат'!$A:$R,E$1,0)</f>
        <v>1ск1</v>
      </c>
      <c r="F19" s="14">
        <f>VLOOKUP($A19,'Выгр Кат'!$A:$R,F$1,0)</f>
        <v>0</v>
      </c>
      <c r="G19" s="14"/>
      <c r="H19" s="38" t="s">
        <v>57</v>
      </c>
      <c r="I19" s="39">
        <v>0</v>
      </c>
      <c r="J19" s="15" t="e">
        <f>VLOOKUP(I19,Наценка!$A$1:$B$8,2,1)</f>
        <v>#N/A</v>
      </c>
      <c r="K19" s="28" t="e">
        <f t="shared" si="0"/>
        <v>#N/A</v>
      </c>
      <c r="L19" s="29" t="e">
        <f t="shared" si="1"/>
        <v>#N/A</v>
      </c>
      <c r="M19" s="14">
        <f>VLOOKUP($A19,'Выгр Кат'!$A:$R,M$1,0)</f>
        <v>0</v>
      </c>
      <c r="N19" s="14">
        <f>VLOOKUP($A19,'Выгр Кат'!$A:$R,N$1,0)</f>
        <v>1990</v>
      </c>
      <c r="O19" s="25">
        <f t="shared" si="2"/>
        <v>0</v>
      </c>
      <c r="P19" s="25" t="e">
        <f t="shared" si="3"/>
        <v>#N/A</v>
      </c>
      <c r="Q19" s="26" t="str">
        <f t="shared" si="4"/>
        <v/>
      </c>
      <c r="R19" s="50" t="str">
        <f>IFERROR((VLOOKUP($A19,'Из ГУГЛа'!$B:$G,R$1,0)+T19)*S19,VLOOKUP($A19,'Из ГУГЛа'!$B:$G,R$1,0))</f>
        <v/>
      </c>
      <c r="S19" s="10">
        <v>1</v>
      </c>
      <c r="T19" s="10">
        <v>0</v>
      </c>
      <c r="U19" s="7" t="str">
        <f t="shared" si="5"/>
        <v/>
      </c>
      <c r="V19" s="7" t="str">
        <f t="shared" si="6"/>
        <v/>
      </c>
      <c r="W19" s="7" t="str">
        <f t="shared" si="7"/>
        <v/>
      </c>
      <c r="X19" s="40" t="s">
        <v>120</v>
      </c>
    </row>
    <row r="20" spans="1:25" ht="45" x14ac:dyDescent="0.25">
      <c r="A20" s="14">
        <v>213590</v>
      </c>
      <c r="B20" s="14">
        <f>VLOOKUP($A20,'Выгр Кат'!$A:$R,B$1,0)</f>
        <v>14164</v>
      </c>
      <c r="C20" s="18" t="str">
        <f>VLOOKUP($A20,'Выгр Кат'!$A:$R,C$1,0)</f>
        <v>Светодиодные задние фонари "СЕВиЕМ" с анимацией "Lexus", тонированные для ВАЗ 2110</v>
      </c>
      <c r="D20" s="14" t="str">
        <f>VLOOKUP($A20,'Выгр Кат'!$A:$R,D$1,0)</f>
        <v>Y</v>
      </c>
      <c r="E20" s="14" t="str">
        <f>VLOOKUP($A20,'Выгр Кат'!$A:$R,E$1,0)</f>
        <v>1</v>
      </c>
      <c r="F20" s="14">
        <f>VLOOKUP($A20,'Выгр Кат'!$A:$R,F$1,0)</f>
        <v>0</v>
      </c>
      <c r="G20" s="14"/>
      <c r="H20" s="38" t="s">
        <v>57</v>
      </c>
      <c r="I20" s="39">
        <v>3700</v>
      </c>
      <c r="J20" s="15">
        <f>VLOOKUP(I20,Наценка!$A$1:$B$8,2,1)</f>
        <v>1.4</v>
      </c>
      <c r="K20" s="28">
        <f t="shared" si="0"/>
        <v>5180</v>
      </c>
      <c r="L20" s="29">
        <f t="shared" si="1"/>
        <v>5190</v>
      </c>
      <c r="M20" s="14">
        <f>VLOOKUP($A20,'Выгр Кат'!$A:$R,M$1,0)</f>
        <v>3700</v>
      </c>
      <c r="N20" s="14">
        <f>VLOOKUP($A20,'Выгр Кат'!$A:$R,N$1,0)</f>
        <v>5190</v>
      </c>
      <c r="O20" s="25">
        <f t="shared" si="2"/>
        <v>0</v>
      </c>
      <c r="P20" s="25">
        <f t="shared" si="3"/>
        <v>0</v>
      </c>
      <c r="Q20" s="26">
        <f t="shared" si="4"/>
        <v>5190</v>
      </c>
      <c r="R20" s="50">
        <f>IFERROR((VLOOKUP($A20,'Из ГУГЛа'!$B:$G,R$1,0)+T20)*S20,VLOOKUP($A20,'Из ГУГЛа'!$B:$G,R$1,0))</f>
        <v>4190</v>
      </c>
      <c r="S20" s="10">
        <v>1</v>
      </c>
      <c r="T20" s="10">
        <v>0</v>
      </c>
      <c r="U20" s="7">
        <f t="shared" si="5"/>
        <v>0.40270270270270281</v>
      </c>
      <c r="V20" s="7" t="str">
        <f t="shared" si="6"/>
        <v/>
      </c>
      <c r="W20" s="7" t="str">
        <f t="shared" si="7"/>
        <v/>
      </c>
      <c r="X20" s="40" t="s">
        <v>131</v>
      </c>
      <c r="Y20" t="s">
        <v>130</v>
      </c>
    </row>
    <row r="21" spans="1:25" ht="30" x14ac:dyDescent="0.25">
      <c r="A21" s="14">
        <v>213594</v>
      </c>
      <c r="B21" s="14">
        <f>VLOOKUP($A21,'Выгр Кат'!$A:$R,B$1,0)</f>
        <v>29601</v>
      </c>
      <c r="C21" s="18" t="str">
        <f>VLOOKUP($A21,'Выгр Кат'!$A:$R,C$1,0)</f>
        <v>Светодиодные красные задние LED-фонари для Лада Веста</v>
      </c>
      <c r="D21" s="14" t="str">
        <f>VLOOKUP($A21,'Выгр Кат'!$A:$R,D$1,0)</f>
        <v>Y</v>
      </c>
      <c r="E21" s="14" t="str">
        <f>VLOOKUP($A21,'Выгр Кат'!$A:$R,E$1,0)</f>
        <v>1</v>
      </c>
      <c r="F21" s="14">
        <f>VLOOKUP($A21,'Выгр Кат'!$A:$R,F$1,0)</f>
        <v>0</v>
      </c>
      <c r="G21" s="14"/>
      <c r="H21" s="38" t="s">
        <v>57</v>
      </c>
      <c r="I21" s="39">
        <v>9000</v>
      </c>
      <c r="J21" s="15">
        <f>VLOOKUP(I21,Наценка!$A$1:$B$8,2,1)</f>
        <v>1.35</v>
      </c>
      <c r="K21" s="28">
        <f t="shared" si="0"/>
        <v>12150</v>
      </c>
      <c r="L21" s="29">
        <f t="shared" si="1"/>
        <v>12190</v>
      </c>
      <c r="M21" s="14">
        <f>VLOOKUP($A21,'Выгр Кат'!$A:$R,M$1,0)</f>
        <v>9000</v>
      </c>
      <c r="N21" s="14">
        <f>VLOOKUP($A21,'Выгр Кат'!$A:$R,N$1,0)</f>
        <v>12190</v>
      </c>
      <c r="O21" s="25">
        <f t="shared" si="2"/>
        <v>0</v>
      </c>
      <c r="P21" s="25">
        <f t="shared" si="3"/>
        <v>0</v>
      </c>
      <c r="Q21" s="26">
        <f t="shared" si="4"/>
        <v>12190</v>
      </c>
      <c r="R21" s="50">
        <f>IFERROR((VLOOKUP($A21,'Из ГУГЛа'!$B:$G,R$1,0)+T21)*S21,VLOOKUP($A21,'Из ГУГЛа'!$B:$G,R$1,0))</f>
        <v>8590</v>
      </c>
      <c r="S21" s="10">
        <v>1</v>
      </c>
      <c r="T21" s="10">
        <v>0</v>
      </c>
      <c r="U21" s="7">
        <f t="shared" si="5"/>
        <v>0.35444444444444434</v>
      </c>
      <c r="V21" s="7">
        <f t="shared" si="6"/>
        <v>-0.4190919674039581</v>
      </c>
      <c r="W21" s="7">
        <f t="shared" si="7"/>
        <v>-4.5555555555555571E-2</v>
      </c>
      <c r="X21" s="40">
        <v>8590</v>
      </c>
      <c r="Y21" t="s">
        <v>132</v>
      </c>
    </row>
    <row r="22" spans="1:25" ht="30" x14ac:dyDescent="0.25">
      <c r="A22" s="14">
        <v>213667</v>
      </c>
      <c r="B22" s="14">
        <f>VLOOKUP($A22,'Выгр Кат'!$A:$R,B$1,0)</f>
        <v>32817</v>
      </c>
      <c r="C22" s="18" t="str">
        <f>VLOOKUP($A22,'Выгр Кат'!$A:$R,C$1,0)</f>
        <v>Светодиодные платы задних фонарей для ВАЗ 2108-21099, 2113-2114</v>
      </c>
      <c r="D22" s="14" t="str">
        <f>VLOOKUP($A22,'Выгр Кат'!$A:$R,D$1,0)</f>
        <v>Y</v>
      </c>
      <c r="E22" s="14" t="str">
        <f>VLOOKUP($A22,'Выгр Кат'!$A:$R,E$1,0)</f>
        <v>1</v>
      </c>
      <c r="F22" s="14">
        <f>VLOOKUP($A22,'Выгр Кат'!$A:$R,F$1,0)</f>
        <v>0</v>
      </c>
      <c r="G22" s="14"/>
      <c r="H22" s="38" t="s">
        <v>57</v>
      </c>
      <c r="I22" s="39">
        <v>600</v>
      </c>
      <c r="J22" s="15">
        <f>VLOOKUP(I22,Наценка!$A$1:$B$8,2,1)</f>
        <v>1.55</v>
      </c>
      <c r="K22" s="31">
        <f>X22-30</f>
        <v>960</v>
      </c>
      <c r="L22" s="29">
        <f t="shared" si="1"/>
        <v>959</v>
      </c>
      <c r="M22" s="14">
        <f>VLOOKUP($A22,'Выгр Кат'!$A:$R,M$1,0)</f>
        <v>600</v>
      </c>
      <c r="N22" s="14">
        <f>VLOOKUP($A22,'Выгр Кат'!$A:$R,N$1,0)</f>
        <v>979</v>
      </c>
      <c r="O22" s="25">
        <f t="shared" si="2"/>
        <v>0</v>
      </c>
      <c r="P22" s="25">
        <f t="shared" si="3"/>
        <v>20</v>
      </c>
      <c r="Q22" s="26">
        <f t="shared" si="4"/>
        <v>959</v>
      </c>
      <c r="R22" s="50">
        <f>IFERROR((VLOOKUP($A22,'Из ГУГЛа'!$B:$G,R$1,0)+T22)*S22,VLOOKUP($A22,'Из ГУГЛа'!$B:$G,R$1,0))</f>
        <v>990</v>
      </c>
      <c r="S22" s="10">
        <v>1</v>
      </c>
      <c r="T22" s="10">
        <v>0</v>
      </c>
      <c r="U22" s="7">
        <f t="shared" si="5"/>
        <v>0.59833333333333338</v>
      </c>
      <c r="V22" s="7">
        <f t="shared" si="6"/>
        <v>3.1313131313131314E-2</v>
      </c>
      <c r="W22" s="7">
        <f t="shared" si="7"/>
        <v>0.64999999999999991</v>
      </c>
      <c r="X22" s="40">
        <v>990</v>
      </c>
      <c r="Y22" t="s">
        <v>133</v>
      </c>
    </row>
    <row r="23" spans="1:25" ht="30" x14ac:dyDescent="0.25">
      <c r="A23" s="14">
        <v>213730</v>
      </c>
      <c r="B23" s="14">
        <f>VLOOKUP($A23,'Выгр Кат'!$A:$R,B$1,0)</f>
        <v>31896</v>
      </c>
      <c r="C23" s="18" t="str">
        <f>VLOOKUP($A23,'Выгр Кат'!$A:$R,C$1,0)</f>
        <v>Светодиодные чёрные задние LED-фонари для Лада Веста</v>
      </c>
      <c r="D23" s="14" t="str">
        <f>VLOOKUP($A23,'Выгр Кат'!$A:$R,D$1,0)</f>
        <v>Y</v>
      </c>
      <c r="E23" s="14" t="str">
        <f>VLOOKUP($A23,'Выгр Кат'!$A:$R,E$1,0)</f>
        <v>1</v>
      </c>
      <c r="F23" s="14">
        <f>VLOOKUP($A23,'Выгр Кат'!$A:$R,F$1,0)</f>
        <v>0</v>
      </c>
      <c r="G23" s="14"/>
      <c r="H23" s="38" t="s">
        <v>57</v>
      </c>
      <c r="I23" s="39">
        <v>9000</v>
      </c>
      <c r="J23" s="15">
        <f>VLOOKUP(I23,Наценка!$A$1:$B$8,2,1)</f>
        <v>1.35</v>
      </c>
      <c r="K23" s="28">
        <f t="shared" si="0"/>
        <v>12150</v>
      </c>
      <c r="L23" s="29">
        <f t="shared" si="1"/>
        <v>12190</v>
      </c>
      <c r="M23" s="14">
        <f>VLOOKUP($A23,'Выгр Кат'!$A:$R,M$1,0)</f>
        <v>9000</v>
      </c>
      <c r="N23" s="14">
        <f>VLOOKUP($A23,'Выгр Кат'!$A:$R,N$1,0)</f>
        <v>12190</v>
      </c>
      <c r="O23" s="25">
        <f t="shared" si="2"/>
        <v>0</v>
      </c>
      <c r="P23" s="25">
        <f t="shared" si="3"/>
        <v>0</v>
      </c>
      <c r="Q23" s="26">
        <f t="shared" si="4"/>
        <v>12190</v>
      </c>
      <c r="R23" s="50">
        <f>IFERROR((VLOOKUP($A23,'Из ГУГЛа'!$B:$G,R$1,0)+T23)*S23,VLOOKUP($A23,'Из ГУГЛа'!$B:$G,R$1,0))</f>
        <v>9990</v>
      </c>
      <c r="S23" s="10">
        <v>1</v>
      </c>
      <c r="T23" s="10">
        <v>0</v>
      </c>
      <c r="U23" s="7">
        <f t="shared" si="5"/>
        <v>0.35444444444444434</v>
      </c>
      <c r="V23" s="7">
        <f t="shared" si="6"/>
        <v>-0.22022022022022023</v>
      </c>
      <c r="W23" s="7">
        <f t="shared" si="7"/>
        <v>0.1100000000000001</v>
      </c>
      <c r="X23" s="40">
        <v>9990</v>
      </c>
      <c r="Y23" t="s">
        <v>134</v>
      </c>
    </row>
    <row r="24" spans="1:25" ht="30" x14ac:dyDescent="0.25">
      <c r="A24" s="14">
        <v>217456</v>
      </c>
      <c r="B24" s="14">
        <f>VLOOKUP($A24,'Выгр Кат'!$A:$R,B$1,0)</f>
        <v>76563</v>
      </c>
      <c r="C24" s="18" t="str">
        <f>VLOOKUP($A24,'Выгр Кат'!$A:$R,C$1,0)</f>
        <v>Стекло левой фары "ОСВАР" для ВАЗ 2113-2115</v>
      </c>
      <c r="D24" s="14" t="str">
        <f>VLOOKUP($A24,'Выгр Кат'!$A:$R,D$1,0)</f>
        <v>Y</v>
      </c>
      <c r="E24" s="14" t="str">
        <f>VLOOKUP($A24,'Выгр Кат'!$A:$R,E$1,0)</f>
        <v>1ск1</v>
      </c>
      <c r="F24" s="14">
        <f>VLOOKUP($A24,'Выгр Кат'!$A:$R,F$1,0)</f>
        <v>0</v>
      </c>
      <c r="G24" s="14"/>
      <c r="H24" s="38" t="s">
        <v>57</v>
      </c>
      <c r="I24" s="39">
        <v>170</v>
      </c>
      <c r="J24" s="15">
        <f>VLOOKUP(I24,Наценка!$A$1:$B$8,2,1)</f>
        <v>1.8</v>
      </c>
      <c r="K24" s="30">
        <f>X24-10</f>
        <v>359</v>
      </c>
      <c r="L24" s="29">
        <f t="shared" si="1"/>
        <v>359</v>
      </c>
      <c r="M24" s="14">
        <f>VLOOKUP($A24,'Выгр Кат'!$A:$R,M$1,0)</f>
        <v>170</v>
      </c>
      <c r="N24" s="14">
        <f>VLOOKUP($A24,'Выгр Кат'!$A:$R,N$1,0)</f>
        <v>359</v>
      </c>
      <c r="O24" s="25">
        <f t="shared" si="2"/>
        <v>0</v>
      </c>
      <c r="P24" s="25">
        <f t="shared" si="3"/>
        <v>0</v>
      </c>
      <c r="Q24" s="26">
        <f t="shared" si="4"/>
        <v>359</v>
      </c>
      <c r="R24" s="50">
        <f>IFERROR((VLOOKUP($A24,'Из ГУГЛа'!$B:$G,R$1,0)+T24)*S24,VLOOKUP($A24,'Из ГУГЛа'!$B:$G,R$1,0))</f>
        <v>369</v>
      </c>
      <c r="S24" s="10">
        <v>1</v>
      </c>
      <c r="T24" s="10">
        <v>0</v>
      </c>
      <c r="U24" s="7">
        <f t="shared" si="5"/>
        <v>1.111764705882353</v>
      </c>
      <c r="V24" s="7">
        <f t="shared" si="6"/>
        <v>2.7100271002710029E-2</v>
      </c>
      <c r="W24" s="7">
        <f t="shared" si="7"/>
        <v>1.1705882352941175</v>
      </c>
      <c r="X24" s="40">
        <v>369</v>
      </c>
      <c r="Y24" t="s">
        <v>135</v>
      </c>
    </row>
    <row r="25" spans="1:25" ht="30" x14ac:dyDescent="0.25">
      <c r="A25" s="14">
        <v>217461</v>
      </c>
      <c r="B25" s="14">
        <f>VLOOKUP($A25,'Выгр Кат'!$A:$R,B$1,0)</f>
        <v>76562</v>
      </c>
      <c r="C25" s="18" t="str">
        <f>VLOOKUP($A25,'Выгр Кат'!$A:$R,C$1,0)</f>
        <v>Стекло правой фары "ОСВАР" для ВАЗ 2113-2115</v>
      </c>
      <c r="D25" s="14" t="str">
        <f>VLOOKUP($A25,'Выгр Кат'!$A:$R,D$1,0)</f>
        <v>Y</v>
      </c>
      <c r="E25" s="14" t="str">
        <f>VLOOKUP($A25,'Выгр Кат'!$A:$R,E$1,0)</f>
        <v>1ск1</v>
      </c>
      <c r="F25" s="14">
        <f>VLOOKUP($A25,'Выгр Кат'!$A:$R,F$1,0)</f>
        <v>0</v>
      </c>
      <c r="G25" s="14"/>
      <c r="H25" s="38" t="s">
        <v>57</v>
      </c>
      <c r="I25" s="39">
        <v>170</v>
      </c>
      <c r="J25" s="15">
        <f>VLOOKUP(I25,Наценка!$A$1:$B$8,2,1)</f>
        <v>1.8</v>
      </c>
      <c r="K25" s="30">
        <f>X25-10</f>
        <v>359</v>
      </c>
      <c r="L25" s="29">
        <f t="shared" si="1"/>
        <v>359</v>
      </c>
      <c r="M25" s="14">
        <f>VLOOKUP($A25,'Выгр Кат'!$A:$R,M$1,0)</f>
        <v>170</v>
      </c>
      <c r="N25" s="14">
        <f>VLOOKUP($A25,'Выгр Кат'!$A:$R,N$1,0)</f>
        <v>359</v>
      </c>
      <c r="O25" s="25">
        <f t="shared" ref="O25" si="14">M25-I25</f>
        <v>0</v>
      </c>
      <c r="P25" s="25">
        <f t="shared" ref="P25" si="15">N25-L25</f>
        <v>0</v>
      </c>
      <c r="Q25" s="26">
        <f t="shared" ref="Q25" si="16">IFERROR(L25*(1-$Q$2),"")</f>
        <v>359</v>
      </c>
      <c r="R25" s="50">
        <f>IFERROR((VLOOKUP($A25,'Из ГУГЛа'!$B:$G,R$1,0)+T25)*S25,VLOOKUP($A25,'Из ГУГЛа'!$B:$G,R$1,0))</f>
        <v>369</v>
      </c>
      <c r="S25" s="10">
        <v>1</v>
      </c>
      <c r="T25" s="10">
        <v>0</v>
      </c>
      <c r="U25" s="7">
        <f t="shared" ref="U25" si="17">IFERROR(Q25/I25-1,"")</f>
        <v>1.111764705882353</v>
      </c>
      <c r="V25" s="7">
        <f t="shared" ref="V25" si="18">IFERROR((X25-Q25)/X25,"")</f>
        <v>2.7100271002710029E-2</v>
      </c>
      <c r="W25" s="7">
        <f t="shared" ref="W25" si="19">IFERROR(IF(X25="","",X25/I25-1),"")</f>
        <v>1.1705882352941175</v>
      </c>
      <c r="X25" s="40">
        <v>369</v>
      </c>
      <c r="Y25" t="s">
        <v>136</v>
      </c>
    </row>
    <row r="26" spans="1:25" ht="30" x14ac:dyDescent="0.25">
      <c r="A26" s="14">
        <v>217457</v>
      </c>
      <c r="B26" s="14">
        <f>VLOOKUP($A26,'Выгр Кат'!$A:$R,B$1,0)</f>
        <v>34792</v>
      </c>
      <c r="C26" s="18" t="str">
        <f>VLOOKUP($A26,'Выгр Кат'!$A:$R,C$1,0)</f>
        <v>Стекло левой фары (аналог) для Лада Ларгус</v>
      </c>
      <c r="D26" s="14" t="str">
        <f>VLOOKUP($A26,'Выгр Кат'!$A:$R,D$1,0)</f>
        <v>Y</v>
      </c>
      <c r="E26" s="14" t="str">
        <f>VLOOKUP($A26,'Выгр Кат'!$A:$R,E$1,0)</f>
        <v>1</v>
      </c>
      <c r="F26" s="14">
        <f>VLOOKUP($A26,'Выгр Кат'!$A:$R,F$1,0)</f>
        <v>0</v>
      </c>
      <c r="G26" s="14"/>
      <c r="H26" s="38" t="s">
        <v>57</v>
      </c>
      <c r="I26" s="39">
        <v>400</v>
      </c>
      <c r="J26" s="15">
        <f>VLOOKUP(I26,Наценка!$A$1:$B$8,2,1)</f>
        <v>1.6</v>
      </c>
      <c r="K26" s="31">
        <f>X26-30</f>
        <v>909</v>
      </c>
      <c r="L26" s="29">
        <f t="shared" si="1"/>
        <v>909</v>
      </c>
      <c r="M26" s="14">
        <f>VLOOKUP($A26,'Выгр Кат'!$A:$R,M$1,0)</f>
        <v>400</v>
      </c>
      <c r="N26" s="14">
        <f>VLOOKUP($A26,'Выгр Кат'!$A:$R,N$1,0)</f>
        <v>789</v>
      </c>
      <c r="O26" s="25">
        <f t="shared" si="2"/>
        <v>0</v>
      </c>
      <c r="P26" s="25">
        <f t="shared" si="3"/>
        <v>-120</v>
      </c>
      <c r="Q26" s="26">
        <f t="shared" si="4"/>
        <v>909</v>
      </c>
      <c r="R26" s="50">
        <f>IFERROR((VLOOKUP($A26,'Из ГУГЛа'!$B:$G,R$1,0)+T26)*S26,VLOOKUP($A26,'Из ГУГЛа'!$B:$G,R$1,0))</f>
        <v>939</v>
      </c>
      <c r="S26" s="10">
        <v>1</v>
      </c>
      <c r="T26" s="10">
        <v>0</v>
      </c>
      <c r="U26" s="7">
        <f t="shared" si="5"/>
        <v>1.2725</v>
      </c>
      <c r="V26" s="7">
        <f t="shared" si="6"/>
        <v>3.1948881789137379E-2</v>
      </c>
      <c r="W26" s="7">
        <f t="shared" si="7"/>
        <v>1.3475000000000001</v>
      </c>
      <c r="X26" s="40">
        <v>939</v>
      </c>
      <c r="Y26" t="s">
        <v>137</v>
      </c>
    </row>
    <row r="27" spans="1:25" ht="30" x14ac:dyDescent="0.25">
      <c r="A27" s="14">
        <v>217458</v>
      </c>
      <c r="B27" s="14">
        <f>VLOOKUP($A27,'Выгр Кат'!$A:$R,B$1,0)</f>
        <v>8046</v>
      </c>
      <c r="C27" s="18" t="str">
        <f>VLOOKUP($A27,'Выгр Кат'!$A:$R,C$1,0)</f>
        <v>Стекло подфарника на ВАЗ 2106, левый, белый</v>
      </c>
      <c r="D27" s="14" t="str">
        <f>VLOOKUP($A27,'Выгр Кат'!$A:$R,D$1,0)</f>
        <v>Y</v>
      </c>
      <c r="E27" s="14" t="str">
        <f>VLOOKUP($A27,'Выгр Кат'!$A:$R,E$1,0)</f>
        <v>1</v>
      </c>
      <c r="F27" s="14">
        <f>VLOOKUP($A27,'Выгр Кат'!$A:$R,F$1,0)</f>
        <v>0</v>
      </c>
      <c r="G27" s="14"/>
      <c r="H27" s="38" t="s">
        <v>57</v>
      </c>
      <c r="I27" s="39">
        <v>50</v>
      </c>
      <c r="J27" s="15">
        <f>VLOOKUP(I27,Наценка!$A$1:$B$8,2,1)</f>
        <v>2</v>
      </c>
      <c r="K27" s="30">
        <f>X27-10</f>
        <v>139</v>
      </c>
      <c r="L27" s="29">
        <f t="shared" si="1"/>
        <v>139</v>
      </c>
      <c r="M27" s="14">
        <f>VLOOKUP($A27,'Выгр Кат'!$A:$R,M$1,0)</f>
        <v>50</v>
      </c>
      <c r="N27" s="14">
        <f>VLOOKUP($A27,'Выгр Кат'!$A:$R,N$1,0)</f>
        <v>139</v>
      </c>
      <c r="O27" s="25">
        <f t="shared" si="2"/>
        <v>0</v>
      </c>
      <c r="P27" s="25">
        <f t="shared" si="3"/>
        <v>0</v>
      </c>
      <c r="Q27" s="26">
        <f t="shared" si="4"/>
        <v>139</v>
      </c>
      <c r="R27" s="50">
        <f>IFERROR((VLOOKUP($A27,'Из ГУГЛа'!$B:$G,R$1,0)+T27)*S27,VLOOKUP($A27,'Из ГУГЛа'!$B:$G,R$1,0))</f>
        <v>149</v>
      </c>
      <c r="S27" s="10">
        <v>1</v>
      </c>
      <c r="T27" s="10">
        <v>0</v>
      </c>
      <c r="U27" s="7">
        <f t="shared" si="5"/>
        <v>1.7799999999999998</v>
      </c>
      <c r="V27" s="7">
        <f t="shared" si="6"/>
        <v>6.7114093959731544E-2</v>
      </c>
      <c r="W27" s="7">
        <f t="shared" si="7"/>
        <v>1.98</v>
      </c>
      <c r="X27" s="40">
        <v>149</v>
      </c>
      <c r="Y27" t="s">
        <v>140</v>
      </c>
    </row>
    <row r="28" spans="1:25" ht="30" x14ac:dyDescent="0.25">
      <c r="A28" s="14">
        <v>217459</v>
      </c>
      <c r="B28" s="14">
        <f>VLOOKUP($A28,'Выгр Кат'!$A:$R,B$1,0)</f>
        <v>8047</v>
      </c>
      <c r="C28" s="18" t="str">
        <f>VLOOKUP($A28,'Выгр Кат'!$A:$R,C$1,0)</f>
        <v>Стекло подфарника на ВАЗ 2106, правый, белый</v>
      </c>
      <c r="D28" s="14" t="str">
        <f>VLOOKUP($A28,'Выгр Кат'!$A:$R,D$1,0)</f>
        <v>Y</v>
      </c>
      <c r="E28" s="14" t="str">
        <f>VLOOKUP($A28,'Выгр Кат'!$A:$R,E$1,0)</f>
        <v>1</v>
      </c>
      <c r="F28" s="14">
        <f>VLOOKUP($A28,'Выгр Кат'!$A:$R,F$1,0)</f>
        <v>0</v>
      </c>
      <c r="G28" s="14"/>
      <c r="H28" s="38" t="s">
        <v>57</v>
      </c>
      <c r="I28" s="39">
        <v>50</v>
      </c>
      <c r="J28" s="15">
        <f>VLOOKUP(I28,Наценка!$A$1:$B$8,2,1)</f>
        <v>2</v>
      </c>
      <c r="K28" s="30">
        <f>X28-10</f>
        <v>139</v>
      </c>
      <c r="L28" s="29">
        <f t="shared" si="1"/>
        <v>139</v>
      </c>
      <c r="M28" s="14">
        <f>VLOOKUP($A28,'Выгр Кат'!$A:$R,M$1,0)</f>
        <v>50</v>
      </c>
      <c r="N28" s="14">
        <f>VLOOKUP($A28,'Выгр Кат'!$A:$R,N$1,0)</f>
        <v>139</v>
      </c>
      <c r="O28" s="25">
        <f t="shared" si="2"/>
        <v>0</v>
      </c>
      <c r="P28" s="25">
        <f t="shared" si="3"/>
        <v>0</v>
      </c>
      <c r="Q28" s="26">
        <f t="shared" si="4"/>
        <v>139</v>
      </c>
      <c r="R28" s="50">
        <f>IFERROR((VLOOKUP($A28,'Из ГУГЛа'!$B:$G,R$1,0)+T28)*S28,VLOOKUP($A28,'Из ГУГЛа'!$B:$G,R$1,0))</f>
        <v>149</v>
      </c>
      <c r="S28" s="10">
        <v>1</v>
      </c>
      <c r="T28" s="10">
        <v>0</v>
      </c>
      <c r="U28" s="7">
        <f t="shared" si="5"/>
        <v>1.7799999999999998</v>
      </c>
      <c r="V28" s="7">
        <f t="shared" si="6"/>
        <v>6.7114093959731544E-2</v>
      </c>
      <c r="W28" s="7">
        <f t="shared" si="7"/>
        <v>1.98</v>
      </c>
      <c r="X28" s="40">
        <v>149</v>
      </c>
      <c r="Y28" t="s">
        <v>139</v>
      </c>
    </row>
    <row r="29" spans="1:25" ht="30" x14ac:dyDescent="0.25">
      <c r="A29" s="14">
        <v>217462</v>
      </c>
      <c r="B29" s="14">
        <f>VLOOKUP($A29,'Выгр Кат'!$A:$R,B$1,0)</f>
        <v>34793</v>
      </c>
      <c r="C29" s="18" t="str">
        <f>VLOOKUP($A29,'Выгр Кат'!$A:$R,C$1,0)</f>
        <v>Стекло правой фары (аналог) для Лада Ларгус</v>
      </c>
      <c r="D29" s="14" t="str">
        <f>VLOOKUP($A29,'Выгр Кат'!$A:$R,D$1,0)</f>
        <v>Y</v>
      </c>
      <c r="E29" s="14" t="str">
        <f>VLOOKUP($A29,'Выгр Кат'!$A:$R,E$1,0)</f>
        <v>1</v>
      </c>
      <c r="F29" s="14">
        <f>VLOOKUP($A29,'Выгр Кат'!$A:$R,F$1,0)</f>
        <v>0</v>
      </c>
      <c r="G29" s="14"/>
      <c r="H29" s="38" t="s">
        <v>57</v>
      </c>
      <c r="I29" s="39">
        <v>400</v>
      </c>
      <c r="J29" s="15">
        <f>VLOOKUP(I29,Наценка!$A$1:$B$8,2,1)</f>
        <v>1.6</v>
      </c>
      <c r="K29" s="31">
        <f>X29-30</f>
        <v>860</v>
      </c>
      <c r="L29" s="29">
        <f t="shared" si="1"/>
        <v>859</v>
      </c>
      <c r="M29" s="14">
        <f>VLOOKUP($A29,'Выгр Кат'!$A:$R,M$1,0)</f>
        <v>400</v>
      </c>
      <c r="N29" s="14">
        <f>VLOOKUP($A29,'Выгр Кат'!$A:$R,N$1,0)</f>
        <v>789</v>
      </c>
      <c r="O29" s="25">
        <f t="shared" si="2"/>
        <v>0</v>
      </c>
      <c r="P29" s="25">
        <f t="shared" si="3"/>
        <v>-70</v>
      </c>
      <c r="Q29" s="26">
        <f t="shared" si="4"/>
        <v>859</v>
      </c>
      <c r="R29" s="50">
        <f>IFERROR((VLOOKUP($A29,'Из ГУГЛа'!$B:$G,R$1,0)+T29)*S29,VLOOKUP($A29,'Из ГУГЛа'!$B:$G,R$1,0))</f>
        <v>890</v>
      </c>
      <c r="S29" s="10">
        <v>1</v>
      </c>
      <c r="T29" s="10">
        <v>0</v>
      </c>
      <c r="U29" s="7">
        <f t="shared" si="5"/>
        <v>1.1475</v>
      </c>
      <c r="V29" s="7">
        <f t="shared" si="6"/>
        <v>3.4831460674157301E-2</v>
      </c>
      <c r="W29" s="7">
        <f t="shared" si="7"/>
        <v>1.2250000000000001</v>
      </c>
      <c r="X29" s="40">
        <v>890</v>
      </c>
      <c r="Y29" t="s">
        <v>138</v>
      </c>
    </row>
    <row r="30" spans="1:25" ht="30" x14ac:dyDescent="0.25">
      <c r="A30" s="14">
        <v>217470</v>
      </c>
      <c r="B30" s="14">
        <f>VLOOKUP($A30,'Выгр Кат'!$A:$R,B$1,0)</f>
        <v>79581</v>
      </c>
      <c r="C30" s="18" t="str">
        <f>VLOOKUP($A30,'Выгр Кат'!$A:$R,C$1,0)</f>
        <v>Стекло фары "BOSCH" левое для ВАЗ 2110-2112</v>
      </c>
      <c r="D30" s="14" t="str">
        <f>VLOOKUP($A30,'Выгр Кат'!$A:$R,D$1,0)</f>
        <v>Y</v>
      </c>
      <c r="E30" s="14" t="str">
        <f>VLOOKUP($A30,'Выгр Кат'!$A:$R,E$1,0)</f>
        <v>1</v>
      </c>
      <c r="F30" s="14" t="str">
        <f>VLOOKUP($A30,'Выгр Кат'!$A:$R,F$1,0)</f>
        <v>1305-623039</v>
      </c>
      <c r="G30" s="14"/>
      <c r="H30" s="38" t="s">
        <v>57</v>
      </c>
      <c r="I30" s="39">
        <v>170</v>
      </c>
      <c r="J30" s="15">
        <f>VLOOKUP(I30,Наценка!$A$1:$B$8,2,1)</f>
        <v>1.8</v>
      </c>
      <c r="K30" s="28">
        <f t="shared" si="0"/>
        <v>306</v>
      </c>
      <c r="L30" s="29">
        <f t="shared" si="1"/>
        <v>309</v>
      </c>
      <c r="M30" s="14">
        <f>VLOOKUP($A30,'Выгр Кат'!$A:$R,M$1,0)</f>
        <v>170</v>
      </c>
      <c r="N30" s="14">
        <f>VLOOKUP($A30,'Выгр Кат'!$A:$R,N$1,0)</f>
        <v>309</v>
      </c>
      <c r="O30" s="25">
        <f t="shared" si="2"/>
        <v>0</v>
      </c>
      <c r="P30" s="25">
        <f t="shared" si="3"/>
        <v>0</v>
      </c>
      <c r="Q30" s="26">
        <f t="shared" si="4"/>
        <v>309</v>
      </c>
      <c r="R30" s="50">
        <f>IFERROR((VLOOKUP($A30,'Из ГУГЛа'!$B:$G,R$1,0)+T30)*S30,VLOOKUP($A30,'Из ГУГЛа'!$B:$G,R$1,0))</f>
        <v>329</v>
      </c>
      <c r="S30" s="10">
        <v>1</v>
      </c>
      <c r="T30" s="10">
        <v>0</v>
      </c>
      <c r="U30" s="7">
        <f t="shared" si="5"/>
        <v>0.81764705882352939</v>
      </c>
      <c r="V30" s="7" t="str">
        <f t="shared" si="6"/>
        <v/>
      </c>
      <c r="W30" s="7" t="str">
        <f t="shared" si="7"/>
        <v/>
      </c>
      <c r="X30" s="40" t="s">
        <v>142</v>
      </c>
      <c r="Y30" t="s">
        <v>141</v>
      </c>
    </row>
    <row r="31" spans="1:25" ht="30" x14ac:dyDescent="0.25">
      <c r="A31" s="14">
        <v>217471</v>
      </c>
      <c r="B31" s="14">
        <f>VLOOKUP($A31,'Выгр Кат'!$A:$R,B$1,0)</f>
        <v>79580</v>
      </c>
      <c r="C31" s="18" t="str">
        <f>VLOOKUP($A31,'Выгр Кат'!$A:$R,C$1,0)</f>
        <v>Стекло фары "BOSCH" правое для ВАЗ 2110-2112</v>
      </c>
      <c r="D31" s="14" t="str">
        <f>VLOOKUP($A31,'Выгр Кат'!$A:$R,D$1,0)</f>
        <v>Y</v>
      </c>
      <c r="E31" s="14" t="str">
        <f>VLOOKUP($A31,'Выгр Кат'!$A:$R,E$1,0)</f>
        <v>1</v>
      </c>
      <c r="F31" s="14" t="str">
        <f>VLOOKUP($A31,'Выгр Кат'!$A:$R,F$1,0)</f>
        <v>1305-623040</v>
      </c>
      <c r="G31" s="14"/>
      <c r="H31" s="38" t="s">
        <v>57</v>
      </c>
      <c r="I31" s="39">
        <v>170</v>
      </c>
      <c r="J31" s="15">
        <f>VLOOKUP(I31,Наценка!$A$1:$B$8,2,1)</f>
        <v>1.8</v>
      </c>
      <c r="K31" s="28">
        <f t="shared" si="0"/>
        <v>306</v>
      </c>
      <c r="L31" s="29">
        <f t="shared" si="1"/>
        <v>309</v>
      </c>
      <c r="M31" s="14">
        <f>VLOOKUP($A31,'Выгр Кат'!$A:$R,M$1,0)</f>
        <v>170</v>
      </c>
      <c r="N31" s="14">
        <f>VLOOKUP($A31,'Выгр Кат'!$A:$R,N$1,0)</f>
        <v>309</v>
      </c>
      <c r="O31" s="25">
        <f t="shared" si="2"/>
        <v>0</v>
      </c>
      <c r="P31" s="25">
        <f t="shared" si="3"/>
        <v>0</v>
      </c>
      <c r="Q31" s="26">
        <f t="shared" si="4"/>
        <v>309</v>
      </c>
      <c r="R31" s="50">
        <f>IFERROR((VLOOKUP($A31,'Из ГУГЛа'!$B:$G,R$1,0)+T31)*S31,VLOOKUP($A31,'Из ГУГЛа'!$B:$G,R$1,0))</f>
        <v>329</v>
      </c>
      <c r="S31" s="10">
        <v>1</v>
      </c>
      <c r="T31" s="10">
        <v>0</v>
      </c>
      <c r="U31" s="7">
        <f t="shared" si="5"/>
        <v>0.81764705882352939</v>
      </c>
      <c r="V31" s="7" t="str">
        <f t="shared" si="6"/>
        <v/>
      </c>
      <c r="W31" s="7" t="str">
        <f t="shared" si="7"/>
        <v/>
      </c>
      <c r="X31" s="40" t="s">
        <v>142</v>
      </c>
      <c r="Y31" t="s">
        <v>143</v>
      </c>
    </row>
    <row r="32" spans="1:25" ht="30" x14ac:dyDescent="0.25">
      <c r="A32" s="14">
        <v>274198</v>
      </c>
      <c r="B32" s="14">
        <f>VLOOKUP($A32,'Выгр Кат'!$A:$R,B$1,0)</f>
        <v>216225</v>
      </c>
      <c r="C32" s="18" t="str">
        <f>VLOOKUP($A32,'Выгр Кат'!$A:$R,C$1,0)</f>
        <v>Фара "ML Auto Light Technology" левая для Лада Приора</v>
      </c>
      <c r="D32" s="14" t="str">
        <f>VLOOKUP($A32,'Выгр Кат'!$A:$R,D$1,0)</f>
        <v>Y</v>
      </c>
      <c r="E32" s="14" t="str">
        <f>VLOOKUP($A32,'Выгр Кат'!$A:$R,E$1,0)</f>
        <v>1</v>
      </c>
      <c r="F32" s="14" t="str">
        <f>VLOOKUP($A32,'Выгр Кат'!$A:$R,F$1,0)</f>
        <v>21700-3711011-01</v>
      </c>
      <c r="G32" s="14"/>
      <c r="H32" s="38" t="s">
        <v>57</v>
      </c>
      <c r="I32" s="39">
        <v>2470</v>
      </c>
      <c r="J32" s="15">
        <f>VLOOKUP(I32,Наценка!$A$1:$B$8,2,1)</f>
        <v>1.4</v>
      </c>
      <c r="K32" s="32">
        <f>X32-100</f>
        <v>4890</v>
      </c>
      <c r="L32" s="29">
        <f t="shared" si="1"/>
        <v>4890</v>
      </c>
      <c r="M32" s="14">
        <f>VLOOKUP($A32,'Выгр Кат'!$A:$R,M$1,0)</f>
        <v>2470</v>
      </c>
      <c r="N32" s="14">
        <f>VLOOKUP($A32,'Выгр Кат'!$A:$R,N$1,0)</f>
        <v>4890</v>
      </c>
      <c r="O32" s="25">
        <f t="shared" si="2"/>
        <v>0</v>
      </c>
      <c r="P32" s="25">
        <f t="shared" si="3"/>
        <v>0</v>
      </c>
      <c r="Q32" s="26">
        <f t="shared" si="4"/>
        <v>4890</v>
      </c>
      <c r="R32" s="50">
        <f>IFERROR((VLOOKUP($A32,'Из ГУГЛа'!$B:$G,R$1,0)+T32)*S32,VLOOKUP($A32,'Из ГУГЛа'!$B:$G,R$1,0))</f>
        <v>4990</v>
      </c>
      <c r="S32" s="10">
        <v>1</v>
      </c>
      <c r="T32" s="10">
        <v>0</v>
      </c>
      <c r="U32" s="7">
        <f t="shared" si="5"/>
        <v>0.97975708502024283</v>
      </c>
      <c r="V32" s="7">
        <f t="shared" si="6"/>
        <v>2.004008016032064E-2</v>
      </c>
      <c r="W32" s="7">
        <f t="shared" si="7"/>
        <v>1.0202429149797569</v>
      </c>
      <c r="X32" s="8">
        <v>4990</v>
      </c>
      <c r="Y32" t="s">
        <v>98</v>
      </c>
    </row>
    <row r="33" spans="1:25" ht="30" x14ac:dyDescent="0.25">
      <c r="A33" s="14">
        <v>274199</v>
      </c>
      <c r="B33" s="14">
        <f>VLOOKUP($A33,'Выгр Кат'!$A:$R,B$1,0)</f>
        <v>216224</v>
      </c>
      <c r="C33" s="18" t="str">
        <f>VLOOKUP($A33,'Выгр Кат'!$A:$R,C$1,0)</f>
        <v>Фара "ML Auto Light Technology" правая для Лада Приора</v>
      </c>
      <c r="D33" s="14" t="str">
        <f>VLOOKUP($A33,'Выгр Кат'!$A:$R,D$1,0)</f>
        <v>Y</v>
      </c>
      <c r="E33" s="14" t="str">
        <f>VLOOKUP($A33,'Выгр Кат'!$A:$R,E$1,0)</f>
        <v>1</v>
      </c>
      <c r="F33" s="14" t="str">
        <f>VLOOKUP($A33,'Выгр Кат'!$A:$R,F$1,0)</f>
        <v>21700-3711010-01</v>
      </c>
      <c r="G33" s="14"/>
      <c r="H33" s="38" t="s">
        <v>57</v>
      </c>
      <c r="I33" s="39">
        <v>2470</v>
      </c>
      <c r="J33" s="15">
        <f>VLOOKUP(I33,Наценка!$A$1:$B$8,2,1)</f>
        <v>1.4</v>
      </c>
      <c r="K33" s="32">
        <f>X33-100</f>
        <v>4890</v>
      </c>
      <c r="L33" s="29">
        <f t="shared" si="1"/>
        <v>4890</v>
      </c>
      <c r="M33" s="14">
        <f>VLOOKUP($A33,'Выгр Кат'!$A:$R,M$1,0)</f>
        <v>2470</v>
      </c>
      <c r="N33" s="14">
        <f>VLOOKUP($A33,'Выгр Кат'!$A:$R,N$1,0)</f>
        <v>4890</v>
      </c>
      <c r="O33" s="25">
        <f t="shared" si="2"/>
        <v>0</v>
      </c>
      <c r="P33" s="25">
        <f t="shared" si="3"/>
        <v>0</v>
      </c>
      <c r="Q33" s="26">
        <f t="shared" si="4"/>
        <v>4890</v>
      </c>
      <c r="R33" s="50">
        <f>IFERROR((VLOOKUP($A33,'Из ГУГЛа'!$B:$G,R$1,0)+T33)*S33,VLOOKUP($A33,'Из ГУГЛа'!$B:$G,R$1,0))</f>
        <v>4990</v>
      </c>
      <c r="S33" s="10">
        <v>1</v>
      </c>
      <c r="T33" s="10">
        <v>0</v>
      </c>
      <c r="U33" s="7">
        <f t="shared" si="5"/>
        <v>0.97975708502024283</v>
      </c>
      <c r="V33" s="7">
        <f t="shared" si="6"/>
        <v>2.004008016032064E-2</v>
      </c>
      <c r="W33" s="7">
        <f t="shared" si="7"/>
        <v>1.0202429149797569</v>
      </c>
      <c r="X33" s="8">
        <v>4990</v>
      </c>
      <c r="Y33" t="s">
        <v>101</v>
      </c>
    </row>
    <row r="34" spans="1:25" ht="30" x14ac:dyDescent="0.25">
      <c r="A34" s="14">
        <v>256791</v>
      </c>
      <c r="B34" s="14">
        <f>VLOOKUP($A34,'Выгр Кат'!$A:$R,B$1,0)</f>
        <v>180324</v>
      </c>
      <c r="C34" s="18" t="str">
        <f>VLOOKUP($A34,'Выгр Кат'!$A:$R,C$1,0)</f>
        <v>Фары в стиле BMW для Лада Приора</v>
      </c>
      <c r="D34" s="14" t="str">
        <f>VLOOKUP($A34,'Выгр Кат'!$A:$R,D$1,0)</f>
        <v>Y</v>
      </c>
      <c r="E34" s="14" t="str">
        <f>VLOOKUP($A34,'Выгр Кат'!$A:$R,E$1,0)</f>
        <v>1</v>
      </c>
      <c r="F34" s="14">
        <f>VLOOKUP($A34,'Выгр Кат'!$A:$R,F$1,0)</f>
        <v>0</v>
      </c>
      <c r="G34" s="14"/>
      <c r="H34" s="38" t="s">
        <v>57</v>
      </c>
      <c r="I34" s="39">
        <v>9000</v>
      </c>
      <c r="J34" s="15">
        <f>VLOOKUP(I34,Наценка!$A$1:$B$8,2,1)</f>
        <v>1.35</v>
      </c>
      <c r="K34" s="28">
        <f t="shared" si="0"/>
        <v>12150</v>
      </c>
      <c r="L34" s="29">
        <f t="shared" si="1"/>
        <v>12190</v>
      </c>
      <c r="M34" s="14">
        <f>VLOOKUP($A34,'Выгр Кат'!$A:$R,M$1,0)</f>
        <v>9000</v>
      </c>
      <c r="N34" s="14">
        <f>VLOOKUP($A34,'Выгр Кат'!$A:$R,N$1,0)</f>
        <v>12190</v>
      </c>
      <c r="O34" s="25">
        <f t="shared" si="2"/>
        <v>0</v>
      </c>
      <c r="P34" s="25">
        <f t="shared" si="3"/>
        <v>0</v>
      </c>
      <c r="Q34" s="26">
        <f t="shared" si="4"/>
        <v>12190</v>
      </c>
      <c r="R34" s="50" t="str">
        <f>IFERROR((VLOOKUP($A34,'Из ГУГЛа'!$B:$G,R$1,0)+T34)*S34,VLOOKUP($A34,'Из ГУГЛа'!$B:$G,R$1,0))</f>
        <v/>
      </c>
      <c r="S34" s="10">
        <v>1</v>
      </c>
      <c r="T34" s="10">
        <v>0</v>
      </c>
      <c r="U34" s="7">
        <f t="shared" si="5"/>
        <v>0.35444444444444434</v>
      </c>
      <c r="V34" s="7" t="str">
        <f t="shared" si="6"/>
        <v/>
      </c>
      <c r="W34" s="7" t="str">
        <f t="shared" si="7"/>
        <v/>
      </c>
      <c r="X34" s="40" t="s">
        <v>120</v>
      </c>
    </row>
    <row r="35" spans="1:25" ht="30" x14ac:dyDescent="0.25">
      <c r="A35" s="14">
        <v>301133</v>
      </c>
      <c r="B35" s="14">
        <f>VLOOKUP($A35,'Выгр Кат'!$A:$R,B$1,0)</f>
        <v>301133</v>
      </c>
      <c r="C35" s="18" t="str">
        <f>VLOOKUP($A35,'Выгр Кат'!$A:$R,C$1,0)</f>
        <v>Фары передние "ML Auto" AMG style с Bi-Led линзами для Лада Приора</v>
      </c>
      <c r="D35" s="14" t="str">
        <f>VLOOKUP($A35,'Выгр Кат'!$A:$R,D$1,0)</f>
        <v>Y</v>
      </c>
      <c r="E35" s="14" t="str">
        <f>VLOOKUP($A35,'Выгр Кат'!$A:$R,E$1,0)</f>
        <v>1</v>
      </c>
      <c r="F35" s="14">
        <f>VLOOKUP($A35,'Выгр Кат'!$A:$R,F$1,0)</f>
        <v>0</v>
      </c>
      <c r="G35" s="14"/>
      <c r="H35" s="38" t="s">
        <v>57</v>
      </c>
      <c r="I35" s="39">
        <v>12000</v>
      </c>
      <c r="J35" s="15">
        <f>VLOOKUP(I35,Наценка!$A$1:$B$8,2,1)</f>
        <v>1.3</v>
      </c>
      <c r="K35" s="28">
        <f t="shared" si="0"/>
        <v>15600</v>
      </c>
      <c r="L35" s="29">
        <f t="shared" si="1"/>
        <v>15590</v>
      </c>
      <c r="M35" s="14">
        <f>VLOOKUP($A35,'Выгр Кат'!$A:$R,M$1,0)</f>
        <v>12000</v>
      </c>
      <c r="N35" s="14">
        <f>VLOOKUP($A35,'Выгр Кат'!$A:$R,N$1,0)</f>
        <v>15590</v>
      </c>
      <c r="O35" s="25">
        <f t="shared" si="2"/>
        <v>0</v>
      </c>
      <c r="P35" s="25">
        <f t="shared" si="3"/>
        <v>0</v>
      </c>
      <c r="Q35" s="26">
        <f t="shared" si="4"/>
        <v>15590</v>
      </c>
      <c r="R35" s="50" t="str">
        <f>IFERROR((VLOOKUP($A35,'Из ГУГЛа'!$B:$G,R$1,0)+T35)*S35,VLOOKUP($A35,'Из ГУГЛа'!$B:$G,R$1,0))</f>
        <v/>
      </c>
      <c r="S35" s="10">
        <v>1</v>
      </c>
      <c r="T35" s="10">
        <v>0</v>
      </c>
      <c r="U35" s="7">
        <f t="shared" si="5"/>
        <v>0.29916666666666658</v>
      </c>
      <c r="V35" s="7" t="str">
        <f t="shared" si="6"/>
        <v/>
      </c>
      <c r="W35" s="7" t="str">
        <f t="shared" si="7"/>
        <v/>
      </c>
      <c r="X35" s="40" t="s">
        <v>120</v>
      </c>
    </row>
    <row r="36" spans="1:25" ht="45" x14ac:dyDescent="0.25">
      <c r="A36" s="14">
        <v>274204</v>
      </c>
      <c r="B36" s="14">
        <f>VLOOKUP($A36,'Выгр Кат'!$A:$R,B$1,0)</f>
        <v>216207</v>
      </c>
      <c r="C36" s="18" t="str">
        <f>VLOOKUP($A36,'Выгр Кат'!$A:$R,C$1,0)</f>
        <v>Фонарь задний "ML Auto Light Technology" внешний (левый) для Лада Веста</v>
      </c>
      <c r="D36" s="14" t="str">
        <f>VLOOKUP($A36,'Выгр Кат'!$A:$R,D$1,0)</f>
        <v>Y</v>
      </c>
      <c r="E36" s="14" t="str">
        <f>VLOOKUP($A36,'Выгр Кат'!$A:$R,E$1,0)</f>
        <v>1</v>
      </c>
      <c r="F36" s="14">
        <f>VLOOKUP($A36,'Выгр Кат'!$A:$R,F$1,0)</f>
        <v>0</v>
      </c>
      <c r="G36" s="14"/>
      <c r="H36" s="38" t="s">
        <v>57</v>
      </c>
      <c r="I36" s="39">
        <v>0</v>
      </c>
      <c r="J36" s="15" t="e">
        <f>VLOOKUP(I36,Наценка!$A$1:$B$8,2,1)</f>
        <v>#N/A</v>
      </c>
      <c r="K36" s="33">
        <f>X36</f>
        <v>2690</v>
      </c>
      <c r="L36" s="29">
        <f t="shared" si="1"/>
        <v>2690</v>
      </c>
      <c r="M36" s="14">
        <f>VLOOKUP($A36,'Выгр Кат'!$A:$R,M$1,0)</f>
        <v>0</v>
      </c>
      <c r="N36" s="14">
        <f>VLOOKUP($A36,'Выгр Кат'!$A:$R,N$1,0)</f>
        <v>2690</v>
      </c>
      <c r="O36" s="25">
        <f t="shared" si="2"/>
        <v>0</v>
      </c>
      <c r="P36" s="25">
        <f t="shared" si="3"/>
        <v>0</v>
      </c>
      <c r="Q36" s="26">
        <f t="shared" si="4"/>
        <v>2690</v>
      </c>
      <c r="R36" s="50">
        <f>IFERROR((VLOOKUP($A36,'Из ГУГЛа'!$B:$G,R$1,0)+T36)*S36,VLOOKUP($A36,'Из ГУГЛа'!$B:$G,R$1,0))</f>
        <v>2690</v>
      </c>
      <c r="S36" s="10">
        <v>1</v>
      </c>
      <c r="T36" s="10">
        <v>0</v>
      </c>
      <c r="U36" s="7" t="str">
        <f t="shared" si="5"/>
        <v/>
      </c>
      <c r="V36" s="7">
        <f t="shared" si="6"/>
        <v>0</v>
      </c>
      <c r="W36" s="7" t="str">
        <f t="shared" si="7"/>
        <v/>
      </c>
      <c r="X36" s="8">
        <v>2690</v>
      </c>
      <c r="Y36" t="s">
        <v>106</v>
      </c>
    </row>
    <row r="37" spans="1:25" ht="45" x14ac:dyDescent="0.25">
      <c r="A37" s="14">
        <v>274205</v>
      </c>
      <c r="B37" s="14">
        <f>VLOOKUP($A37,'Выгр Кат'!$A:$R,B$1,0)</f>
        <v>216208</v>
      </c>
      <c r="C37" s="18" t="str">
        <f>VLOOKUP($A37,'Выгр Кат'!$A:$R,C$1,0)</f>
        <v>Фонарь задний "ML Auto Light Technology" внешний (правый) для Лада Веста</v>
      </c>
      <c r="D37" s="14" t="str">
        <f>VLOOKUP($A37,'Выгр Кат'!$A:$R,D$1,0)</f>
        <v>Y</v>
      </c>
      <c r="E37" s="14" t="str">
        <f>VLOOKUP($A37,'Выгр Кат'!$A:$R,E$1,0)</f>
        <v>1</v>
      </c>
      <c r="F37" s="14">
        <f>VLOOKUP($A37,'Выгр Кат'!$A:$R,F$1,0)</f>
        <v>0</v>
      </c>
      <c r="G37" s="14"/>
      <c r="H37" s="38" t="s">
        <v>57</v>
      </c>
      <c r="I37" s="39">
        <v>0</v>
      </c>
      <c r="J37" s="15" t="e">
        <f>VLOOKUP(I37,Наценка!$A$1:$B$8,2,1)</f>
        <v>#N/A</v>
      </c>
      <c r="K37" s="33">
        <f>X37</f>
        <v>2690</v>
      </c>
      <c r="L37" s="29">
        <f t="shared" si="1"/>
        <v>2690</v>
      </c>
      <c r="M37" s="14">
        <f>VLOOKUP($A37,'Выгр Кат'!$A:$R,M$1,0)</f>
        <v>0</v>
      </c>
      <c r="N37" s="14">
        <f>VLOOKUP($A37,'Выгр Кат'!$A:$R,N$1,0)</f>
        <v>2690</v>
      </c>
      <c r="O37" s="25">
        <f t="shared" si="2"/>
        <v>0</v>
      </c>
      <c r="P37" s="25">
        <f t="shared" si="3"/>
        <v>0</v>
      </c>
      <c r="Q37" s="26">
        <f t="shared" si="4"/>
        <v>2690</v>
      </c>
      <c r="R37" s="50">
        <f>IFERROR((VLOOKUP($A37,'Из ГУГЛа'!$B:$G,R$1,0)+T37)*S37,VLOOKUP($A37,'Из ГУГЛа'!$B:$G,R$1,0))</f>
        <v>2690</v>
      </c>
      <c r="S37" s="10">
        <v>1</v>
      </c>
      <c r="T37" s="10">
        <v>0</v>
      </c>
      <c r="U37" s="7" t="str">
        <f t="shared" si="5"/>
        <v/>
      </c>
      <c r="V37" s="7">
        <f t="shared" si="6"/>
        <v>0</v>
      </c>
      <c r="W37" s="7" t="str">
        <f t="shared" si="7"/>
        <v/>
      </c>
      <c r="X37" s="8">
        <v>2690</v>
      </c>
      <c r="Y37" t="s">
        <v>108</v>
      </c>
    </row>
    <row r="38" spans="1:25" ht="45" x14ac:dyDescent="0.25">
      <c r="A38" s="14">
        <v>274206</v>
      </c>
      <c r="B38" s="14">
        <f>VLOOKUP($A38,'Выгр Кат'!$A:$R,B$1,0)</f>
        <v>216204</v>
      </c>
      <c r="C38" s="18" t="str">
        <f>VLOOKUP($A38,'Выгр Кат'!$A:$R,C$1,0)</f>
        <v>Фонарь задний "ML Auto Light Technology" внутренний (левый) для Лада Веста</v>
      </c>
      <c r="D38" s="14" t="str">
        <f>VLOOKUP($A38,'Выгр Кат'!$A:$R,D$1,0)</f>
        <v>Y</v>
      </c>
      <c r="E38" s="14" t="str">
        <f>VLOOKUP($A38,'Выгр Кат'!$A:$R,E$1,0)</f>
        <v>1</v>
      </c>
      <c r="F38" s="14">
        <f>VLOOKUP($A38,'Выгр Кат'!$A:$R,F$1,0)</f>
        <v>0</v>
      </c>
      <c r="G38" s="14"/>
      <c r="H38" s="38" t="s">
        <v>57</v>
      </c>
      <c r="I38" s="39">
        <v>0</v>
      </c>
      <c r="J38" s="15" t="e">
        <f>VLOOKUP(I38,Наценка!$A$1:$B$8,2,1)</f>
        <v>#N/A</v>
      </c>
      <c r="K38" s="33">
        <f>X38</f>
        <v>2190</v>
      </c>
      <c r="L38" s="29">
        <f t="shared" si="1"/>
        <v>2190</v>
      </c>
      <c r="M38" s="14">
        <f>VLOOKUP($A38,'Выгр Кат'!$A:$R,M$1,0)</f>
        <v>0</v>
      </c>
      <c r="N38" s="14">
        <f>VLOOKUP($A38,'Выгр Кат'!$A:$R,N$1,0)</f>
        <v>2190</v>
      </c>
      <c r="O38" s="25">
        <f t="shared" si="2"/>
        <v>0</v>
      </c>
      <c r="P38" s="25">
        <f t="shared" si="3"/>
        <v>0</v>
      </c>
      <c r="Q38" s="26">
        <f t="shared" si="4"/>
        <v>2190</v>
      </c>
      <c r="R38" s="50">
        <f>IFERROR((VLOOKUP($A38,'Из ГУГЛа'!$B:$G,R$1,0)+T38)*S38,VLOOKUP($A38,'Из ГУГЛа'!$B:$G,R$1,0))</f>
        <v>2190</v>
      </c>
      <c r="S38" s="10">
        <v>1</v>
      </c>
      <c r="T38" s="10">
        <v>0</v>
      </c>
      <c r="U38" s="7" t="str">
        <f t="shared" si="5"/>
        <v/>
      </c>
      <c r="V38" s="7">
        <f t="shared" si="6"/>
        <v>0</v>
      </c>
      <c r="W38" s="7" t="str">
        <f t="shared" si="7"/>
        <v/>
      </c>
      <c r="X38" s="8">
        <v>2190</v>
      </c>
      <c r="Y38" t="s">
        <v>111</v>
      </c>
    </row>
    <row r="39" spans="1:25" ht="45" x14ac:dyDescent="0.25">
      <c r="A39" s="14">
        <v>274207</v>
      </c>
      <c r="B39" s="14">
        <f>VLOOKUP($A39,'Выгр Кат'!$A:$R,B$1,0)</f>
        <v>216205</v>
      </c>
      <c r="C39" s="18" t="str">
        <f>VLOOKUP($A39,'Выгр Кат'!$A:$R,C$1,0)</f>
        <v>Фонарь задний "ML Auto Light Technology" внутренний (правый) для Лада Веста</v>
      </c>
      <c r="D39" s="14" t="str">
        <f>VLOOKUP($A39,'Выгр Кат'!$A:$R,D$1,0)</f>
        <v>Y</v>
      </c>
      <c r="E39" s="14" t="str">
        <f>VLOOKUP($A39,'Выгр Кат'!$A:$R,E$1,0)</f>
        <v>1</v>
      </c>
      <c r="F39" s="14">
        <f>VLOOKUP($A39,'Выгр Кат'!$A:$R,F$1,0)</f>
        <v>0</v>
      </c>
      <c r="G39" s="14"/>
      <c r="H39" s="38" t="s">
        <v>57</v>
      </c>
      <c r="I39" s="39">
        <v>0</v>
      </c>
      <c r="J39" s="15" t="e">
        <f>VLOOKUP(I39,Наценка!$A$1:$B$8,2,1)</f>
        <v>#N/A</v>
      </c>
      <c r="K39" s="33">
        <f>X39</f>
        <v>2190</v>
      </c>
      <c r="L39" s="29">
        <f t="shared" si="1"/>
        <v>2190</v>
      </c>
      <c r="M39" s="14">
        <f>VLOOKUP($A39,'Выгр Кат'!$A:$R,M$1,0)</f>
        <v>0</v>
      </c>
      <c r="N39" s="14">
        <f>VLOOKUP($A39,'Выгр Кат'!$A:$R,N$1,0)</f>
        <v>2190</v>
      </c>
      <c r="O39" s="25">
        <f t="shared" si="2"/>
        <v>0</v>
      </c>
      <c r="P39" s="25">
        <f t="shared" si="3"/>
        <v>0</v>
      </c>
      <c r="Q39" s="26">
        <f t="shared" si="4"/>
        <v>2190</v>
      </c>
      <c r="R39" s="50">
        <f>IFERROR((VLOOKUP($A39,'Из ГУГЛа'!$B:$G,R$1,0)+T39)*S39,VLOOKUP($A39,'Из ГУГЛа'!$B:$G,R$1,0))</f>
        <v>2190</v>
      </c>
      <c r="S39" s="10">
        <v>1</v>
      </c>
      <c r="T39" s="10">
        <v>0</v>
      </c>
      <c r="U39" s="7" t="str">
        <f t="shared" si="5"/>
        <v/>
      </c>
      <c r="V39" s="7">
        <f t="shared" si="6"/>
        <v>0</v>
      </c>
      <c r="W39" s="7" t="str">
        <f t="shared" si="7"/>
        <v/>
      </c>
      <c r="X39" s="8">
        <v>2190</v>
      </c>
      <c r="Y39" t="s">
        <v>114</v>
      </c>
    </row>
    <row r="40" spans="1:25" ht="45" x14ac:dyDescent="0.25">
      <c r="A40" s="14">
        <v>224250</v>
      </c>
      <c r="B40" s="14">
        <f>VLOOKUP($A40,'Выгр Кат'!$A:$R,B$1,0)</f>
        <v>37214</v>
      </c>
      <c r="C40" s="18" t="str">
        <f>VLOOKUP($A40,'Выгр Кат'!$A:$R,C$1,0)</f>
        <v>Фонарь освещения номерного знака (светодиодный) для Лада Приора, Приора 2</v>
      </c>
      <c r="D40" s="14" t="str">
        <f>VLOOKUP($A40,'Выгр Кат'!$A:$R,D$1,0)</f>
        <v>Y</v>
      </c>
      <c r="E40" s="14" t="str">
        <f>VLOOKUP($A40,'Выгр Кат'!$A:$R,E$1,0)</f>
        <v>1ск1</v>
      </c>
      <c r="F40" s="14">
        <f>VLOOKUP($A40,'Выгр Кат'!$A:$R,F$1,0)</f>
        <v>0</v>
      </c>
      <c r="G40" s="14"/>
      <c r="H40" s="38" t="s">
        <v>57</v>
      </c>
      <c r="I40" s="39">
        <v>120</v>
      </c>
      <c r="J40" s="15">
        <f>VLOOKUP(I40,Наценка!$A$1:$B$8,2,1)</f>
        <v>1.8</v>
      </c>
      <c r="K40" s="28">
        <f t="shared" si="0"/>
        <v>216</v>
      </c>
      <c r="L40" s="29">
        <f t="shared" si="1"/>
        <v>219</v>
      </c>
      <c r="M40" s="14">
        <f>VLOOKUP($A40,'Выгр Кат'!$A:$R,M$1,0)</f>
        <v>120</v>
      </c>
      <c r="N40" s="14">
        <f>VLOOKUP($A40,'Выгр Кат'!$A:$R,N$1,0)</f>
        <v>219</v>
      </c>
      <c r="O40" s="25">
        <f t="shared" si="2"/>
        <v>0</v>
      </c>
      <c r="P40" s="25">
        <f t="shared" si="3"/>
        <v>0</v>
      </c>
      <c r="Q40" s="26">
        <f t="shared" si="4"/>
        <v>219</v>
      </c>
      <c r="R40" s="50" t="str">
        <f>IFERROR((VLOOKUP($A40,'Из ГУГЛа'!$B:$G,R$1,0)+T40)*S40,VLOOKUP($A40,'Из ГУГЛа'!$B:$G,R$1,0))</f>
        <v/>
      </c>
      <c r="S40" s="10">
        <v>1</v>
      </c>
      <c r="T40" s="10">
        <v>0</v>
      </c>
      <c r="U40" s="7">
        <f t="shared" si="5"/>
        <v>0.82499999999999996</v>
      </c>
      <c r="V40" s="7" t="str">
        <f t="shared" si="6"/>
        <v/>
      </c>
      <c r="W40" s="7" t="str">
        <f t="shared" si="7"/>
        <v/>
      </c>
      <c r="X40" s="40" t="s">
        <v>120</v>
      </c>
    </row>
    <row r="41" spans="1:25" ht="45" x14ac:dyDescent="0.25">
      <c r="A41" s="14">
        <v>377372</v>
      </c>
      <c r="B41" s="14">
        <f>VLOOKUP($A41,'Выгр Кат'!$A:$R,B$1,0)</f>
        <v>377372</v>
      </c>
      <c r="C41" s="18" t="str">
        <f>VLOOKUP($A41,'Выгр Кат'!$A:$R,C$1,0)</f>
        <v>Передние блок-фары "ML Auto" в стиле AUDI для Лада Гранта</v>
      </c>
      <c r="D41" s="14" t="str">
        <f>VLOOKUP($A41,'Выгр Кат'!$A:$R,D$1,0)</f>
        <v>Y</v>
      </c>
      <c r="E41" s="14" t="str">
        <f>VLOOKUP($A41,'Выгр Кат'!$A:$R,E$1,0)</f>
        <v>1</v>
      </c>
      <c r="F41" s="14" t="str">
        <f>VLOOKUP($A41,'Выгр Кат'!$A:$R,F$1,0)</f>
        <v>ML272</v>
      </c>
      <c r="G41" s="14"/>
      <c r="H41" s="48" t="s">
        <v>57</v>
      </c>
      <c r="I41" s="39">
        <v>8000</v>
      </c>
      <c r="J41" s="15">
        <f>VLOOKUP(I41,Наценка!$A$1:$B$8,2,1)</f>
        <v>1.35</v>
      </c>
      <c r="K41" s="28">
        <f t="shared" ref="K41" si="20">I41*J41</f>
        <v>10800</v>
      </c>
      <c r="L41" s="29">
        <f t="shared" ref="L41" si="21">IF(K41&lt;=1000,(ROUNDUP(K41,-1)-1),(ROUNDUP(K41,-2)-10))</f>
        <v>10790</v>
      </c>
      <c r="M41" s="14">
        <f>VLOOKUP($A41,'Выгр Кат'!$A:$R,M$1,0)</f>
        <v>8000</v>
      </c>
      <c r="N41" s="14">
        <f>VLOOKUP($A41,'Выгр Кат'!$A:$R,N$1,0)</f>
        <v>10790</v>
      </c>
      <c r="O41" s="25">
        <f t="shared" ref="O41" si="22">M41-I41</f>
        <v>0</v>
      </c>
      <c r="P41" s="25">
        <f t="shared" ref="P41" si="23">N41-L41</f>
        <v>0</v>
      </c>
      <c r="Q41" s="26">
        <f t="shared" ref="Q41" si="24">IFERROR(L41*(1-$Q$2),"")</f>
        <v>10790</v>
      </c>
      <c r="R41" s="50" t="e">
        <f>IFERROR((VLOOKUP($A41,'Из ГУГЛа'!$B:$G,R$1,0)+T41)*S41,VLOOKUP($A41,'Из ГУГЛа'!$B:$G,R$1,0))</f>
        <v>#N/A</v>
      </c>
      <c r="S41" s="10">
        <v>1</v>
      </c>
      <c r="T41" s="10">
        <v>0</v>
      </c>
      <c r="U41" s="7">
        <f t="shared" ref="U41" si="25">IFERROR(Q41/I41-1,"")</f>
        <v>0.34874999999999989</v>
      </c>
      <c r="V41" s="7" t="str">
        <f t="shared" ref="V41" si="26">IFERROR((X41-Q41)/X41,"")</f>
        <v/>
      </c>
      <c r="W41" s="7" t="str">
        <f t="shared" ref="W41" si="27">IFERROR(IF(X41="","",X41/I41-1),"")</f>
        <v/>
      </c>
      <c r="X41" s="40" t="s">
        <v>120</v>
      </c>
    </row>
    <row r="45" spans="1:25" x14ac:dyDescent="0.25">
      <c r="K45" s="28">
        <f t="shared" ref="K45" si="28">I45*J45</f>
        <v>0</v>
      </c>
    </row>
    <row r="46" spans="1:25" x14ac:dyDescent="0.25">
      <c r="K46" s="30">
        <f>X46-10</f>
        <v>-10</v>
      </c>
    </row>
    <row r="47" spans="1:25" x14ac:dyDescent="0.25">
      <c r="K47" s="31">
        <f>X47-30</f>
        <v>-30</v>
      </c>
    </row>
    <row r="48" spans="1:25" x14ac:dyDescent="0.25">
      <c r="K48" s="32">
        <f>X48-100</f>
        <v>-100</v>
      </c>
    </row>
    <row r="49" spans="11:11" x14ac:dyDescent="0.25">
      <c r="K49" s="33">
        <f>X49</f>
        <v>0</v>
      </c>
    </row>
    <row r="50" spans="11:11" x14ac:dyDescent="0.25">
      <c r="K50" s="33">
        <f>X50*1.02</f>
        <v>0</v>
      </c>
    </row>
    <row r="51" spans="11:11" x14ac:dyDescent="0.25">
      <c r="K51" s="34">
        <f>X51*1.05</f>
        <v>0</v>
      </c>
    </row>
    <row r="52" spans="11:11" x14ac:dyDescent="0.25">
      <c r="K52" s="35">
        <f>X52*1.08</f>
        <v>0</v>
      </c>
    </row>
    <row r="53" spans="11:11" x14ac:dyDescent="0.25">
      <c r="K53" s="36">
        <f>I53*1.25</f>
        <v>0</v>
      </c>
    </row>
  </sheetData>
  <autoFilter ref="A2:AA41" xr:uid="{FA7F9353-0017-46EB-9BA6-D1DA8A12A7B1}"/>
  <conditionalFormatting sqref="U3:U41">
    <cfRule type="cellIs" dxfId="16" priority="8" operator="lessThan">
      <formula>0.15</formula>
    </cfRule>
  </conditionalFormatting>
  <conditionalFormatting sqref="V3:V41">
    <cfRule type="cellIs" dxfId="15" priority="7" operator="lessThan">
      <formula>0%</formula>
    </cfRule>
  </conditionalFormatting>
  <conditionalFormatting sqref="W3:W41">
    <cfRule type="cellIs" dxfId="14" priority="6" operator="lessThan">
      <formula>0.15</formula>
    </cfRule>
  </conditionalFormatting>
  <conditionalFormatting sqref="R2:R41">
    <cfRule type="expression" dxfId="13" priority="5">
      <formula>VALUE(R2)&lt;&gt;X2</formula>
    </cfRule>
  </conditionalFormatting>
  <conditionalFormatting sqref="C3:C41">
    <cfRule type="expression" dxfId="12" priority="3">
      <formula>OR(D3="N",E3="0")</formula>
    </cfRule>
  </conditionalFormatting>
  <conditionalFormatting sqref="A3:A41">
    <cfRule type="expression" dxfId="11" priority="1">
      <formula>AND(ROUNDDOWN($P3,0)=0,ROUNDDOWN($O3,0)=0)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85357-F945-4D5A-AAB6-C9530077673D}">
  <sheetPr codeName="Лист3"/>
  <dimension ref="A1:Y4"/>
  <sheetViews>
    <sheetView workbookViewId="0">
      <pane ySplit="2" topLeftCell="A3" activePane="bottomLeft" state="frozen"/>
      <selection activeCell="P2" sqref="P2"/>
      <selection pane="bottomLeft" activeCell="A11" sqref="A11"/>
    </sheetView>
  </sheetViews>
  <sheetFormatPr defaultRowHeight="15" x14ac:dyDescent="0.25"/>
  <cols>
    <col min="1" max="1" width="30.7109375" bestFit="1" customWidth="1"/>
    <col min="2" max="3" width="7" bestFit="1" customWidth="1"/>
    <col min="4" max="4" width="38.28515625" style="17" bestFit="1" customWidth="1"/>
    <col min="5" max="5" width="2" bestFit="1" customWidth="1"/>
    <col min="6" max="6" width="3" bestFit="1" customWidth="1"/>
    <col min="7" max="7" width="13.5703125" bestFit="1" customWidth="1"/>
    <col min="8" max="8" width="10.85546875" bestFit="1" customWidth="1"/>
    <col min="9" max="9" width="13.28515625" bestFit="1" customWidth="1"/>
    <col min="10" max="10" width="8.42578125" style="24" bestFit="1" customWidth="1"/>
    <col min="11" max="11" width="5.5703125" bestFit="1" customWidth="1"/>
    <col min="12" max="12" width="5.5703125" style="24" bestFit="1" customWidth="1"/>
    <col min="13" max="13" width="5.85546875" style="24" bestFit="1" customWidth="1"/>
    <col min="14" max="14" width="6.7109375" bestFit="1" customWidth="1"/>
    <col min="15" max="15" width="6.85546875" bestFit="1" customWidth="1"/>
    <col min="16" max="17" width="7.42578125" style="24" bestFit="1" customWidth="1"/>
    <col min="18" max="18" width="5.85546875" bestFit="1" customWidth="1"/>
    <col min="19" max="19" width="11.140625" bestFit="1" customWidth="1"/>
    <col min="20" max="20" width="8.42578125" bestFit="1" customWidth="1"/>
    <col min="21" max="21" width="7.5703125" bestFit="1" customWidth="1"/>
    <col min="22" max="22" width="9.28515625" bestFit="1" customWidth="1"/>
    <col min="23" max="23" width="6.85546875" bestFit="1" customWidth="1"/>
    <col min="24" max="24" width="8.42578125" bestFit="1" customWidth="1"/>
    <col min="25" max="25" width="9.7109375" bestFit="1" customWidth="1"/>
  </cols>
  <sheetData>
    <row r="1" spans="1:25" x14ac:dyDescent="0.25">
      <c r="C1" s="17">
        <v>2</v>
      </c>
      <c r="D1" s="17">
        <v>3</v>
      </c>
      <c r="E1">
        <v>4</v>
      </c>
      <c r="F1">
        <v>15</v>
      </c>
      <c r="G1">
        <v>6</v>
      </c>
      <c r="I1" s="19">
        <f>COUNT(Кат!$X:$X,Торг!$Y:$Y)/COUNT(Кат!$A:$A,Торг!$B:$B)</f>
        <v>0.63414634146341464</v>
      </c>
      <c r="N1">
        <v>9</v>
      </c>
      <c r="O1">
        <v>10</v>
      </c>
      <c r="V1" s="3" t="str">
        <f>_xlfn.CONCAT(ROUND(MIN(V3:V9000)*100,0),"-",ROUND(MAX(V3:V9000)*100,0),"%")</f>
        <v>52-52%</v>
      </c>
      <c r="W1" s="3" t="str">
        <f>_xlfn.CONCAT(ROUND(SUBTOTAL(5,W3:W9000)*100,0)," - ",ROUND(SUBTOTAL(4,W3:W9000)*100,0),"%")</f>
        <v>0 - 0%</v>
      </c>
      <c r="X1" s="3" t="str">
        <f>_xlfn.CONCAT(ROUND(SUBTOTAL(5,X3:X90000)*100,0)," - ",ROUND(SUBTOTAL(4,X3:X90000)*100,0),"%")</f>
        <v>0 - 0%</v>
      </c>
      <c r="Y1" s="4"/>
    </row>
    <row r="2" spans="1:25" x14ac:dyDescent="0.25">
      <c r="A2" s="11" t="s">
        <v>18</v>
      </c>
      <c r="B2" s="11" t="s">
        <v>7</v>
      </c>
      <c r="C2" s="12" t="s">
        <v>17</v>
      </c>
      <c r="D2" s="12" t="s">
        <v>8</v>
      </c>
      <c r="E2" s="12"/>
      <c r="F2" s="12"/>
      <c r="G2" s="12" t="s">
        <v>19</v>
      </c>
      <c r="H2" s="11" t="s">
        <v>9</v>
      </c>
      <c r="I2" s="11" t="s">
        <v>10</v>
      </c>
      <c r="J2" s="23" t="s">
        <v>11</v>
      </c>
      <c r="K2" s="11"/>
      <c r="L2" s="27"/>
      <c r="M2" s="23" t="s">
        <v>32</v>
      </c>
      <c r="N2" s="12" t="s">
        <v>12</v>
      </c>
      <c r="O2" s="12" t="s">
        <v>13</v>
      </c>
      <c r="P2" s="25" t="s">
        <v>14</v>
      </c>
      <c r="Q2" s="25" t="s">
        <v>14</v>
      </c>
      <c r="R2" s="13">
        <v>0</v>
      </c>
      <c r="S2" s="9" t="s">
        <v>5</v>
      </c>
      <c r="T2" s="9" t="s">
        <v>6</v>
      </c>
      <c r="U2" s="9" t="s">
        <v>20</v>
      </c>
      <c r="V2" s="5" t="s">
        <v>1</v>
      </c>
      <c r="W2" s="5" t="s">
        <v>2</v>
      </c>
      <c r="X2" s="5" t="s">
        <v>3</v>
      </c>
      <c r="Y2" s="6" t="s">
        <v>4</v>
      </c>
    </row>
    <row r="3" spans="1:25" ht="45" x14ac:dyDescent="0.25">
      <c r="A3" s="18" t="str">
        <f>INDEX('Выгр Торг'!$A:$A,MATCH($B3,'Выгр Торг'!$B:$B,0))</f>
        <v>Фара "СЕВиЕМ" левая (гладкое стекло) для ВАЗ 2110-2112</v>
      </c>
      <c r="B3" s="14">
        <v>344613</v>
      </c>
      <c r="C3" s="14">
        <f>VLOOKUP($B3,'Выгр Торг'!$B:$Q,C$1,0)</f>
        <v>344613</v>
      </c>
      <c r="D3" s="18" t="str">
        <f>VLOOKUP($B3,'Выгр Торг'!$B:$Q,D$1,0)</f>
        <v>Фара "СЕВиЕМ" левая (гладкое стекло) для ВАЗ 2110-2112 (Стандартный повторитель)</v>
      </c>
      <c r="E3" s="14" t="str">
        <f>VLOOKUP($B3,'Выгр Торг'!$B:$Q,E$1,0)</f>
        <v>Y</v>
      </c>
      <c r="F3" s="14" t="str">
        <f>VLOOKUP($B3,'Выгр Торг'!$B:$Q,F$1,0)</f>
        <v>1</v>
      </c>
      <c r="G3" s="14">
        <f>VLOOKUP($B3,'Выгр Торг'!$B:$Q,G$1,0)</f>
        <v>0</v>
      </c>
      <c r="H3" s="14"/>
      <c r="I3" s="38" t="s">
        <v>57</v>
      </c>
      <c r="J3" s="39">
        <v>1900</v>
      </c>
      <c r="K3" s="15">
        <f>VLOOKUP(J3,Наценка!$A$1:$B$8,2,1)</f>
        <v>1.5</v>
      </c>
      <c r="L3" s="28">
        <f>J3*K3</f>
        <v>2850</v>
      </c>
      <c r="M3" s="29">
        <f>IF(L3&lt;=1000,(ROUNDUP(L3,-1)-1),(ROUNDUP(L3,-2)-10))</f>
        <v>2890</v>
      </c>
      <c r="N3" s="14">
        <f>VLOOKUP($B3,'Выгр Торг'!$B:$Q,N$1,0)</f>
        <v>1900</v>
      </c>
      <c r="O3" s="14">
        <f>VLOOKUP($B3,'Выгр Торг'!$B:$Q,O$1,0)</f>
        <v>2890</v>
      </c>
      <c r="P3" s="25">
        <f>N3-J3</f>
        <v>0</v>
      </c>
      <c r="Q3" s="25">
        <f>O3-M3</f>
        <v>0</v>
      </c>
      <c r="R3" s="26">
        <f>IFERROR(M3*(1-$R$2),"")</f>
        <v>2890</v>
      </c>
      <c r="S3" s="16">
        <f>IFERROR((VLOOKUP($B3,'Из ГУГЛа'!$B:$G,6,0)+U3)*T3,VLOOKUP($B3,'Из ГУГЛа'!$B:$G,6,0))</f>
        <v>0</v>
      </c>
      <c r="T3" s="10">
        <v>1</v>
      </c>
      <c r="U3" s="10"/>
      <c r="V3" s="7">
        <f>IFERROR(R3/J3-1,"")</f>
        <v>0.52105263157894743</v>
      </c>
      <c r="W3" s="7" t="str">
        <f>IFERROR((Y3-R3)/Y3,"")</f>
        <v/>
      </c>
      <c r="X3" s="7" t="str">
        <f>IFERROR(IF(Y3="","",Y3/J3-1),"")</f>
        <v/>
      </c>
      <c r="Y3" s="8" t="s">
        <v>120</v>
      </c>
    </row>
    <row r="4" spans="1:25" ht="45" x14ac:dyDescent="0.25">
      <c r="A4" s="18" t="str">
        <f>INDEX('Выгр Торг'!$A:$A,MATCH($B4,'Выгр Торг'!$B:$B,0))</f>
        <v>Фара "СЕВиЕМ" правая (гладкое стекло) для ВАЗ 2110-2112</v>
      </c>
      <c r="B4" s="14">
        <v>344611</v>
      </c>
      <c r="C4" s="14">
        <f>VLOOKUP($B4,'Выгр Торг'!$B:$Q,C$1,0)</f>
        <v>344611</v>
      </c>
      <c r="D4" s="18" t="str">
        <f>VLOOKUP($B4,'Выгр Торг'!$B:$Q,D$1,0)</f>
        <v>Фара "СЕВиЕМ" правая (гладкое стекло) для ВАЗ 2110-2112 (Стандартный повторитель)</v>
      </c>
      <c r="E4" s="14" t="str">
        <f>VLOOKUP($B4,'Выгр Торг'!$B:$Q,E$1,0)</f>
        <v>Y</v>
      </c>
      <c r="F4" s="14" t="str">
        <f>VLOOKUP($B4,'Выгр Торг'!$B:$Q,F$1,0)</f>
        <v>1</v>
      </c>
      <c r="G4" s="14">
        <f>VLOOKUP($B4,'Выгр Торг'!$B:$Q,G$1,0)</f>
        <v>0</v>
      </c>
      <c r="H4" s="14"/>
      <c r="I4" s="38" t="s">
        <v>57</v>
      </c>
      <c r="J4" s="39">
        <v>1900</v>
      </c>
      <c r="K4" s="15">
        <f>VLOOKUP(J4,Наценка!$A$1:$B$8,2,1)</f>
        <v>1.5</v>
      </c>
      <c r="L4" s="28">
        <f>J4*K4</f>
        <v>2850</v>
      </c>
      <c r="M4" s="29">
        <f>IF(L4&lt;=1000,(ROUNDUP(L4,-1)-1),(ROUNDUP(L4,-2)-10))</f>
        <v>2890</v>
      </c>
      <c r="N4" s="14">
        <f>VLOOKUP($B4,'Выгр Торг'!$B:$Q,N$1,0)</f>
        <v>1900</v>
      </c>
      <c r="O4" s="14">
        <f>VLOOKUP($B4,'Выгр Торг'!$B:$Q,O$1,0)</f>
        <v>2890</v>
      </c>
      <c r="P4" s="25">
        <f>N4-J4</f>
        <v>0</v>
      </c>
      <c r="Q4" s="25">
        <f>O4-M4</f>
        <v>0</v>
      </c>
      <c r="R4" s="26">
        <f>IFERROR(M4*(1-$R$2),"")</f>
        <v>2890</v>
      </c>
      <c r="S4" s="16">
        <f>IFERROR((VLOOKUP($B4,'Из ГУГЛа'!$B:$G,6,0)+U4)*T4,VLOOKUP($B4,'Из ГУГЛа'!$B:$G,6,0))</f>
        <v>0</v>
      </c>
      <c r="T4" s="10">
        <v>2</v>
      </c>
      <c r="U4" s="10"/>
      <c r="V4" s="7">
        <f>IFERROR(R4/J4-1,"")</f>
        <v>0.52105263157894743</v>
      </c>
      <c r="W4" s="7" t="str">
        <f>IFERROR((Y4-R4)/Y4,"")</f>
        <v/>
      </c>
      <c r="X4" s="7" t="str">
        <f>IFERROR(IF(Y4="","",Y4/J4-1),"")</f>
        <v/>
      </c>
      <c r="Y4" s="8" t="s">
        <v>120</v>
      </c>
    </row>
  </sheetData>
  <autoFilter ref="A2:Y2" xr:uid="{64BCF4BB-5576-480E-A76B-7F8D12A6956D}"/>
  <conditionalFormatting sqref="W3:W4">
    <cfRule type="cellIs" dxfId="10" priority="8" operator="lessThan">
      <formula>0</formula>
    </cfRule>
  </conditionalFormatting>
  <conditionalFormatting sqref="X3:X4 V3:V4">
    <cfRule type="cellIs" dxfId="9" priority="7" operator="lessThan">
      <formula>0.15</formula>
    </cfRule>
  </conditionalFormatting>
  <conditionalFormatting sqref="S2:S4">
    <cfRule type="expression" dxfId="8" priority="6">
      <formula>VALUE(S2)&lt;&gt;Y2</formula>
    </cfRule>
  </conditionalFormatting>
  <conditionalFormatting sqref="D3:D4">
    <cfRule type="expression" dxfId="7" priority="4">
      <formula>OR(E3="N",F3="0")</formula>
    </cfRule>
  </conditionalFormatting>
  <conditionalFormatting sqref="B3">
    <cfRule type="expression" dxfId="6" priority="2">
      <formula>AND(ROUNDDOWN($P3,0)=0,ROUNDDOWN($Q3,0)=0)</formula>
    </cfRule>
  </conditionalFormatting>
  <conditionalFormatting sqref="B4">
    <cfRule type="expression" dxfId="5" priority="1">
      <formula>AND(ROUNDDOWN($P4,0)=0,ROUNDDOWN($Q4,0)=0)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E42EC-EDF9-4C9D-9450-B2CC667DCADB}">
  <sheetPr codeName="Лист8"/>
  <dimension ref="A1:J27"/>
  <sheetViews>
    <sheetView workbookViewId="0">
      <selection activeCell="P18" sqref="P18"/>
    </sheetView>
  </sheetViews>
  <sheetFormatPr defaultRowHeight="15" x14ac:dyDescent="0.25"/>
  <sheetData>
    <row r="1" spans="1:10" x14ac:dyDescent="0.25">
      <c r="A1" s="1">
        <v>0.1</v>
      </c>
      <c r="B1" s="1">
        <v>2</v>
      </c>
      <c r="E1" t="s">
        <v>33</v>
      </c>
      <c r="F1" t="s">
        <v>34</v>
      </c>
      <c r="G1" t="s">
        <v>35</v>
      </c>
    </row>
    <row r="2" spans="1:10" x14ac:dyDescent="0.25">
      <c r="A2" s="1">
        <v>100</v>
      </c>
      <c r="B2" s="1">
        <v>1.8</v>
      </c>
      <c r="D2" t="s">
        <v>36</v>
      </c>
      <c r="E2">
        <v>5200</v>
      </c>
      <c r="F2">
        <v>5700</v>
      </c>
      <c r="G2">
        <v>6000</v>
      </c>
    </row>
    <row r="3" spans="1:10" x14ac:dyDescent="0.25">
      <c r="A3" s="2">
        <v>300</v>
      </c>
      <c r="B3" s="2">
        <v>1.6</v>
      </c>
      <c r="D3" t="s">
        <v>37</v>
      </c>
      <c r="E3">
        <v>4000</v>
      </c>
      <c r="F3">
        <v>4400</v>
      </c>
      <c r="G3">
        <v>5200</v>
      </c>
    </row>
    <row r="4" spans="1:10" x14ac:dyDescent="0.25">
      <c r="A4" s="2">
        <v>500</v>
      </c>
      <c r="B4" s="2">
        <v>1.55</v>
      </c>
      <c r="D4" t="s">
        <v>38</v>
      </c>
      <c r="E4">
        <v>4700</v>
      </c>
      <c r="F4">
        <v>4700</v>
      </c>
      <c r="G4">
        <v>4700</v>
      </c>
      <c r="I4" t="s">
        <v>46</v>
      </c>
      <c r="J4" s="37">
        <f>INDEX(Наценка!$D$1:$G$27,MATCH(LEFT(I4,SEARCH(" ",I4)-1),Наценка!$D$1:$D$27,0),MATCH(RIGHT(I4,LEN(I4)-SEARCH(" ",I4)),Наценка!$D$1:$G$1,0))</f>
        <v>5200</v>
      </c>
    </row>
    <row r="5" spans="1:10" x14ac:dyDescent="0.25">
      <c r="A5" s="2">
        <v>1000</v>
      </c>
      <c r="B5" s="2">
        <v>1.5</v>
      </c>
      <c r="D5" t="s">
        <v>39</v>
      </c>
      <c r="E5">
        <v>2200</v>
      </c>
    </row>
    <row r="6" spans="1:10" x14ac:dyDescent="0.25">
      <c r="A6" s="2">
        <v>2000</v>
      </c>
      <c r="B6" s="2">
        <v>1.4</v>
      </c>
      <c r="D6" t="s">
        <v>40</v>
      </c>
      <c r="E6">
        <v>1800</v>
      </c>
      <c r="F6">
        <v>2000</v>
      </c>
      <c r="G6">
        <v>2200</v>
      </c>
    </row>
    <row r="7" spans="1:10" x14ac:dyDescent="0.25">
      <c r="A7" s="2">
        <v>5000</v>
      </c>
      <c r="B7" s="2">
        <v>1.35</v>
      </c>
      <c r="D7" t="s">
        <v>41</v>
      </c>
      <c r="E7">
        <v>2000</v>
      </c>
    </row>
    <row r="8" spans="1:10" x14ac:dyDescent="0.25">
      <c r="A8" s="2">
        <v>10000</v>
      </c>
      <c r="B8" s="2">
        <v>1.3</v>
      </c>
      <c r="D8" t="s">
        <v>42</v>
      </c>
      <c r="E8">
        <v>500</v>
      </c>
    </row>
    <row r="9" spans="1:10" x14ac:dyDescent="0.25">
      <c r="D9" t="s">
        <v>43</v>
      </c>
      <c r="E9">
        <v>2700</v>
      </c>
      <c r="F9">
        <v>2700</v>
      </c>
      <c r="G9">
        <v>2700</v>
      </c>
    </row>
    <row r="10" spans="1:10" x14ac:dyDescent="0.25">
      <c r="D10" t="s">
        <v>44</v>
      </c>
      <c r="E10">
        <v>3700</v>
      </c>
      <c r="F10">
        <v>3700</v>
      </c>
      <c r="G10">
        <v>3700</v>
      </c>
    </row>
    <row r="11" spans="1:10" x14ac:dyDescent="0.25">
      <c r="D11" t="s">
        <v>47</v>
      </c>
      <c r="E11">
        <v>600</v>
      </c>
    </row>
    <row r="12" spans="1:10" x14ac:dyDescent="0.25">
      <c r="D12" t="s">
        <v>48</v>
      </c>
      <c r="E12">
        <v>450</v>
      </c>
    </row>
    <row r="13" spans="1:10" x14ac:dyDescent="0.25">
      <c r="D13" t="s">
        <v>49</v>
      </c>
      <c r="E13">
        <v>200</v>
      </c>
    </row>
    <row r="14" spans="1:10" x14ac:dyDescent="0.25">
      <c r="D14" t="s">
        <v>50</v>
      </c>
      <c r="E14">
        <v>400</v>
      </c>
      <c r="F14">
        <v>1000</v>
      </c>
      <c r="G14">
        <v>1000</v>
      </c>
    </row>
    <row r="15" spans="1:10" x14ac:dyDescent="0.25">
      <c r="D15" t="s">
        <v>51</v>
      </c>
      <c r="E15">
        <v>500</v>
      </c>
    </row>
    <row r="16" spans="1:10" x14ac:dyDescent="0.25">
      <c r="D16" t="s">
        <v>52</v>
      </c>
      <c r="E16">
        <v>600</v>
      </c>
    </row>
    <row r="17" spans="4:5" x14ac:dyDescent="0.25">
      <c r="D17" t="s">
        <v>53</v>
      </c>
      <c r="E17">
        <v>350</v>
      </c>
    </row>
    <row r="27" spans="4:5" x14ac:dyDescent="0.25">
      <c r="D27" t="s">
        <v>45</v>
      </c>
      <c r="E27">
        <v>1700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3C524-75E8-45F1-91F9-F73EEA9D9316}">
  <sheetPr codeName="Лист4">
    <outlinePr summaryBelow="0"/>
  </sheetPr>
  <dimension ref="A1:O40"/>
  <sheetViews>
    <sheetView showRuler="0" zoomScaleNormal="100" workbookViewId="0">
      <pane ySplit="1" topLeftCell="A2" activePane="bottomLeft" state="frozen"/>
      <selection pane="bottomLeft" activeCell="O2" sqref="O2"/>
    </sheetView>
  </sheetViews>
  <sheetFormatPr defaultRowHeight="15" x14ac:dyDescent="0.25"/>
  <cols>
    <col min="1" max="2" width="7.7109375" style="22" customWidth="1"/>
    <col min="3" max="3" width="33.28515625" style="22" customWidth="1"/>
    <col min="4" max="5" width="22.28515625" style="22" customWidth="1"/>
    <col min="6" max="6" width="33.28515625" style="22" customWidth="1"/>
    <col min="7" max="7" width="22.28515625" style="22" customWidth="1"/>
    <col min="8" max="9" width="11.140625" style="22" customWidth="1"/>
    <col min="10" max="10" width="22.28515625" style="22" customWidth="1"/>
    <col min="11" max="11" width="11.140625" style="22" customWidth="1"/>
    <col min="12" max="12" width="7.42578125" style="22" customWidth="1"/>
    <col min="13" max="14" width="5.5703125" style="22" customWidth="1"/>
    <col min="15" max="16384" width="9.140625" style="22"/>
  </cols>
  <sheetData>
    <row r="1" spans="1:15" s="21" customFormat="1" ht="45" x14ac:dyDescent="0.25">
      <c r="A1" s="42" t="s">
        <v>7</v>
      </c>
      <c r="B1" s="42" t="s">
        <v>17</v>
      </c>
      <c r="C1" s="42" t="s">
        <v>16</v>
      </c>
      <c r="D1" s="42" t="s">
        <v>21</v>
      </c>
      <c r="E1" s="42" t="s">
        <v>22</v>
      </c>
      <c r="F1" s="42" t="s">
        <v>23</v>
      </c>
      <c r="G1" s="42" t="s">
        <v>10</v>
      </c>
      <c r="H1" s="42" t="s">
        <v>11</v>
      </c>
      <c r="I1" s="42" t="s">
        <v>0</v>
      </c>
      <c r="J1" s="42" t="s">
        <v>24</v>
      </c>
      <c r="K1" s="42" t="s">
        <v>25</v>
      </c>
      <c r="L1" s="42" t="s">
        <v>26</v>
      </c>
      <c r="M1" s="42" t="s">
        <v>27</v>
      </c>
      <c r="N1" s="20"/>
      <c r="O1" s="20"/>
    </row>
    <row r="2" spans="1:15" ht="45" x14ac:dyDescent="0.25">
      <c r="A2" s="43">
        <v>136983</v>
      </c>
      <c r="B2" s="43">
        <v>36729</v>
      </c>
      <c r="C2" s="44" t="s">
        <v>54</v>
      </c>
      <c r="D2" s="44" t="s">
        <v>55</v>
      </c>
      <c r="E2" s="44" t="s">
        <v>56</v>
      </c>
      <c r="F2" s="44" t="s">
        <v>56</v>
      </c>
      <c r="G2" s="44" t="s">
        <v>57</v>
      </c>
      <c r="H2" s="45">
        <v>2255</v>
      </c>
      <c r="I2" s="45">
        <v>3190</v>
      </c>
      <c r="J2" s="44" t="s">
        <v>144</v>
      </c>
      <c r="K2" s="44" t="s">
        <v>15</v>
      </c>
      <c r="L2" s="44"/>
      <c r="M2" s="44"/>
      <c r="N2" s="20" t="str">
        <f>_xlfn.CONCAT(K2,IF(L2&lt;&gt;"",_xlfn.CONCAT("ск",L2),""))</f>
        <v>1</v>
      </c>
      <c r="O2" s="20" t="str">
        <f>INDEX(Кат!$H:$H,MATCH($A2,Кат!$A:$A,0))</f>
        <v>МЛавто</v>
      </c>
    </row>
    <row r="3" spans="1:15" ht="30" x14ac:dyDescent="0.25">
      <c r="A3" s="43">
        <v>143739</v>
      </c>
      <c r="B3" s="43">
        <v>27711</v>
      </c>
      <c r="C3" s="44" t="s">
        <v>58</v>
      </c>
      <c r="D3" s="44" t="s">
        <v>55</v>
      </c>
      <c r="E3" s="44"/>
      <c r="F3" s="44"/>
      <c r="G3" s="44" t="s">
        <v>57</v>
      </c>
      <c r="H3" s="45">
        <v>1600</v>
      </c>
      <c r="I3" s="45">
        <v>2390</v>
      </c>
      <c r="J3" s="44"/>
      <c r="K3" s="44" t="s">
        <v>15</v>
      </c>
      <c r="L3" s="44"/>
      <c r="M3" s="44"/>
      <c r="N3" s="20" t="str">
        <f t="shared" ref="N3:N37" si="0">_xlfn.CONCAT(K3,IF(L3&lt;&gt;"",_xlfn.CONCAT("ск",L3),""))</f>
        <v>1</v>
      </c>
      <c r="O3" s="20" t="str">
        <f>INDEX(Кат!$H:$H,MATCH($A3,Кат!$A:$A,0))</f>
        <v>МЛавто</v>
      </c>
    </row>
    <row r="4" spans="1:15" ht="60" x14ac:dyDescent="0.25">
      <c r="A4" s="43">
        <v>247462</v>
      </c>
      <c r="B4" s="43">
        <v>180063</v>
      </c>
      <c r="C4" s="44" t="s">
        <v>59</v>
      </c>
      <c r="D4" s="44" t="s">
        <v>55</v>
      </c>
      <c r="E4" s="44"/>
      <c r="F4" s="44"/>
      <c r="G4" s="44" t="s">
        <v>57</v>
      </c>
      <c r="H4" s="45">
        <v>500</v>
      </c>
      <c r="I4" s="45">
        <v>679</v>
      </c>
      <c r="J4" s="44" t="s">
        <v>122</v>
      </c>
      <c r="K4" s="44" t="s">
        <v>15</v>
      </c>
      <c r="L4" s="44"/>
      <c r="M4" s="44"/>
      <c r="N4" s="20" t="str">
        <f t="shared" si="0"/>
        <v>1</v>
      </c>
      <c r="O4" s="20" t="str">
        <f>INDEX(Кат!$H:$H,MATCH($A4,Кат!$A:$A,0))</f>
        <v>МЛавто</v>
      </c>
    </row>
    <row r="5" spans="1:15" ht="60" x14ac:dyDescent="0.25">
      <c r="A5" s="43">
        <v>247465</v>
      </c>
      <c r="B5" s="43">
        <v>180083</v>
      </c>
      <c r="C5" s="44" t="s">
        <v>60</v>
      </c>
      <c r="D5" s="44" t="s">
        <v>55</v>
      </c>
      <c r="E5" s="44"/>
      <c r="F5" s="44"/>
      <c r="G5" s="44" t="s">
        <v>57</v>
      </c>
      <c r="H5" s="45">
        <v>500</v>
      </c>
      <c r="I5" s="45">
        <v>679</v>
      </c>
      <c r="J5" s="44" t="s">
        <v>121</v>
      </c>
      <c r="K5" s="44" t="s">
        <v>15</v>
      </c>
      <c r="L5" s="44"/>
      <c r="M5" s="44"/>
      <c r="N5" s="20" t="str">
        <f t="shared" si="0"/>
        <v>1</v>
      </c>
      <c r="O5" s="20" t="str">
        <f>INDEX(Кат!$H:$H,MATCH($A5,Кат!$A:$A,0))</f>
        <v>МЛавто</v>
      </c>
    </row>
    <row r="6" spans="1:15" ht="60" x14ac:dyDescent="0.25">
      <c r="A6" s="43">
        <v>267631</v>
      </c>
      <c r="B6" s="43">
        <v>216219</v>
      </c>
      <c r="C6" s="44" t="s">
        <v>61</v>
      </c>
      <c r="D6" s="44" t="s">
        <v>55</v>
      </c>
      <c r="E6" s="44"/>
      <c r="F6" s="44" t="s">
        <v>62</v>
      </c>
      <c r="G6" s="44" t="s">
        <v>57</v>
      </c>
      <c r="H6" s="45"/>
      <c r="I6" s="45">
        <v>7190</v>
      </c>
      <c r="J6" s="44" t="s">
        <v>63</v>
      </c>
      <c r="K6" s="44" t="s">
        <v>15</v>
      </c>
      <c r="L6" s="44"/>
      <c r="M6" s="44"/>
      <c r="N6" s="20" t="str">
        <f t="shared" si="0"/>
        <v>1</v>
      </c>
      <c r="O6" s="20" t="str">
        <f>INDEX(Кат!$H:$H,MATCH($A6,Кат!$A:$A,0))</f>
        <v>МЛавто</v>
      </c>
    </row>
    <row r="7" spans="1:15" ht="60" x14ac:dyDescent="0.25">
      <c r="A7" s="43">
        <v>316914</v>
      </c>
      <c r="B7" s="43">
        <v>316914</v>
      </c>
      <c r="C7" s="44" t="s">
        <v>64</v>
      </c>
      <c r="D7" s="44" t="s">
        <v>55</v>
      </c>
      <c r="E7" s="44" t="s">
        <v>65</v>
      </c>
      <c r="F7" s="44" t="s">
        <v>65</v>
      </c>
      <c r="G7" s="44" t="s">
        <v>57</v>
      </c>
      <c r="H7" s="45">
        <v>200</v>
      </c>
      <c r="I7" s="45">
        <v>619</v>
      </c>
      <c r="J7" s="44" t="s">
        <v>123</v>
      </c>
      <c r="K7" s="44" t="s">
        <v>66</v>
      </c>
      <c r="L7" s="44"/>
      <c r="M7" s="44"/>
      <c r="N7" s="20" t="str">
        <f t="shared" si="0"/>
        <v>0</v>
      </c>
      <c r="O7" s="20" t="str">
        <f>INDEX(Кат!$H:$H,MATCH($A7,Кат!$A:$A,0))</f>
        <v>МЛавто</v>
      </c>
    </row>
    <row r="8" spans="1:15" ht="30" x14ac:dyDescent="0.25">
      <c r="A8" s="43">
        <v>377372</v>
      </c>
      <c r="B8" s="43">
        <v>377372</v>
      </c>
      <c r="C8" s="44" t="s">
        <v>147</v>
      </c>
      <c r="D8" s="44" t="s">
        <v>55</v>
      </c>
      <c r="E8" s="44" t="s">
        <v>148</v>
      </c>
      <c r="F8" s="44"/>
      <c r="G8" s="44" t="s">
        <v>57</v>
      </c>
      <c r="H8" s="45">
        <v>8000</v>
      </c>
      <c r="I8" s="45">
        <v>10790</v>
      </c>
      <c r="J8" s="44"/>
      <c r="K8" s="44" t="s">
        <v>15</v>
      </c>
      <c r="L8" s="44"/>
      <c r="M8" s="44"/>
      <c r="N8" s="20" t="str">
        <f t="shared" si="0"/>
        <v>1</v>
      </c>
      <c r="O8" s="20" t="str">
        <f>INDEX(Кат!$H:$H,MATCH($A8,Кат!$A:$A,0))</f>
        <v>МЛавто</v>
      </c>
    </row>
    <row r="9" spans="1:15" ht="75" x14ac:dyDescent="0.25">
      <c r="A9" s="43">
        <v>193949</v>
      </c>
      <c r="B9" s="43">
        <v>17745</v>
      </c>
      <c r="C9" s="44" t="s">
        <v>67</v>
      </c>
      <c r="D9" s="44" t="s">
        <v>55</v>
      </c>
      <c r="E9" s="44" t="s">
        <v>68</v>
      </c>
      <c r="F9" s="44"/>
      <c r="G9" s="44" t="s">
        <v>57</v>
      </c>
      <c r="H9" s="45">
        <v>70</v>
      </c>
      <c r="I9" s="45">
        <v>139</v>
      </c>
      <c r="J9" s="44" t="s">
        <v>124</v>
      </c>
      <c r="K9" s="44" t="s">
        <v>15</v>
      </c>
      <c r="L9" s="44"/>
      <c r="M9" s="44"/>
      <c r="N9" s="20" t="str">
        <f t="shared" si="0"/>
        <v>1</v>
      </c>
      <c r="O9" s="20" t="str">
        <f>INDEX(Кат!$H:$H,MATCH($A9,Кат!$A:$A,0))</f>
        <v>МЛавто</v>
      </c>
    </row>
    <row r="10" spans="1:15" ht="90" x14ac:dyDescent="0.25">
      <c r="A10" s="43">
        <v>193950</v>
      </c>
      <c r="B10" s="43">
        <v>37211</v>
      </c>
      <c r="C10" s="44" t="s">
        <v>69</v>
      </c>
      <c r="D10" s="44" t="s">
        <v>55</v>
      </c>
      <c r="E10" s="44" t="s">
        <v>70</v>
      </c>
      <c r="F10" s="44"/>
      <c r="G10" s="44" t="s">
        <v>57</v>
      </c>
      <c r="H10" s="45">
        <v>350</v>
      </c>
      <c r="I10" s="45">
        <v>679</v>
      </c>
      <c r="J10" s="44" t="s">
        <v>126</v>
      </c>
      <c r="K10" s="44" t="s">
        <v>15</v>
      </c>
      <c r="L10" s="44" t="s">
        <v>15</v>
      </c>
      <c r="M10" s="44"/>
      <c r="N10" s="20" t="str">
        <f t="shared" si="0"/>
        <v>1ск1</v>
      </c>
      <c r="O10" s="20" t="str">
        <f>INDEX(Кат!$H:$H,MATCH($A10,Кат!$A:$A,0))</f>
        <v>МЛавто</v>
      </c>
    </row>
    <row r="11" spans="1:15" ht="90" x14ac:dyDescent="0.25">
      <c r="A11" s="43">
        <v>193953</v>
      </c>
      <c r="B11" s="43">
        <v>37210</v>
      </c>
      <c r="C11" s="44" t="s">
        <v>71</v>
      </c>
      <c r="D11" s="44" t="s">
        <v>55</v>
      </c>
      <c r="E11" s="44" t="s">
        <v>72</v>
      </c>
      <c r="F11" s="44"/>
      <c r="G11" s="44" t="s">
        <v>57</v>
      </c>
      <c r="H11" s="45">
        <v>350</v>
      </c>
      <c r="I11" s="45">
        <v>679</v>
      </c>
      <c r="J11" s="44" t="s">
        <v>73</v>
      </c>
      <c r="K11" s="44" t="s">
        <v>15</v>
      </c>
      <c r="L11" s="44" t="s">
        <v>15</v>
      </c>
      <c r="M11" s="44"/>
      <c r="N11" s="20" t="str">
        <f t="shared" si="0"/>
        <v>1ск1</v>
      </c>
      <c r="O11" s="20" t="str">
        <f>INDEX(Кат!$H:$H,MATCH($A11,Кат!$A:$A,0))</f>
        <v>МЛавто</v>
      </c>
    </row>
    <row r="12" spans="1:15" ht="75" x14ac:dyDescent="0.25">
      <c r="A12" s="43">
        <v>193955</v>
      </c>
      <c r="B12" s="43">
        <v>79187</v>
      </c>
      <c r="C12" s="44" t="s">
        <v>74</v>
      </c>
      <c r="D12" s="44" t="s">
        <v>55</v>
      </c>
      <c r="E12" s="44" t="s">
        <v>75</v>
      </c>
      <c r="F12" s="44"/>
      <c r="G12" s="44" t="s">
        <v>57</v>
      </c>
      <c r="H12" s="45">
        <v>380</v>
      </c>
      <c r="I12" s="45">
        <v>659</v>
      </c>
      <c r="J12" s="44" t="s">
        <v>76</v>
      </c>
      <c r="K12" s="44" t="s">
        <v>15</v>
      </c>
      <c r="L12" s="44"/>
      <c r="M12" s="44"/>
      <c r="N12" s="20" t="str">
        <f t="shared" si="0"/>
        <v>1</v>
      </c>
      <c r="O12" s="20" t="str">
        <f>INDEX(Кат!$H:$H,MATCH($A12,Кат!$A:$A,0))</f>
        <v>МЛавто</v>
      </c>
    </row>
    <row r="13" spans="1:15" ht="45" x14ac:dyDescent="0.25">
      <c r="A13" s="43">
        <v>194053</v>
      </c>
      <c r="B13" s="43">
        <v>49903</v>
      </c>
      <c r="C13" s="44" t="s">
        <v>77</v>
      </c>
      <c r="D13" s="44" t="s">
        <v>55</v>
      </c>
      <c r="E13" s="44"/>
      <c r="F13" s="44"/>
      <c r="G13" s="44" t="s">
        <v>57</v>
      </c>
      <c r="H13" s="45">
        <v>600</v>
      </c>
      <c r="I13" s="45">
        <v>929</v>
      </c>
      <c r="J13" s="44"/>
      <c r="K13" s="44" t="s">
        <v>15</v>
      </c>
      <c r="L13" s="44"/>
      <c r="M13" s="44"/>
      <c r="N13" s="20" t="str">
        <f t="shared" si="0"/>
        <v>1</v>
      </c>
      <c r="O13" s="20" t="str">
        <f>INDEX(Кат!$H:$H,MATCH($A13,Кат!$A:$A,0))</f>
        <v>МЛавто</v>
      </c>
    </row>
    <row r="14" spans="1:15" ht="30" x14ac:dyDescent="0.25">
      <c r="A14" s="43">
        <v>194066</v>
      </c>
      <c r="B14" s="43">
        <v>17862</v>
      </c>
      <c r="C14" s="44" t="s">
        <v>78</v>
      </c>
      <c r="D14" s="44" t="s">
        <v>55</v>
      </c>
      <c r="E14" s="44"/>
      <c r="F14" s="44"/>
      <c r="G14" s="44" t="s">
        <v>57</v>
      </c>
      <c r="H14" s="45">
        <v>560</v>
      </c>
      <c r="I14" s="45">
        <v>869</v>
      </c>
      <c r="J14" s="44"/>
      <c r="K14" s="44" t="s">
        <v>15</v>
      </c>
      <c r="L14" s="44"/>
      <c r="M14" s="44"/>
      <c r="N14" s="20" t="str">
        <f t="shared" si="0"/>
        <v>1</v>
      </c>
      <c r="O14" s="20" t="str">
        <f>INDEX(Кат!$H:$H,MATCH($A14,Кат!$A:$A,0))</f>
        <v>МЛавто</v>
      </c>
    </row>
    <row r="15" spans="1:15" ht="75" x14ac:dyDescent="0.25">
      <c r="A15" s="43">
        <v>194075</v>
      </c>
      <c r="B15" s="43">
        <v>12687</v>
      </c>
      <c r="C15" s="44" t="s">
        <v>79</v>
      </c>
      <c r="D15" s="44" t="s">
        <v>55</v>
      </c>
      <c r="E15" s="44"/>
      <c r="F15" s="44"/>
      <c r="G15" s="44" t="s">
        <v>57</v>
      </c>
      <c r="H15" s="45">
        <v>250</v>
      </c>
      <c r="I15" s="45">
        <v>519</v>
      </c>
      <c r="J15" s="44" t="s">
        <v>128</v>
      </c>
      <c r="K15" s="44" t="s">
        <v>15</v>
      </c>
      <c r="L15" s="44"/>
      <c r="M15" s="44"/>
      <c r="N15" s="20" t="str">
        <f t="shared" si="0"/>
        <v>1</v>
      </c>
      <c r="O15" s="20" t="str">
        <f>INDEX(Кат!$H:$H,MATCH($A15,Кат!$A:$A,0))</f>
        <v>МЛавто</v>
      </c>
    </row>
    <row r="16" spans="1:15" ht="60" x14ac:dyDescent="0.25">
      <c r="A16" s="43">
        <v>194085</v>
      </c>
      <c r="B16" s="43">
        <v>8993</v>
      </c>
      <c r="C16" s="44" t="s">
        <v>80</v>
      </c>
      <c r="D16" s="44" t="s">
        <v>55</v>
      </c>
      <c r="E16" s="44"/>
      <c r="F16" s="44"/>
      <c r="G16" s="44" t="s">
        <v>57</v>
      </c>
      <c r="H16" s="45">
        <v>400</v>
      </c>
      <c r="I16" s="45">
        <v>639</v>
      </c>
      <c r="J16" s="44" t="s">
        <v>149</v>
      </c>
      <c r="K16" s="44" t="s">
        <v>15</v>
      </c>
      <c r="L16" s="44" t="s">
        <v>15</v>
      </c>
      <c r="M16" s="44"/>
      <c r="N16" s="20" t="str">
        <f t="shared" si="0"/>
        <v>1ск1</v>
      </c>
      <c r="O16" s="20" t="str">
        <f>INDEX(Кат!$H:$H,MATCH($A16,Кат!$A:$A,0))</f>
        <v>МЛавто</v>
      </c>
    </row>
    <row r="17" spans="1:15" ht="75" x14ac:dyDescent="0.25">
      <c r="A17" s="43">
        <v>194924</v>
      </c>
      <c r="B17" s="43">
        <v>4166</v>
      </c>
      <c r="C17" s="44" t="s">
        <v>81</v>
      </c>
      <c r="D17" s="44" t="s">
        <v>55</v>
      </c>
      <c r="E17" s="44"/>
      <c r="F17" s="44"/>
      <c r="G17" s="44" t="s">
        <v>57</v>
      </c>
      <c r="H17" s="45">
        <v>350</v>
      </c>
      <c r="I17" s="45">
        <v>589</v>
      </c>
      <c r="J17" s="44" t="s">
        <v>129</v>
      </c>
      <c r="K17" s="44" t="s">
        <v>15</v>
      </c>
      <c r="L17" s="44"/>
      <c r="M17" s="44"/>
      <c r="N17" s="20" t="str">
        <f t="shared" si="0"/>
        <v>1</v>
      </c>
      <c r="O17" s="20" t="str">
        <f>INDEX(Кат!$H:$H,MATCH($A17,Кат!$A:$A,0))</f>
        <v>МЛавто</v>
      </c>
    </row>
    <row r="18" spans="1:15" ht="75" x14ac:dyDescent="0.25">
      <c r="A18" s="43">
        <v>194926</v>
      </c>
      <c r="B18" s="43">
        <v>4167</v>
      </c>
      <c r="C18" s="44" t="s">
        <v>145</v>
      </c>
      <c r="D18" s="44" t="s">
        <v>55</v>
      </c>
      <c r="E18" s="44"/>
      <c r="F18" s="44"/>
      <c r="G18" s="44" t="s">
        <v>57</v>
      </c>
      <c r="H18" s="45">
        <v>350</v>
      </c>
      <c r="I18" s="45">
        <v>589</v>
      </c>
      <c r="J18" s="44" t="s">
        <v>129</v>
      </c>
      <c r="K18" s="44" t="s">
        <v>15</v>
      </c>
      <c r="L18" s="44"/>
      <c r="M18" s="44"/>
      <c r="N18" s="20" t="str">
        <f t="shared" si="0"/>
        <v>1</v>
      </c>
      <c r="O18" s="20" t="str">
        <f>INDEX(Кат!$H:$H,MATCH($A18,Кат!$A:$A,0))</f>
        <v>МЛавто</v>
      </c>
    </row>
    <row r="19" spans="1:15" ht="30" x14ac:dyDescent="0.25">
      <c r="A19" s="43">
        <v>348783</v>
      </c>
      <c r="B19" s="43">
        <v>348783</v>
      </c>
      <c r="C19" s="44" t="s">
        <v>82</v>
      </c>
      <c r="D19" s="44" t="s">
        <v>55</v>
      </c>
      <c r="E19" s="44"/>
      <c r="F19" s="44"/>
      <c r="G19" s="44" t="s">
        <v>57</v>
      </c>
      <c r="H19" s="45"/>
      <c r="I19" s="45">
        <v>1990</v>
      </c>
      <c r="J19" s="44"/>
      <c r="K19" s="44" t="s">
        <v>15</v>
      </c>
      <c r="L19" s="44" t="s">
        <v>15</v>
      </c>
      <c r="M19" s="44"/>
      <c r="N19" s="20" t="str">
        <f t="shared" si="0"/>
        <v>1ск1</v>
      </c>
      <c r="O19" s="20" t="str">
        <f>INDEX(Кат!$H:$H,MATCH($A19,Кат!$A:$A,0))</f>
        <v>МЛавто</v>
      </c>
    </row>
    <row r="20" spans="1:15" ht="90" x14ac:dyDescent="0.25">
      <c r="A20" s="43">
        <v>213590</v>
      </c>
      <c r="B20" s="43">
        <v>14164</v>
      </c>
      <c r="C20" s="44" t="s">
        <v>83</v>
      </c>
      <c r="D20" s="44" t="s">
        <v>55</v>
      </c>
      <c r="E20" s="44"/>
      <c r="F20" s="44"/>
      <c r="G20" s="44" t="s">
        <v>57</v>
      </c>
      <c r="H20" s="45">
        <v>3700</v>
      </c>
      <c r="I20" s="45">
        <v>5190</v>
      </c>
      <c r="J20" s="44" t="s">
        <v>150</v>
      </c>
      <c r="K20" s="44" t="s">
        <v>15</v>
      </c>
      <c r="L20" s="44"/>
      <c r="M20" s="44"/>
      <c r="N20" s="20" t="str">
        <f t="shared" si="0"/>
        <v>1</v>
      </c>
      <c r="O20" s="20" t="str">
        <f>INDEX(Кат!$H:$H,MATCH($A20,Кат!$A:$A,0))</f>
        <v>МЛавто</v>
      </c>
    </row>
    <row r="21" spans="1:15" ht="75" x14ac:dyDescent="0.25">
      <c r="A21" s="43">
        <v>213594</v>
      </c>
      <c r="B21" s="43">
        <v>29601</v>
      </c>
      <c r="C21" s="44" t="s">
        <v>84</v>
      </c>
      <c r="D21" s="44" t="s">
        <v>55</v>
      </c>
      <c r="E21" s="44"/>
      <c r="F21" s="44"/>
      <c r="G21" s="44" t="s">
        <v>57</v>
      </c>
      <c r="H21" s="45">
        <v>9000</v>
      </c>
      <c r="I21" s="45">
        <v>12190</v>
      </c>
      <c r="J21" s="44" t="s">
        <v>132</v>
      </c>
      <c r="K21" s="44" t="s">
        <v>15</v>
      </c>
      <c r="L21" s="44"/>
      <c r="M21" s="44"/>
      <c r="N21" s="20" t="str">
        <f t="shared" si="0"/>
        <v>1</v>
      </c>
      <c r="O21" s="20" t="str">
        <f>INDEX(Кат!$H:$H,MATCH($A21,Кат!$A:$A,0))</f>
        <v>МЛавто</v>
      </c>
    </row>
    <row r="22" spans="1:15" ht="75" x14ac:dyDescent="0.25">
      <c r="A22" s="43">
        <v>213667</v>
      </c>
      <c r="B22" s="43">
        <v>32817</v>
      </c>
      <c r="C22" s="44" t="s">
        <v>85</v>
      </c>
      <c r="D22" s="44" t="s">
        <v>55</v>
      </c>
      <c r="E22" s="44"/>
      <c r="F22" s="44"/>
      <c r="G22" s="44" t="s">
        <v>57</v>
      </c>
      <c r="H22" s="45">
        <v>600</v>
      </c>
      <c r="I22" s="45">
        <v>979</v>
      </c>
      <c r="J22" s="44" t="s">
        <v>133</v>
      </c>
      <c r="K22" s="44" t="s">
        <v>15</v>
      </c>
      <c r="L22" s="44"/>
      <c r="M22" s="44"/>
      <c r="N22" s="20" t="str">
        <f t="shared" si="0"/>
        <v>1</v>
      </c>
      <c r="O22" s="20" t="str">
        <f>INDEX(Кат!$H:$H,MATCH($A22,Кат!$A:$A,0))</f>
        <v>МЛавто</v>
      </c>
    </row>
    <row r="23" spans="1:15" ht="75" x14ac:dyDescent="0.25">
      <c r="A23" s="43">
        <v>213730</v>
      </c>
      <c r="B23" s="43">
        <v>31896</v>
      </c>
      <c r="C23" s="44" t="s">
        <v>86</v>
      </c>
      <c r="D23" s="44" t="s">
        <v>55</v>
      </c>
      <c r="E23" s="44"/>
      <c r="F23" s="44"/>
      <c r="G23" s="44" t="s">
        <v>57</v>
      </c>
      <c r="H23" s="45">
        <v>9000</v>
      </c>
      <c r="I23" s="45">
        <v>12190</v>
      </c>
      <c r="J23" s="44" t="s">
        <v>134</v>
      </c>
      <c r="K23" s="44" t="s">
        <v>15</v>
      </c>
      <c r="L23" s="44"/>
      <c r="M23" s="44"/>
      <c r="N23" s="20" t="str">
        <f t="shared" si="0"/>
        <v>1</v>
      </c>
      <c r="O23" s="20" t="str">
        <f>INDEX(Кат!$H:$H,MATCH($A23,Кат!$A:$A,0))</f>
        <v>МЛавто</v>
      </c>
    </row>
    <row r="24" spans="1:15" ht="60" x14ac:dyDescent="0.25">
      <c r="A24" s="43">
        <v>217456</v>
      </c>
      <c r="B24" s="43">
        <v>76563</v>
      </c>
      <c r="C24" s="44" t="s">
        <v>87</v>
      </c>
      <c r="D24" s="44" t="s">
        <v>55</v>
      </c>
      <c r="E24" s="44"/>
      <c r="F24" s="44"/>
      <c r="G24" s="44" t="s">
        <v>57</v>
      </c>
      <c r="H24" s="45">
        <v>170</v>
      </c>
      <c r="I24" s="45">
        <v>359</v>
      </c>
      <c r="J24" s="44" t="s">
        <v>135</v>
      </c>
      <c r="K24" s="44" t="s">
        <v>15</v>
      </c>
      <c r="L24" s="44" t="s">
        <v>15</v>
      </c>
      <c r="M24" s="44"/>
      <c r="N24" s="20" t="str">
        <f t="shared" si="0"/>
        <v>1ск1</v>
      </c>
      <c r="O24" s="20" t="str">
        <f>INDEX(Кат!$H:$H,MATCH($A24,Кат!$A:$A,0))</f>
        <v>МЛавто</v>
      </c>
    </row>
    <row r="25" spans="1:15" ht="60" x14ac:dyDescent="0.25">
      <c r="A25" s="43">
        <v>217457</v>
      </c>
      <c r="B25" s="43">
        <v>34792</v>
      </c>
      <c r="C25" s="44" t="s">
        <v>88</v>
      </c>
      <c r="D25" s="44" t="s">
        <v>55</v>
      </c>
      <c r="E25" s="44"/>
      <c r="F25" s="44"/>
      <c r="G25" s="44" t="s">
        <v>57</v>
      </c>
      <c r="H25" s="45">
        <v>400</v>
      </c>
      <c r="I25" s="45">
        <v>789</v>
      </c>
      <c r="J25" s="44" t="s">
        <v>137</v>
      </c>
      <c r="K25" s="44" t="s">
        <v>15</v>
      </c>
      <c r="L25" s="44"/>
      <c r="M25" s="44"/>
      <c r="N25" s="20" t="str">
        <f t="shared" si="0"/>
        <v>1</v>
      </c>
      <c r="O25" s="20" t="str">
        <f>INDEX(Кат!$H:$H,MATCH($A25,Кат!$A:$A,0))</f>
        <v>МЛавто</v>
      </c>
    </row>
    <row r="26" spans="1:15" ht="60" x14ac:dyDescent="0.25">
      <c r="A26" s="43">
        <v>217458</v>
      </c>
      <c r="B26" s="43">
        <v>8046</v>
      </c>
      <c r="C26" s="44" t="s">
        <v>89</v>
      </c>
      <c r="D26" s="44" t="s">
        <v>55</v>
      </c>
      <c r="E26" s="44"/>
      <c r="F26" s="44"/>
      <c r="G26" s="44" t="s">
        <v>57</v>
      </c>
      <c r="H26" s="45">
        <v>50</v>
      </c>
      <c r="I26" s="45">
        <v>139</v>
      </c>
      <c r="J26" s="44" t="s">
        <v>140</v>
      </c>
      <c r="K26" s="44" t="s">
        <v>15</v>
      </c>
      <c r="L26" s="44"/>
      <c r="M26" s="44"/>
      <c r="N26" s="20" t="str">
        <f t="shared" si="0"/>
        <v>1</v>
      </c>
      <c r="O26" s="20" t="str">
        <f>INDEX(Кат!$H:$H,MATCH($A26,Кат!$A:$A,0))</f>
        <v>МЛавто</v>
      </c>
    </row>
    <row r="27" spans="1:15" ht="75" x14ac:dyDescent="0.25">
      <c r="A27" s="43">
        <v>217459</v>
      </c>
      <c r="B27" s="43">
        <v>8047</v>
      </c>
      <c r="C27" s="44" t="s">
        <v>90</v>
      </c>
      <c r="D27" s="44" t="s">
        <v>55</v>
      </c>
      <c r="E27" s="44"/>
      <c r="F27" s="44"/>
      <c r="G27" s="44" t="s">
        <v>57</v>
      </c>
      <c r="H27" s="45">
        <v>50</v>
      </c>
      <c r="I27" s="45">
        <v>139</v>
      </c>
      <c r="J27" s="44" t="s">
        <v>139</v>
      </c>
      <c r="K27" s="44" t="s">
        <v>15</v>
      </c>
      <c r="L27" s="44"/>
      <c r="M27" s="44"/>
      <c r="N27" s="20" t="str">
        <f t="shared" si="0"/>
        <v>1</v>
      </c>
      <c r="O27" s="20" t="str">
        <f>INDEX(Кат!$H:$H,MATCH($A27,Кат!$A:$A,0))</f>
        <v>МЛавто</v>
      </c>
    </row>
    <row r="28" spans="1:15" ht="60" x14ac:dyDescent="0.25">
      <c r="A28" s="43">
        <v>217461</v>
      </c>
      <c r="B28" s="43">
        <v>76562</v>
      </c>
      <c r="C28" s="44" t="s">
        <v>146</v>
      </c>
      <c r="D28" s="44" t="s">
        <v>55</v>
      </c>
      <c r="E28" s="44"/>
      <c r="F28" s="44"/>
      <c r="G28" s="44" t="s">
        <v>57</v>
      </c>
      <c r="H28" s="45">
        <v>170</v>
      </c>
      <c r="I28" s="45">
        <v>359</v>
      </c>
      <c r="J28" s="44" t="s">
        <v>136</v>
      </c>
      <c r="K28" s="44" t="s">
        <v>15</v>
      </c>
      <c r="L28" s="44" t="s">
        <v>15</v>
      </c>
      <c r="M28" s="44"/>
      <c r="N28" s="20" t="str">
        <f t="shared" si="0"/>
        <v>1ск1</v>
      </c>
      <c r="O28" s="20" t="str">
        <f>INDEX(Кат!$H:$H,MATCH($A28,Кат!$A:$A,0))</f>
        <v>МЛавто</v>
      </c>
    </row>
    <row r="29" spans="1:15" ht="60" x14ac:dyDescent="0.25">
      <c r="A29" s="43">
        <v>217462</v>
      </c>
      <c r="B29" s="43">
        <v>34793</v>
      </c>
      <c r="C29" s="44" t="s">
        <v>91</v>
      </c>
      <c r="D29" s="44" t="s">
        <v>55</v>
      </c>
      <c r="E29" s="44"/>
      <c r="F29" s="44"/>
      <c r="G29" s="44" t="s">
        <v>57</v>
      </c>
      <c r="H29" s="45">
        <v>400</v>
      </c>
      <c r="I29" s="45">
        <v>789</v>
      </c>
      <c r="J29" s="44" t="s">
        <v>138</v>
      </c>
      <c r="K29" s="44" t="s">
        <v>15</v>
      </c>
      <c r="L29" s="44"/>
      <c r="M29" s="44"/>
      <c r="N29" s="20" t="str">
        <f t="shared" si="0"/>
        <v>1</v>
      </c>
      <c r="O29" s="20" t="str">
        <f>INDEX(Кат!$H:$H,MATCH($A29,Кат!$A:$A,0))</f>
        <v>МЛавто</v>
      </c>
    </row>
    <row r="30" spans="1:15" ht="60" x14ac:dyDescent="0.25">
      <c r="A30" s="43">
        <v>217470</v>
      </c>
      <c r="B30" s="43">
        <v>79581</v>
      </c>
      <c r="C30" s="44" t="s">
        <v>92</v>
      </c>
      <c r="D30" s="44" t="s">
        <v>55</v>
      </c>
      <c r="E30" s="44" t="s">
        <v>93</v>
      </c>
      <c r="F30" s="44"/>
      <c r="G30" s="44" t="s">
        <v>57</v>
      </c>
      <c r="H30" s="45">
        <v>170</v>
      </c>
      <c r="I30" s="45">
        <v>309</v>
      </c>
      <c r="J30" s="44" t="s">
        <v>141</v>
      </c>
      <c r="K30" s="44" t="s">
        <v>15</v>
      </c>
      <c r="L30" s="44"/>
      <c r="M30" s="44"/>
      <c r="N30" s="20" t="str">
        <f t="shared" si="0"/>
        <v>1</v>
      </c>
      <c r="O30" s="20" t="str">
        <f>INDEX(Кат!$H:$H,MATCH($A30,Кат!$A:$A,0))</f>
        <v>МЛавто</v>
      </c>
    </row>
    <row r="31" spans="1:15" ht="60" x14ac:dyDescent="0.25">
      <c r="A31" s="43">
        <v>217471</v>
      </c>
      <c r="B31" s="43">
        <v>79580</v>
      </c>
      <c r="C31" s="44" t="s">
        <v>94</v>
      </c>
      <c r="D31" s="44" t="s">
        <v>55</v>
      </c>
      <c r="E31" s="44" t="s">
        <v>95</v>
      </c>
      <c r="F31" s="44"/>
      <c r="G31" s="44" t="s">
        <v>57</v>
      </c>
      <c r="H31" s="45">
        <v>170</v>
      </c>
      <c r="I31" s="45">
        <v>309</v>
      </c>
      <c r="J31" s="44" t="s">
        <v>143</v>
      </c>
      <c r="K31" s="44" t="s">
        <v>15</v>
      </c>
      <c r="L31" s="44"/>
      <c r="M31" s="44"/>
      <c r="N31" s="20" t="str">
        <f t="shared" si="0"/>
        <v>1</v>
      </c>
      <c r="O31" s="20" t="str">
        <f>INDEX(Кат!$H:$H,MATCH($A31,Кат!$A:$A,0))</f>
        <v>МЛавто</v>
      </c>
    </row>
    <row r="32" spans="1:15" ht="45" x14ac:dyDescent="0.25">
      <c r="A32" s="43">
        <v>274198</v>
      </c>
      <c r="B32" s="43">
        <v>216225</v>
      </c>
      <c r="C32" s="44" t="s">
        <v>96</v>
      </c>
      <c r="D32" s="44" t="s">
        <v>55</v>
      </c>
      <c r="E32" s="44" t="s">
        <v>97</v>
      </c>
      <c r="F32" s="44" t="s">
        <v>97</v>
      </c>
      <c r="G32" s="44" t="s">
        <v>57</v>
      </c>
      <c r="H32" s="45">
        <v>2470</v>
      </c>
      <c r="I32" s="45">
        <v>4890</v>
      </c>
      <c r="J32" s="44" t="s">
        <v>98</v>
      </c>
      <c r="K32" s="44" t="s">
        <v>15</v>
      </c>
      <c r="L32" s="44"/>
      <c r="M32" s="44"/>
      <c r="N32" s="20" t="str">
        <f t="shared" si="0"/>
        <v>1</v>
      </c>
      <c r="O32" s="20" t="str">
        <f>INDEX(Кат!$H:$H,MATCH($A32,Кат!$A:$A,0))</f>
        <v>МЛавто</v>
      </c>
    </row>
    <row r="33" spans="1:15" ht="45" x14ac:dyDescent="0.25">
      <c r="A33" s="43">
        <v>274199</v>
      </c>
      <c r="B33" s="43">
        <v>216224</v>
      </c>
      <c r="C33" s="44" t="s">
        <v>99</v>
      </c>
      <c r="D33" s="44" t="s">
        <v>55</v>
      </c>
      <c r="E33" s="44" t="s">
        <v>100</v>
      </c>
      <c r="F33" s="44" t="s">
        <v>100</v>
      </c>
      <c r="G33" s="44" t="s">
        <v>57</v>
      </c>
      <c r="H33" s="45">
        <v>2470</v>
      </c>
      <c r="I33" s="45">
        <v>4890</v>
      </c>
      <c r="J33" s="44" t="s">
        <v>101</v>
      </c>
      <c r="K33" s="44" t="s">
        <v>15</v>
      </c>
      <c r="L33" s="44"/>
      <c r="M33" s="44"/>
      <c r="N33" s="20" t="str">
        <f t="shared" si="0"/>
        <v>1</v>
      </c>
      <c r="O33" s="20" t="str">
        <f>INDEX(Кат!$H:$H,MATCH($A33,Кат!$A:$A,0))</f>
        <v>МЛавто</v>
      </c>
    </row>
    <row r="34" spans="1:15" ht="30" x14ac:dyDescent="0.25">
      <c r="A34" s="43">
        <v>256791</v>
      </c>
      <c r="B34" s="43">
        <v>180324</v>
      </c>
      <c r="C34" s="44" t="s">
        <v>102</v>
      </c>
      <c r="D34" s="44" t="s">
        <v>55</v>
      </c>
      <c r="E34" s="44"/>
      <c r="F34" s="44"/>
      <c r="G34" s="44" t="s">
        <v>57</v>
      </c>
      <c r="H34" s="45">
        <v>9000</v>
      </c>
      <c r="I34" s="45">
        <v>12190</v>
      </c>
      <c r="J34" s="44"/>
      <c r="K34" s="44" t="s">
        <v>15</v>
      </c>
      <c r="L34" s="44"/>
      <c r="M34" s="44"/>
      <c r="N34" s="20" t="str">
        <f t="shared" si="0"/>
        <v>1</v>
      </c>
      <c r="O34" s="20" t="str">
        <f>INDEX(Кат!$H:$H,MATCH($A34,Кат!$A:$A,0))</f>
        <v>МЛавто</v>
      </c>
    </row>
    <row r="35" spans="1:15" ht="45" x14ac:dyDescent="0.25">
      <c r="A35" s="43">
        <v>301133</v>
      </c>
      <c r="B35" s="43">
        <v>301133</v>
      </c>
      <c r="C35" s="44" t="s">
        <v>103</v>
      </c>
      <c r="D35" s="44" t="s">
        <v>55</v>
      </c>
      <c r="E35" s="44"/>
      <c r="F35" s="44"/>
      <c r="G35" s="44" t="s">
        <v>57</v>
      </c>
      <c r="H35" s="45">
        <v>12000</v>
      </c>
      <c r="I35" s="45">
        <v>15590</v>
      </c>
      <c r="J35" s="44"/>
      <c r="K35" s="44" t="s">
        <v>15</v>
      </c>
      <c r="L35" s="44"/>
      <c r="M35" s="44" t="s">
        <v>55</v>
      </c>
      <c r="N35" s="20" t="str">
        <f t="shared" si="0"/>
        <v>1</v>
      </c>
      <c r="O35" s="20" t="str">
        <f>INDEX(Кат!$H:$H,MATCH($A35,Кат!$A:$A,0))</f>
        <v>МЛавто</v>
      </c>
    </row>
    <row r="36" spans="1:15" ht="60" x14ac:dyDescent="0.25">
      <c r="A36" s="43">
        <v>274204</v>
      </c>
      <c r="B36" s="43">
        <v>216207</v>
      </c>
      <c r="C36" s="44" t="s">
        <v>104</v>
      </c>
      <c r="D36" s="44" t="s">
        <v>55</v>
      </c>
      <c r="E36" s="44"/>
      <c r="F36" s="44" t="s">
        <v>105</v>
      </c>
      <c r="G36" s="44" t="s">
        <v>57</v>
      </c>
      <c r="H36" s="45"/>
      <c r="I36" s="45">
        <v>2690</v>
      </c>
      <c r="J36" s="44" t="s">
        <v>106</v>
      </c>
      <c r="K36" s="44" t="s">
        <v>15</v>
      </c>
      <c r="L36" s="44"/>
      <c r="M36" s="44"/>
      <c r="N36" s="20" t="str">
        <f t="shared" si="0"/>
        <v>1</v>
      </c>
      <c r="O36" s="20" t="str">
        <f>INDEX(Кат!$H:$H,MATCH($A36,Кат!$A:$A,0))</f>
        <v>МЛавто</v>
      </c>
    </row>
    <row r="37" spans="1:15" ht="60" x14ac:dyDescent="0.25">
      <c r="A37" s="43">
        <v>274205</v>
      </c>
      <c r="B37" s="43">
        <v>216208</v>
      </c>
      <c r="C37" s="44" t="s">
        <v>107</v>
      </c>
      <c r="D37" s="44" t="s">
        <v>55</v>
      </c>
      <c r="E37" s="44"/>
      <c r="F37" s="44" t="s">
        <v>62</v>
      </c>
      <c r="G37" s="44" t="s">
        <v>57</v>
      </c>
      <c r="H37" s="45"/>
      <c r="I37" s="45">
        <v>2690</v>
      </c>
      <c r="J37" s="44" t="s">
        <v>108</v>
      </c>
      <c r="K37" s="44" t="s">
        <v>15</v>
      </c>
      <c r="L37" s="44"/>
      <c r="M37" s="44"/>
      <c r="N37" s="20" t="str">
        <f t="shared" si="0"/>
        <v>1</v>
      </c>
      <c r="O37" s="20" t="str">
        <f>INDEX(Кат!$H:$H,MATCH($A37,Кат!$A:$A,0))</f>
        <v>МЛавто</v>
      </c>
    </row>
    <row r="38" spans="1:15" ht="60" x14ac:dyDescent="0.25">
      <c r="A38" s="43">
        <v>274206</v>
      </c>
      <c r="B38" s="43">
        <v>216204</v>
      </c>
      <c r="C38" s="44" t="s">
        <v>109</v>
      </c>
      <c r="D38" s="44" t="s">
        <v>55</v>
      </c>
      <c r="E38" s="44"/>
      <c r="F38" s="44" t="s">
        <v>110</v>
      </c>
      <c r="G38" s="44" t="s">
        <v>57</v>
      </c>
      <c r="H38" s="45"/>
      <c r="I38" s="45">
        <v>2190</v>
      </c>
      <c r="J38" s="44" t="s">
        <v>111</v>
      </c>
      <c r="K38" s="44" t="s">
        <v>15</v>
      </c>
      <c r="L38" s="44"/>
      <c r="M38" s="44"/>
      <c r="N38" s="20" t="str">
        <f t="shared" ref="N38:N39" si="1">_xlfn.CONCAT(K38,IF(L38&lt;&gt;"",_xlfn.CONCAT("ск",L38),""))</f>
        <v>1</v>
      </c>
      <c r="O38" s="20" t="str">
        <f>INDEX(Кат!$H:$H,MATCH($A38,Кат!$A:$A,0))</f>
        <v>МЛавто</v>
      </c>
    </row>
    <row r="39" spans="1:15" ht="60" x14ac:dyDescent="0.25">
      <c r="A39" s="43">
        <v>274207</v>
      </c>
      <c r="B39" s="43">
        <v>216205</v>
      </c>
      <c r="C39" s="44" t="s">
        <v>112</v>
      </c>
      <c r="D39" s="44" t="s">
        <v>55</v>
      </c>
      <c r="E39" s="44"/>
      <c r="F39" s="44" t="s">
        <v>113</v>
      </c>
      <c r="G39" s="44" t="s">
        <v>57</v>
      </c>
      <c r="H39" s="45"/>
      <c r="I39" s="45">
        <v>2190</v>
      </c>
      <c r="J39" s="44" t="s">
        <v>114</v>
      </c>
      <c r="K39" s="44" t="s">
        <v>15</v>
      </c>
      <c r="L39" s="44"/>
      <c r="M39" s="44"/>
      <c r="N39" s="20" t="str">
        <f t="shared" si="1"/>
        <v>1</v>
      </c>
      <c r="O39" s="20" t="str">
        <f>INDEX(Кат!$H:$H,MATCH($A39,Кат!$A:$A,0))</f>
        <v>МЛавто</v>
      </c>
    </row>
    <row r="40" spans="1:15" ht="45" x14ac:dyDescent="0.25">
      <c r="A40" s="43">
        <v>224250</v>
      </c>
      <c r="B40" s="43">
        <v>37214</v>
      </c>
      <c r="C40" s="44" t="s">
        <v>115</v>
      </c>
      <c r="D40" s="44" t="s">
        <v>55</v>
      </c>
      <c r="E40" s="44"/>
      <c r="F40" s="44"/>
      <c r="G40" s="44" t="s">
        <v>57</v>
      </c>
      <c r="H40" s="45">
        <v>120</v>
      </c>
      <c r="I40" s="45">
        <v>219</v>
      </c>
      <c r="J40" s="44"/>
      <c r="K40" s="44" t="s">
        <v>15</v>
      </c>
      <c r="L40" s="44" t="s">
        <v>15</v>
      </c>
      <c r="M40" s="44"/>
      <c r="N40" s="20" t="str">
        <f t="shared" ref="N40" si="2">_xlfn.CONCAT(K40,IF(L40&lt;&gt;"",_xlfn.CONCAT("ск",L40),""))</f>
        <v>1ск1</v>
      </c>
      <c r="O40" s="20" t="str">
        <f>INDEX(Кат!$H:$H,MATCH($A40,Кат!$A:$A,0))</f>
        <v>МЛавто</v>
      </c>
    </row>
  </sheetData>
  <sheetProtection formatCells="0" formatColumns="0" formatRows="0" insertColumns="0" insertRows="0" insertHyperlinks="0" deleteColumns="0" deleteRows="0" sort="0" autoFilter="0" pivotTables="0"/>
  <autoFilter ref="A1:O40" xr:uid="{3CF98838-0AE1-4844-9C7C-5FDF724B59B3}"/>
  <pageMargins left="0.7" right="0.7" top="0.75" bottom="0.75" header="0.3" footer="0.3"/>
  <pageSetup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DF5B9-D33B-4798-B96D-E73D092B3382}">
  <sheetPr codeName="Лист5">
    <outlinePr summaryBelow="0"/>
  </sheetPr>
  <dimension ref="A1:Q3"/>
  <sheetViews>
    <sheetView showRuler="0" zoomScaleNormal="100" workbookViewId="0">
      <pane ySplit="1" topLeftCell="A2" activePane="bottomLeft" state="frozen"/>
      <selection activeCell="P2" sqref="P2"/>
      <selection pane="bottomLeft" activeCell="F6" sqref="F6"/>
    </sheetView>
  </sheetViews>
  <sheetFormatPr defaultRowHeight="15" x14ac:dyDescent="0.25"/>
  <cols>
    <col min="1" max="1" width="22.28515625" style="22" customWidth="1"/>
    <col min="2" max="3" width="7.7109375" style="22" customWidth="1"/>
    <col min="4" max="4" width="22.28515625" style="22" customWidth="1"/>
    <col min="5" max="5" width="11.140625" style="22" customWidth="1"/>
    <col min="6" max="8" width="22.28515625" style="22" customWidth="1"/>
    <col min="9" max="10" width="8.85546875" style="22" customWidth="1"/>
    <col min="11" max="11" width="22.28515625" style="22" customWidth="1"/>
    <col min="12" max="16" width="7.7109375" style="22" customWidth="1"/>
    <col min="17" max="16384" width="9.140625" style="22"/>
  </cols>
  <sheetData>
    <row r="1" spans="1:17" s="21" customFormat="1" ht="30" x14ac:dyDescent="0.25">
      <c r="A1" s="46" t="s">
        <v>28</v>
      </c>
      <c r="B1" s="46" t="s">
        <v>7</v>
      </c>
      <c r="C1" s="46" t="s">
        <v>29</v>
      </c>
      <c r="D1" s="46" t="s">
        <v>16</v>
      </c>
      <c r="E1" s="46" t="s">
        <v>21</v>
      </c>
      <c r="F1" s="46"/>
      <c r="G1" s="46" t="s">
        <v>22</v>
      </c>
      <c r="H1" s="46" t="s">
        <v>23</v>
      </c>
      <c r="I1" s="46" t="s">
        <v>10</v>
      </c>
      <c r="J1" s="46" t="s">
        <v>11</v>
      </c>
      <c r="K1" s="46" t="s">
        <v>0</v>
      </c>
      <c r="L1" s="46" t="s">
        <v>30</v>
      </c>
      <c r="M1" s="46" t="s">
        <v>25</v>
      </c>
      <c r="N1" s="46" t="s">
        <v>31</v>
      </c>
      <c r="O1" s="46" t="s">
        <v>27</v>
      </c>
      <c r="P1" s="20"/>
      <c r="Q1" s="20"/>
    </row>
    <row r="2" spans="1:17" ht="75" x14ac:dyDescent="0.25">
      <c r="A2" s="48" t="s">
        <v>116</v>
      </c>
      <c r="B2" s="47">
        <v>344613</v>
      </c>
      <c r="C2" s="47">
        <v>344613</v>
      </c>
      <c r="D2" s="48" t="s">
        <v>117</v>
      </c>
      <c r="E2" s="48" t="s">
        <v>55</v>
      </c>
      <c r="F2" s="48"/>
      <c r="G2" s="48"/>
      <c r="H2" s="48"/>
      <c r="I2" s="48" t="s">
        <v>57</v>
      </c>
      <c r="J2" s="49">
        <v>1900</v>
      </c>
      <c r="K2" s="49">
        <v>2890</v>
      </c>
      <c r="L2" s="48"/>
      <c r="M2" s="47">
        <v>1</v>
      </c>
      <c r="N2" s="47"/>
      <c r="O2" s="48"/>
      <c r="P2" s="20" t="str">
        <f>_xlfn.CONCAT(M2,IF(N2&lt;&gt;"",_xlfn.CONCAT("ск",N2),""))</f>
        <v>1</v>
      </c>
      <c r="Q2" s="20" t="str">
        <f>INDEX(Торг!$I:$I,MATCH($B2,Торг!$B:$B,0))</f>
        <v>МЛавто</v>
      </c>
    </row>
    <row r="3" spans="1:17" ht="75" x14ac:dyDescent="0.25">
      <c r="A3" s="48" t="s">
        <v>118</v>
      </c>
      <c r="B3" s="47">
        <v>344611</v>
      </c>
      <c r="C3" s="47">
        <v>344611</v>
      </c>
      <c r="D3" s="48" t="s">
        <v>119</v>
      </c>
      <c r="E3" s="48" t="s">
        <v>55</v>
      </c>
      <c r="F3" s="48"/>
      <c r="G3" s="48"/>
      <c r="H3" s="48"/>
      <c r="I3" s="48" t="s">
        <v>57</v>
      </c>
      <c r="J3" s="49">
        <v>1900</v>
      </c>
      <c r="K3" s="49">
        <v>2890</v>
      </c>
      <c r="L3" s="48"/>
      <c r="M3" s="47">
        <v>1</v>
      </c>
      <c r="N3" s="47"/>
      <c r="O3" s="48"/>
      <c r="P3" s="20" t="str">
        <f>_xlfn.CONCAT(M3,IF(N3&lt;&gt;"",_xlfn.CONCAT("ск",N3),""))</f>
        <v>1</v>
      </c>
      <c r="Q3" s="20" t="str">
        <f>INDEX(Торг!$I:$I,MATCH($B3,Торг!$B:$B,0))</f>
        <v>МЛавто</v>
      </c>
    </row>
  </sheetData>
  <sheetProtection formatCells="0" formatColumns="0" formatRows="0" insertColumns="0" insertRows="0" insertHyperlinks="0" deleteColumns="0" deleteRows="0" sort="0" autoFilter="0" pivotTables="0"/>
  <autoFilter ref="A1:Q1" xr:uid="{1EDE69EF-D66C-47DB-90C8-0DCAEB832200}"/>
  <pageMargins left="0.7" right="0.7" top="0.75" bottom="0.75" header="0.3" footer="0.3"/>
  <pageSetup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E4143-B1C1-451C-8F80-5E993173B0BD}">
  <sheetPr codeName="Лист6">
    <tabColor rgb="FF92D050"/>
  </sheetPr>
  <dimension ref="A1:C42"/>
  <sheetViews>
    <sheetView topLeftCell="A9" workbookViewId="0">
      <selection activeCell="G46" sqref="G46"/>
    </sheetView>
  </sheetViews>
  <sheetFormatPr defaultRowHeight="15" x14ac:dyDescent="0.25"/>
  <cols>
    <col min="1" max="1" width="7" bestFit="1" customWidth="1"/>
    <col min="2" max="2" width="8.140625" style="17" bestFit="1" customWidth="1"/>
  </cols>
  <sheetData>
    <row r="1" spans="1:3" x14ac:dyDescent="0.25">
      <c r="A1" s="17"/>
      <c r="B1" s="41"/>
    </row>
    <row r="2" spans="1:3" x14ac:dyDescent="0.25">
      <c r="A2" s="11" t="s">
        <v>7</v>
      </c>
      <c r="B2" s="6" t="s">
        <v>4</v>
      </c>
      <c r="C2" t="s">
        <v>24</v>
      </c>
    </row>
    <row r="3" spans="1:3" x14ac:dyDescent="0.25">
      <c r="A3" s="14">
        <v>136983</v>
      </c>
      <c r="B3" s="40">
        <v>3245</v>
      </c>
      <c r="C3" t="s">
        <v>144</v>
      </c>
    </row>
    <row r="4" spans="1:3" ht="30" x14ac:dyDescent="0.25">
      <c r="A4" s="14">
        <v>143739</v>
      </c>
      <c r="B4" s="40" t="s">
        <v>120</v>
      </c>
    </row>
    <row r="5" spans="1:3" x14ac:dyDescent="0.25">
      <c r="A5" s="14">
        <v>247462</v>
      </c>
      <c r="B5" s="40">
        <v>690</v>
      </c>
      <c r="C5" t="s">
        <v>122</v>
      </c>
    </row>
    <row r="6" spans="1:3" x14ac:dyDescent="0.25">
      <c r="A6" s="14">
        <v>247465</v>
      </c>
      <c r="B6" s="40">
        <v>690</v>
      </c>
      <c r="C6" t="s">
        <v>121</v>
      </c>
    </row>
    <row r="7" spans="1:3" x14ac:dyDescent="0.25">
      <c r="A7" s="14">
        <v>267631</v>
      </c>
      <c r="B7" s="8">
        <v>7190</v>
      </c>
      <c r="C7" t="s">
        <v>63</v>
      </c>
    </row>
    <row r="8" spans="1:3" x14ac:dyDescent="0.25">
      <c r="A8" s="14">
        <v>316914</v>
      </c>
      <c r="B8" s="40">
        <v>629</v>
      </c>
      <c r="C8" t="s">
        <v>123</v>
      </c>
    </row>
    <row r="9" spans="1:3" ht="30" x14ac:dyDescent="0.25">
      <c r="A9" s="14">
        <v>193949</v>
      </c>
      <c r="B9" s="40" t="s">
        <v>125</v>
      </c>
      <c r="C9" t="s">
        <v>124</v>
      </c>
    </row>
    <row r="10" spans="1:3" x14ac:dyDescent="0.25">
      <c r="A10" s="14">
        <v>193950</v>
      </c>
      <c r="B10" s="40">
        <v>690</v>
      </c>
      <c r="C10" t="s">
        <v>126</v>
      </c>
    </row>
    <row r="11" spans="1:3" x14ac:dyDescent="0.25">
      <c r="A11" s="14">
        <v>193953</v>
      </c>
      <c r="B11" s="8">
        <v>690</v>
      </c>
      <c r="C11" t="s">
        <v>73</v>
      </c>
    </row>
    <row r="12" spans="1:3" x14ac:dyDescent="0.25">
      <c r="A12" s="14">
        <v>193955</v>
      </c>
      <c r="B12" s="8">
        <v>669</v>
      </c>
      <c r="C12" t="s">
        <v>76</v>
      </c>
    </row>
    <row r="13" spans="1:3" ht="30" x14ac:dyDescent="0.25">
      <c r="A13" s="14">
        <v>194053</v>
      </c>
      <c r="B13" s="40" t="s">
        <v>120</v>
      </c>
    </row>
    <row r="14" spans="1:3" ht="30" x14ac:dyDescent="0.25">
      <c r="A14" s="14">
        <v>194066</v>
      </c>
      <c r="B14" s="40" t="s">
        <v>127</v>
      </c>
    </row>
    <row r="15" spans="1:3" x14ac:dyDescent="0.25">
      <c r="A15" s="14">
        <v>194075</v>
      </c>
      <c r="B15" s="40">
        <v>529</v>
      </c>
      <c r="C15" t="s">
        <v>128</v>
      </c>
    </row>
    <row r="16" spans="1:3" ht="30" x14ac:dyDescent="0.25">
      <c r="A16" s="14">
        <v>194085</v>
      </c>
      <c r="B16" s="40" t="s">
        <v>120</v>
      </c>
    </row>
    <row r="17" spans="1:3" x14ac:dyDescent="0.25">
      <c r="A17" s="14">
        <v>194924</v>
      </c>
      <c r="B17" s="40">
        <v>595</v>
      </c>
      <c r="C17" t="s">
        <v>129</v>
      </c>
    </row>
    <row r="18" spans="1:3" x14ac:dyDescent="0.25">
      <c r="A18" s="14">
        <v>194926</v>
      </c>
      <c r="B18" s="40">
        <v>595</v>
      </c>
      <c r="C18" t="s">
        <v>129</v>
      </c>
    </row>
    <row r="19" spans="1:3" ht="30" x14ac:dyDescent="0.25">
      <c r="A19" s="14">
        <v>348783</v>
      </c>
      <c r="B19" s="40" t="s">
        <v>120</v>
      </c>
    </row>
    <row r="20" spans="1:3" ht="30" x14ac:dyDescent="0.25">
      <c r="A20" s="14">
        <v>213590</v>
      </c>
      <c r="B20" s="40" t="s">
        <v>131</v>
      </c>
      <c r="C20" t="s">
        <v>130</v>
      </c>
    </row>
    <row r="21" spans="1:3" x14ac:dyDescent="0.25">
      <c r="A21" s="14">
        <v>213594</v>
      </c>
      <c r="B21" s="40">
        <v>8590</v>
      </c>
      <c r="C21" t="s">
        <v>132</v>
      </c>
    </row>
    <row r="22" spans="1:3" x14ac:dyDescent="0.25">
      <c r="A22" s="14">
        <v>213667</v>
      </c>
      <c r="B22" s="40">
        <v>990</v>
      </c>
      <c r="C22" t="s">
        <v>133</v>
      </c>
    </row>
    <row r="23" spans="1:3" x14ac:dyDescent="0.25">
      <c r="A23" s="14">
        <v>213730</v>
      </c>
      <c r="B23" s="40">
        <v>9990</v>
      </c>
      <c r="C23" t="s">
        <v>134</v>
      </c>
    </row>
    <row r="24" spans="1:3" x14ac:dyDescent="0.25">
      <c r="A24" s="14">
        <v>217456</v>
      </c>
      <c r="B24" s="40">
        <v>369</v>
      </c>
      <c r="C24" t="s">
        <v>135</v>
      </c>
    </row>
    <row r="25" spans="1:3" x14ac:dyDescent="0.25">
      <c r="A25" s="14">
        <v>217461</v>
      </c>
      <c r="B25" s="40">
        <v>369</v>
      </c>
      <c r="C25" t="s">
        <v>136</v>
      </c>
    </row>
    <row r="26" spans="1:3" x14ac:dyDescent="0.25">
      <c r="A26" s="14">
        <v>217457</v>
      </c>
      <c r="B26" s="40">
        <v>939</v>
      </c>
      <c r="C26" t="s">
        <v>137</v>
      </c>
    </row>
    <row r="27" spans="1:3" x14ac:dyDescent="0.25">
      <c r="A27" s="14">
        <v>217458</v>
      </c>
      <c r="B27" s="40">
        <v>149</v>
      </c>
      <c r="C27" t="s">
        <v>140</v>
      </c>
    </row>
    <row r="28" spans="1:3" x14ac:dyDescent="0.25">
      <c r="A28" s="14">
        <v>217459</v>
      </c>
      <c r="B28" s="40">
        <v>149</v>
      </c>
      <c r="C28" t="s">
        <v>139</v>
      </c>
    </row>
    <row r="29" spans="1:3" x14ac:dyDescent="0.25">
      <c r="A29" s="14">
        <v>217462</v>
      </c>
      <c r="B29" s="40">
        <v>890</v>
      </c>
      <c r="C29" t="s">
        <v>138</v>
      </c>
    </row>
    <row r="30" spans="1:3" ht="30" x14ac:dyDescent="0.25">
      <c r="A30" s="14">
        <v>217470</v>
      </c>
      <c r="B30" s="40" t="s">
        <v>142</v>
      </c>
      <c r="C30" t="s">
        <v>141</v>
      </c>
    </row>
    <row r="31" spans="1:3" ht="30" x14ac:dyDescent="0.25">
      <c r="A31" s="14">
        <v>217471</v>
      </c>
      <c r="B31" s="40" t="s">
        <v>142</v>
      </c>
      <c r="C31" t="s">
        <v>143</v>
      </c>
    </row>
    <row r="32" spans="1:3" x14ac:dyDescent="0.25">
      <c r="A32" s="14">
        <v>274198</v>
      </c>
      <c r="B32" s="8">
        <v>4990</v>
      </c>
      <c r="C32" t="s">
        <v>98</v>
      </c>
    </row>
    <row r="33" spans="1:3" x14ac:dyDescent="0.25">
      <c r="A33" s="14">
        <v>274199</v>
      </c>
      <c r="B33" s="8">
        <v>4990</v>
      </c>
      <c r="C33" t="s">
        <v>101</v>
      </c>
    </row>
    <row r="34" spans="1:3" ht="30" x14ac:dyDescent="0.25">
      <c r="A34" s="14">
        <v>256791</v>
      </c>
      <c r="B34" s="40" t="s">
        <v>120</v>
      </c>
    </row>
    <row r="35" spans="1:3" ht="30" x14ac:dyDescent="0.25">
      <c r="A35" s="14">
        <v>301133</v>
      </c>
      <c r="B35" s="40" t="s">
        <v>120</v>
      </c>
    </row>
    <row r="36" spans="1:3" x14ac:dyDescent="0.25">
      <c r="A36" s="14">
        <v>274204</v>
      </c>
      <c r="B36" s="8">
        <v>2690</v>
      </c>
      <c r="C36" t="s">
        <v>106</v>
      </c>
    </row>
    <row r="37" spans="1:3" x14ac:dyDescent="0.25">
      <c r="A37" s="14">
        <v>274205</v>
      </c>
      <c r="B37" s="8">
        <v>2690</v>
      </c>
      <c r="C37" t="s">
        <v>108</v>
      </c>
    </row>
    <row r="38" spans="1:3" x14ac:dyDescent="0.25">
      <c r="A38" s="14">
        <v>274206</v>
      </c>
      <c r="B38" s="8">
        <v>2190</v>
      </c>
      <c r="C38" t="s">
        <v>111</v>
      </c>
    </row>
    <row r="39" spans="1:3" x14ac:dyDescent="0.25">
      <c r="A39" s="14">
        <v>274207</v>
      </c>
      <c r="B39" s="8">
        <v>2190</v>
      </c>
      <c r="C39" t="s">
        <v>114</v>
      </c>
    </row>
    <row r="40" spans="1:3" ht="30" x14ac:dyDescent="0.25">
      <c r="A40" s="14">
        <v>224250</v>
      </c>
      <c r="B40" s="40" t="s">
        <v>120</v>
      </c>
    </row>
    <row r="41" spans="1:3" x14ac:dyDescent="0.25">
      <c r="A41" s="14">
        <v>344613</v>
      </c>
      <c r="B41" s="8" t="s">
        <v>120</v>
      </c>
    </row>
    <row r="42" spans="1:3" x14ac:dyDescent="0.25">
      <c r="A42" s="14">
        <v>344611</v>
      </c>
      <c r="B42" s="8" t="s">
        <v>120</v>
      </c>
    </row>
  </sheetData>
  <conditionalFormatting sqref="A3:A40">
    <cfRule type="expression" dxfId="4" priority="3">
      <formula>AND(ROUNDDOWN($P3,0)=0,ROUNDDOWN($O3,0)=0)</formula>
    </cfRule>
  </conditionalFormatting>
  <conditionalFormatting sqref="A41">
    <cfRule type="expression" dxfId="3" priority="2">
      <formula>AND(ROUNDDOWN($P41,0)=0,ROUNDDOWN($Q41,0)=0)</formula>
    </cfRule>
  </conditionalFormatting>
  <conditionalFormatting sqref="A42">
    <cfRule type="expression" dxfId="2" priority="1">
      <formula>AND(ROUNDDOWN($P42,0)=0,ROUNDDOWN($Q42,0)=0)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8</xdr:col>
                <xdr:colOff>457200</xdr:colOff>
                <xdr:row>4</xdr:row>
                <xdr:rowOff>180975</xdr:rowOff>
              </from>
              <to>
                <xdr:col>11</xdr:col>
                <xdr:colOff>590550</xdr:colOff>
                <xdr:row>8</xdr:row>
                <xdr:rowOff>76200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759A5-B9EA-4CD9-B475-6266DCB9E705}">
  <sheetPr codeName="Лист7">
    <tabColor rgb="FF92D050"/>
  </sheetPr>
  <dimension ref="A1:R44"/>
  <sheetViews>
    <sheetView workbookViewId="0">
      <selection activeCell="D18" sqref="D18:D19"/>
    </sheetView>
  </sheetViews>
  <sheetFormatPr defaultRowHeight="15" x14ac:dyDescent="0.25"/>
  <cols>
    <col min="1" max="2" width="11.140625" bestFit="1" customWidth="1"/>
    <col min="3" max="3" width="13.85546875" bestFit="1" customWidth="1"/>
    <col min="4" max="4" width="81.140625" bestFit="1" customWidth="1"/>
    <col min="5" max="9" width="11.140625" bestFit="1" customWidth="1"/>
    <col min="10" max="18" width="12.140625" bestFit="1" customWidth="1"/>
  </cols>
  <sheetData>
    <row r="1" spans="1:18" x14ac:dyDescent="0.25">
      <c r="A1" t="s">
        <v>151</v>
      </c>
      <c r="B1" t="s">
        <v>152</v>
      </c>
      <c r="C1" t="s">
        <v>153</v>
      </c>
      <c r="D1" t="s">
        <v>154</v>
      </c>
      <c r="E1" t="s">
        <v>155</v>
      </c>
      <c r="F1" t="s">
        <v>156</v>
      </c>
      <c r="G1" t="s">
        <v>157</v>
      </c>
      <c r="H1" t="s">
        <v>158</v>
      </c>
      <c r="I1" t="s">
        <v>159</v>
      </c>
      <c r="J1" t="s">
        <v>160</v>
      </c>
      <c r="K1" t="s">
        <v>161</v>
      </c>
      <c r="L1" t="s">
        <v>162</v>
      </c>
      <c r="M1" t="s">
        <v>163</v>
      </c>
      <c r="N1" t="s">
        <v>164</v>
      </c>
      <c r="O1" t="s">
        <v>165</v>
      </c>
      <c r="P1" t="s">
        <v>166</v>
      </c>
      <c r="Q1" t="s">
        <v>167</v>
      </c>
      <c r="R1" t="s">
        <v>168</v>
      </c>
    </row>
    <row r="3" spans="1:18" x14ac:dyDescent="0.25">
      <c r="A3" t="s">
        <v>169</v>
      </c>
      <c r="B3" t="s">
        <v>170</v>
      </c>
      <c r="C3" t="s">
        <v>171</v>
      </c>
      <c r="D3" t="s">
        <v>172</v>
      </c>
    </row>
    <row r="4" spans="1:18" x14ac:dyDescent="0.25">
      <c r="B4" t="s">
        <v>7</v>
      </c>
      <c r="D4" t="s">
        <v>30</v>
      </c>
    </row>
    <row r="5" spans="1:18" x14ac:dyDescent="0.25">
      <c r="A5" t="s">
        <v>57</v>
      </c>
      <c r="B5">
        <v>136983</v>
      </c>
      <c r="C5">
        <v>3245</v>
      </c>
      <c r="D5" t="s">
        <v>144</v>
      </c>
      <c r="E5">
        <v>6490</v>
      </c>
    </row>
    <row r="6" spans="1:18" x14ac:dyDescent="0.25">
      <c r="A6" t="s">
        <v>57</v>
      </c>
      <c r="B6">
        <v>143739</v>
      </c>
      <c r="C6" t="s">
        <v>120</v>
      </c>
      <c r="E6" t="s">
        <v>173</v>
      </c>
    </row>
    <row r="7" spans="1:18" x14ac:dyDescent="0.25">
      <c r="A7" t="s">
        <v>57</v>
      </c>
      <c r="B7">
        <v>247462</v>
      </c>
      <c r="C7">
        <v>690</v>
      </c>
      <c r="D7" t="s">
        <v>122</v>
      </c>
      <c r="E7">
        <v>690</v>
      </c>
    </row>
    <row r="8" spans="1:18" x14ac:dyDescent="0.25">
      <c r="A8" t="s">
        <v>57</v>
      </c>
      <c r="B8">
        <v>247465</v>
      </c>
      <c r="C8">
        <v>690</v>
      </c>
      <c r="D8" t="s">
        <v>121</v>
      </c>
      <c r="E8">
        <v>690</v>
      </c>
    </row>
    <row r="9" spans="1:18" x14ac:dyDescent="0.25">
      <c r="A9" t="s">
        <v>57</v>
      </c>
      <c r="B9">
        <v>267631</v>
      </c>
      <c r="C9">
        <v>7190</v>
      </c>
      <c r="D9" t="s">
        <v>63</v>
      </c>
      <c r="E9">
        <v>7190</v>
      </c>
    </row>
    <row r="10" spans="1:18" x14ac:dyDescent="0.25">
      <c r="A10" t="s">
        <v>57</v>
      </c>
      <c r="B10">
        <v>316914</v>
      </c>
      <c r="C10">
        <v>629</v>
      </c>
      <c r="D10" t="s">
        <v>123</v>
      </c>
      <c r="E10">
        <v>629</v>
      </c>
    </row>
    <row r="11" spans="1:18" x14ac:dyDescent="0.25">
      <c r="A11" t="s">
        <v>57</v>
      </c>
      <c r="B11">
        <v>193949</v>
      </c>
      <c r="C11" t="s">
        <v>125</v>
      </c>
      <c r="D11" t="s">
        <v>124</v>
      </c>
      <c r="E11">
        <v>169</v>
      </c>
    </row>
    <row r="12" spans="1:18" x14ac:dyDescent="0.25">
      <c r="A12" t="s">
        <v>57</v>
      </c>
      <c r="B12">
        <v>193950</v>
      </c>
      <c r="C12">
        <v>690</v>
      </c>
      <c r="D12" t="s">
        <v>126</v>
      </c>
      <c r="E12">
        <v>690</v>
      </c>
    </row>
    <row r="13" spans="1:18" x14ac:dyDescent="0.25">
      <c r="A13" t="s">
        <v>57</v>
      </c>
      <c r="B13">
        <v>193953</v>
      </c>
      <c r="C13">
        <v>690</v>
      </c>
      <c r="D13" t="s">
        <v>73</v>
      </c>
      <c r="E13">
        <v>590</v>
      </c>
    </row>
    <row r="14" spans="1:18" x14ac:dyDescent="0.25">
      <c r="A14" t="s">
        <v>57</v>
      </c>
      <c r="B14">
        <v>193955</v>
      </c>
      <c r="C14">
        <v>669</v>
      </c>
      <c r="D14" t="s">
        <v>76</v>
      </c>
      <c r="E14">
        <v>669</v>
      </c>
    </row>
    <row r="15" spans="1:18" x14ac:dyDescent="0.25">
      <c r="A15" t="s">
        <v>57</v>
      </c>
      <c r="B15">
        <v>194053</v>
      </c>
      <c r="C15" t="s">
        <v>120</v>
      </c>
      <c r="E15" t="s">
        <v>173</v>
      </c>
    </row>
    <row r="16" spans="1:18" x14ac:dyDescent="0.25">
      <c r="A16" t="s">
        <v>57</v>
      </c>
      <c r="B16">
        <v>194066</v>
      </c>
      <c r="C16" t="s">
        <v>127</v>
      </c>
      <c r="E16" t="s">
        <v>173</v>
      </c>
    </row>
    <row r="17" spans="1:5" x14ac:dyDescent="0.25">
      <c r="A17" t="s">
        <v>57</v>
      </c>
      <c r="B17">
        <v>194075</v>
      </c>
      <c r="C17">
        <v>529</v>
      </c>
      <c r="D17" t="s">
        <v>128</v>
      </c>
      <c r="E17">
        <v>529</v>
      </c>
    </row>
    <row r="18" spans="1:5" x14ac:dyDescent="0.25">
      <c r="A18" t="s">
        <v>57</v>
      </c>
      <c r="B18">
        <v>194085</v>
      </c>
      <c r="C18" t="s">
        <v>120</v>
      </c>
      <c r="E18" t="s">
        <v>173</v>
      </c>
    </row>
    <row r="19" spans="1:5" x14ac:dyDescent="0.25">
      <c r="A19" t="s">
        <v>57</v>
      </c>
      <c r="B19">
        <v>194924</v>
      </c>
      <c r="C19">
        <v>595</v>
      </c>
      <c r="D19" t="s">
        <v>129</v>
      </c>
      <c r="E19">
        <v>1190</v>
      </c>
    </row>
    <row r="20" spans="1:5" x14ac:dyDescent="0.25">
      <c r="A20" t="s">
        <v>57</v>
      </c>
      <c r="B20">
        <v>194926</v>
      </c>
      <c r="C20">
        <v>595</v>
      </c>
      <c r="D20" t="s">
        <v>129</v>
      </c>
      <c r="E20">
        <v>1190</v>
      </c>
    </row>
    <row r="21" spans="1:5" x14ac:dyDescent="0.25">
      <c r="A21" t="s">
        <v>57</v>
      </c>
      <c r="B21">
        <v>348783</v>
      </c>
      <c r="C21" t="s">
        <v>120</v>
      </c>
      <c r="E21" t="s">
        <v>173</v>
      </c>
    </row>
    <row r="22" spans="1:5" x14ac:dyDescent="0.25">
      <c r="A22" t="s">
        <v>57</v>
      </c>
      <c r="B22">
        <v>213590</v>
      </c>
      <c r="C22" t="s">
        <v>131</v>
      </c>
      <c r="D22" t="s">
        <v>130</v>
      </c>
      <c r="E22">
        <v>4190</v>
      </c>
    </row>
    <row r="23" spans="1:5" x14ac:dyDescent="0.25">
      <c r="A23" t="s">
        <v>57</v>
      </c>
      <c r="B23">
        <v>213594</v>
      </c>
      <c r="C23">
        <v>8590</v>
      </c>
      <c r="D23" t="s">
        <v>132</v>
      </c>
      <c r="E23">
        <v>8590</v>
      </c>
    </row>
    <row r="24" spans="1:5" x14ac:dyDescent="0.25">
      <c r="A24" t="s">
        <v>57</v>
      </c>
      <c r="B24">
        <v>213667</v>
      </c>
      <c r="C24">
        <v>990</v>
      </c>
      <c r="D24" t="s">
        <v>133</v>
      </c>
      <c r="E24">
        <v>990</v>
      </c>
    </row>
    <row r="25" spans="1:5" x14ac:dyDescent="0.25">
      <c r="A25" t="s">
        <v>57</v>
      </c>
      <c r="B25">
        <v>213730</v>
      </c>
      <c r="C25">
        <v>9990</v>
      </c>
      <c r="D25" t="s">
        <v>134</v>
      </c>
      <c r="E25">
        <v>9990</v>
      </c>
    </row>
    <row r="26" spans="1:5" x14ac:dyDescent="0.25">
      <c r="A26" t="s">
        <v>57</v>
      </c>
      <c r="B26">
        <v>217456</v>
      </c>
      <c r="C26">
        <v>369</v>
      </c>
      <c r="D26" t="s">
        <v>135</v>
      </c>
      <c r="E26">
        <v>369</v>
      </c>
    </row>
    <row r="27" spans="1:5" x14ac:dyDescent="0.25">
      <c r="A27" t="s">
        <v>57</v>
      </c>
      <c r="B27">
        <v>217461</v>
      </c>
      <c r="C27">
        <v>369</v>
      </c>
      <c r="D27" t="s">
        <v>136</v>
      </c>
      <c r="E27">
        <v>369</v>
      </c>
    </row>
    <row r="28" spans="1:5" x14ac:dyDescent="0.25">
      <c r="A28" t="s">
        <v>57</v>
      </c>
      <c r="B28">
        <v>217457</v>
      </c>
      <c r="C28">
        <v>939</v>
      </c>
      <c r="D28" t="s">
        <v>137</v>
      </c>
      <c r="E28">
        <v>939</v>
      </c>
    </row>
    <row r="29" spans="1:5" x14ac:dyDescent="0.25">
      <c r="A29" t="s">
        <v>57</v>
      </c>
      <c r="B29">
        <v>217458</v>
      </c>
      <c r="C29">
        <v>149</v>
      </c>
      <c r="D29" t="s">
        <v>140</v>
      </c>
      <c r="E29">
        <v>149</v>
      </c>
    </row>
    <row r="30" spans="1:5" x14ac:dyDescent="0.25">
      <c r="A30" t="s">
        <v>57</v>
      </c>
      <c r="B30">
        <v>217459</v>
      </c>
      <c r="C30">
        <v>149</v>
      </c>
      <c r="D30" t="s">
        <v>139</v>
      </c>
      <c r="E30">
        <v>149</v>
      </c>
    </row>
    <row r="31" spans="1:5" x14ac:dyDescent="0.25">
      <c r="A31" t="s">
        <v>57</v>
      </c>
      <c r="B31">
        <v>217462</v>
      </c>
      <c r="C31">
        <v>890</v>
      </c>
      <c r="D31" t="s">
        <v>138</v>
      </c>
      <c r="E31">
        <v>890</v>
      </c>
    </row>
    <row r="32" spans="1:5" x14ac:dyDescent="0.25">
      <c r="A32" t="s">
        <v>57</v>
      </c>
      <c r="B32">
        <v>217470</v>
      </c>
      <c r="C32" t="s">
        <v>142</v>
      </c>
      <c r="D32" t="s">
        <v>141</v>
      </c>
      <c r="E32">
        <v>329</v>
      </c>
    </row>
    <row r="33" spans="1:5" x14ac:dyDescent="0.25">
      <c r="A33" t="s">
        <v>57</v>
      </c>
      <c r="B33">
        <v>217471</v>
      </c>
      <c r="C33" t="s">
        <v>142</v>
      </c>
      <c r="D33" t="s">
        <v>143</v>
      </c>
      <c r="E33">
        <v>329</v>
      </c>
    </row>
    <row r="34" spans="1:5" x14ac:dyDescent="0.25">
      <c r="A34" t="s">
        <v>57</v>
      </c>
      <c r="B34">
        <v>274198</v>
      </c>
      <c r="C34">
        <v>4990</v>
      </c>
      <c r="D34" t="s">
        <v>98</v>
      </c>
      <c r="E34">
        <v>4990</v>
      </c>
    </row>
    <row r="35" spans="1:5" x14ac:dyDescent="0.25">
      <c r="A35" t="s">
        <v>57</v>
      </c>
      <c r="B35">
        <v>274199</v>
      </c>
      <c r="C35">
        <v>4990</v>
      </c>
      <c r="D35" t="s">
        <v>101</v>
      </c>
      <c r="E35">
        <v>4990</v>
      </c>
    </row>
    <row r="36" spans="1:5" x14ac:dyDescent="0.25">
      <c r="A36" t="s">
        <v>57</v>
      </c>
      <c r="B36">
        <v>256791</v>
      </c>
      <c r="C36" t="s">
        <v>120</v>
      </c>
      <c r="E36" t="s">
        <v>173</v>
      </c>
    </row>
    <row r="37" spans="1:5" x14ac:dyDescent="0.25">
      <c r="A37" t="s">
        <v>57</v>
      </c>
      <c r="B37">
        <v>301133</v>
      </c>
      <c r="C37" t="s">
        <v>120</v>
      </c>
      <c r="E37" t="s">
        <v>173</v>
      </c>
    </row>
    <row r="38" spans="1:5" x14ac:dyDescent="0.25">
      <c r="A38" t="s">
        <v>57</v>
      </c>
      <c r="B38">
        <v>274204</v>
      </c>
      <c r="C38">
        <v>2690</v>
      </c>
      <c r="D38" t="s">
        <v>106</v>
      </c>
      <c r="E38">
        <v>2690</v>
      </c>
    </row>
    <row r="39" spans="1:5" x14ac:dyDescent="0.25">
      <c r="A39" t="s">
        <v>57</v>
      </c>
      <c r="B39">
        <v>274205</v>
      </c>
      <c r="C39">
        <v>2690</v>
      </c>
      <c r="D39" t="s">
        <v>108</v>
      </c>
      <c r="E39">
        <v>2690</v>
      </c>
    </row>
    <row r="40" spans="1:5" x14ac:dyDescent="0.25">
      <c r="A40" t="s">
        <v>57</v>
      </c>
      <c r="B40">
        <v>274206</v>
      </c>
      <c r="C40">
        <v>2190</v>
      </c>
      <c r="D40" t="s">
        <v>111</v>
      </c>
      <c r="E40">
        <v>2190</v>
      </c>
    </row>
    <row r="41" spans="1:5" x14ac:dyDescent="0.25">
      <c r="A41" t="s">
        <v>57</v>
      </c>
      <c r="B41">
        <v>274207</v>
      </c>
      <c r="C41">
        <v>2190</v>
      </c>
      <c r="D41" t="s">
        <v>114</v>
      </c>
      <c r="E41">
        <v>2190</v>
      </c>
    </row>
    <row r="42" spans="1:5" x14ac:dyDescent="0.25">
      <c r="A42" t="s">
        <v>57</v>
      </c>
      <c r="B42">
        <v>224250</v>
      </c>
      <c r="C42" t="s">
        <v>120</v>
      </c>
      <c r="E42" t="s">
        <v>173</v>
      </c>
    </row>
    <row r="43" spans="1:5" x14ac:dyDescent="0.25">
      <c r="A43" t="s">
        <v>57</v>
      </c>
      <c r="B43">
        <v>344613</v>
      </c>
      <c r="C43" t="s">
        <v>120</v>
      </c>
      <c r="E43" t="s">
        <v>173</v>
      </c>
    </row>
    <row r="44" spans="1:5" x14ac:dyDescent="0.25">
      <c r="A44" t="s">
        <v>57</v>
      </c>
      <c r="B44">
        <v>344611</v>
      </c>
      <c r="C44" t="s">
        <v>120</v>
      </c>
      <c r="E44" t="s">
        <v>173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600ABC-12B0-4168-BC39-B7DE1F0010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Кат</vt:lpstr>
      <vt:lpstr>Торг</vt:lpstr>
      <vt:lpstr>Наценка</vt:lpstr>
      <vt:lpstr>Выгр Кат</vt:lpstr>
      <vt:lpstr>Выгр Торг</vt:lpstr>
      <vt:lpstr>Ссылки</vt:lpstr>
      <vt:lpstr>Из ГУГЛа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User947</dc:creator>
  <cp:lastModifiedBy>Snab TimeTurbo</cp:lastModifiedBy>
  <dcterms:created xsi:type="dcterms:W3CDTF">2015-06-05T18:19:34Z</dcterms:created>
  <dcterms:modified xsi:type="dcterms:W3CDTF">2024-06-24T13:12:45Z</dcterms:modified>
</cp:coreProperties>
</file>